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CloudStation\學校文件\2526學校文件\2526監考表\"/>
    </mc:Choice>
  </mc:AlternateContent>
  <xr:revisionPtr revIDLastSave="0" documentId="13_ncr:1_{78DF411B-24FF-4A00-BFC1-568F4EA9DA3D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mportant Matters" sheetId="1" state="hidden" r:id="rId1"/>
    <sheet name="每個老師監考表" sheetId="27" r:id="rId2"/>
    <sheet name="FEx_Workload" sheetId="4" state="hidden" r:id="rId3"/>
    <sheet name="SEN INIL" sheetId="5" state="hidden" r:id="rId4"/>
    <sheet name="無教同有教中六" sheetId="6" state="hidden" r:id="rId5"/>
    <sheet name="S1-6 SEN" sheetId="8" state="hidden" r:id="rId6"/>
    <sheet name="S6 Final Exam Workload" sheetId="13" state="hidden" r:id="rId7"/>
    <sheet name="S6 Teachers" sheetId="14" state="hidden" r:id="rId8"/>
    <sheet name="INV. RATIO(FINAL EXAM)" sheetId="15" state="hidden" r:id="rId9"/>
    <sheet name="BY Class" sheetId="16" state="hidden" r:id="rId10"/>
    <sheet name="By Teachers code" sheetId="17" state="hidden" r:id="rId11"/>
    <sheet name="Previous Work" sheetId="18" state="hidden" r:id="rId12"/>
    <sheet name="SEN invigilation" sheetId="19" state="hidden" r:id="rId13"/>
    <sheet name="SEN COUNT" sheetId="20" state="hidden" r:id="rId14"/>
    <sheet name="Summary T1" sheetId="21" state="hidden" r:id="rId15"/>
    <sheet name="TSA" sheetId="22" state="hidden" r:id="rId16"/>
    <sheet name="FOR TEACHERS" sheetId="23" state="hidden" r:id="rId17"/>
    <sheet name="INV. RATIO(1st Term Test)" sheetId="24" state="hidden" r:id="rId18"/>
    <sheet name="INV. RATIO(1st Term Exam)" sheetId="25" state="hidden" r:id="rId19"/>
  </sheets>
  <externalReferences>
    <externalReference r:id="rId2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4" l="1"/>
  <c r="D4" i="24"/>
  <c r="E4" i="24"/>
  <c r="F4" i="24"/>
  <c r="G4" i="24"/>
  <c r="H4" i="24"/>
  <c r="AM27" i="24"/>
  <c r="AM54" i="24"/>
  <c r="H68" i="24"/>
  <c r="G68" i="24"/>
  <c r="F68" i="24"/>
  <c r="E68" i="24"/>
  <c r="D68" i="24"/>
  <c r="C68" i="24"/>
  <c r="A63" i="21"/>
  <c r="L63" i="21" s="1"/>
  <c r="G9" i="19"/>
  <c r="L9" i="19"/>
  <c r="G10" i="19"/>
  <c r="L10" i="19"/>
  <c r="L11" i="19"/>
  <c r="G12" i="19"/>
  <c r="G13" i="19"/>
  <c r="L13" i="19"/>
  <c r="L14" i="19"/>
  <c r="G15" i="19"/>
  <c r="L15" i="19"/>
  <c r="G16" i="19"/>
  <c r="L16" i="19"/>
  <c r="G18" i="19"/>
  <c r="L18" i="19"/>
  <c r="G19" i="19"/>
  <c r="L19" i="19"/>
  <c r="L20" i="19"/>
  <c r="G22" i="19"/>
  <c r="L22" i="19"/>
  <c r="G23" i="19"/>
  <c r="G24" i="19"/>
  <c r="G25" i="19"/>
  <c r="L25" i="19"/>
  <c r="G26" i="19"/>
  <c r="L26" i="19"/>
  <c r="G27" i="19"/>
  <c r="L27" i="19"/>
  <c r="G28" i="19"/>
  <c r="L28" i="19"/>
  <c r="S28" i="19"/>
  <c r="L29" i="19"/>
  <c r="G31" i="19"/>
  <c r="L31" i="19"/>
  <c r="G33" i="19"/>
  <c r="L33" i="19"/>
  <c r="L34" i="19"/>
  <c r="G35" i="19"/>
  <c r="G36" i="19"/>
  <c r="L36" i="19"/>
  <c r="B9" i="20"/>
  <c r="G9" i="20"/>
  <c r="H9" i="20"/>
  <c r="L9" i="20"/>
  <c r="B10" i="20"/>
  <c r="G10" i="20"/>
  <c r="H10" i="20"/>
  <c r="L10" i="20"/>
  <c r="T10" i="20"/>
  <c r="H11" i="20"/>
  <c r="L11" i="20"/>
  <c r="G12" i="20"/>
  <c r="G13" i="20"/>
  <c r="H13" i="20"/>
  <c r="L13" i="20"/>
  <c r="H14" i="20"/>
  <c r="L14" i="20"/>
  <c r="G15" i="20"/>
  <c r="H15" i="20"/>
  <c r="L15" i="20"/>
  <c r="G16" i="20"/>
  <c r="H16" i="20"/>
  <c r="L16" i="20"/>
  <c r="B18" i="20"/>
  <c r="G18" i="20"/>
  <c r="H18" i="20"/>
  <c r="L18" i="20"/>
  <c r="G19" i="20"/>
  <c r="L19" i="20"/>
  <c r="H20" i="20"/>
  <c r="L20" i="20"/>
  <c r="G22" i="20"/>
  <c r="H22" i="20"/>
  <c r="L22" i="20"/>
  <c r="G23" i="20"/>
  <c r="B24" i="20"/>
  <c r="G24" i="20"/>
  <c r="B25" i="20"/>
  <c r="G25" i="20"/>
  <c r="H25" i="20"/>
  <c r="L25" i="20"/>
  <c r="G26" i="20"/>
  <c r="H26" i="20"/>
  <c r="L26" i="20"/>
  <c r="T26" i="20"/>
  <c r="G27" i="20"/>
  <c r="H27" i="20"/>
  <c r="L27" i="20"/>
  <c r="G28" i="20"/>
  <c r="L28" i="20"/>
  <c r="O28" i="20"/>
  <c r="S28" i="20"/>
  <c r="L29" i="20"/>
  <c r="G31" i="20"/>
  <c r="H31" i="20"/>
  <c r="L31" i="20"/>
  <c r="G33" i="20"/>
  <c r="H33" i="20"/>
  <c r="L33" i="20"/>
  <c r="H34" i="20"/>
  <c r="L34" i="20"/>
  <c r="B35" i="20"/>
  <c r="C35" i="20"/>
  <c r="G35" i="20"/>
  <c r="B36" i="20"/>
  <c r="C36" i="20"/>
  <c r="G36" i="20"/>
  <c r="H36" i="20"/>
  <c r="L36" i="20"/>
  <c r="C79" i="16"/>
  <c r="K51" i="16" s="1"/>
  <c r="M53" i="21" s="1"/>
  <c r="O62" i="21"/>
  <c r="A62" i="21"/>
  <c r="L62" i="21" s="1"/>
  <c r="G62" i="21"/>
  <c r="O61" i="21"/>
  <c r="A61" i="21"/>
  <c r="G61" i="21" s="1"/>
  <c r="L61" i="21"/>
  <c r="P60" i="21"/>
  <c r="O60" i="21"/>
  <c r="N60" i="21"/>
  <c r="M60" i="21"/>
  <c r="A60" i="21"/>
  <c r="L60" i="21" s="1"/>
  <c r="O59" i="21"/>
  <c r="A59" i="21"/>
  <c r="L59" i="21" s="1"/>
  <c r="O58" i="21"/>
  <c r="A58" i="21"/>
  <c r="G58" i="21" s="1"/>
  <c r="L58" i="21"/>
  <c r="O57" i="21"/>
  <c r="A57" i="21"/>
  <c r="L57" i="21" s="1"/>
  <c r="G57" i="21"/>
  <c r="P56" i="21"/>
  <c r="O56" i="21"/>
  <c r="N56" i="21"/>
  <c r="M56" i="21"/>
  <c r="A56" i="21"/>
  <c r="L56" i="21" s="1"/>
  <c r="O55" i="21"/>
  <c r="A55" i="21"/>
  <c r="L55" i="21" s="1"/>
  <c r="O54" i="21"/>
  <c r="A54" i="21"/>
  <c r="L54" i="21" s="1"/>
  <c r="AG59" i="19"/>
  <c r="F51" i="16" s="1"/>
  <c r="O53" i="21"/>
  <c r="A53" i="21"/>
  <c r="L53" i="21" s="1"/>
  <c r="O52" i="21"/>
  <c r="A52" i="21"/>
  <c r="L52" i="21" s="1"/>
  <c r="O51" i="21"/>
  <c r="A51" i="21"/>
  <c r="L51" i="21" s="1"/>
  <c r="AG56" i="19"/>
  <c r="F48" i="16" s="1"/>
  <c r="O50" i="21"/>
  <c r="A50" i="21"/>
  <c r="L50" i="21" s="1"/>
  <c r="P49" i="21"/>
  <c r="O49" i="21"/>
  <c r="N49" i="21"/>
  <c r="M49" i="21"/>
  <c r="A49" i="21"/>
  <c r="O48" i="21"/>
  <c r="A48" i="21"/>
  <c r="L48" i="21"/>
  <c r="G48" i="21"/>
  <c r="O47" i="21"/>
  <c r="A47" i="21"/>
  <c r="G47" i="21" s="1"/>
  <c r="O46" i="21"/>
  <c r="A46" i="21"/>
  <c r="O45" i="21"/>
  <c r="A45" i="21"/>
  <c r="L45" i="21"/>
  <c r="G45" i="21"/>
  <c r="O44" i="21"/>
  <c r="A44" i="21"/>
  <c r="G44" i="21" s="1"/>
  <c r="O43" i="21"/>
  <c r="A43" i="21"/>
  <c r="O42" i="21"/>
  <c r="A42" i="21"/>
  <c r="L42" i="21" s="1"/>
  <c r="G42" i="21"/>
  <c r="O41" i="21"/>
  <c r="A41" i="21"/>
  <c r="G41" i="21" s="1"/>
  <c r="O40" i="21"/>
  <c r="A40" i="21"/>
  <c r="O39" i="21"/>
  <c r="A39" i="21"/>
  <c r="L39" i="21" s="1"/>
  <c r="O38" i="21"/>
  <c r="A38" i="21"/>
  <c r="G38" i="21" s="1"/>
  <c r="L38" i="21"/>
  <c r="O37" i="21"/>
  <c r="A37" i="21"/>
  <c r="O36" i="21"/>
  <c r="A36" i="21"/>
  <c r="G36" i="21" s="1"/>
  <c r="L36" i="21"/>
  <c r="O35" i="21"/>
  <c r="A35" i="21"/>
  <c r="G35" i="21" s="1"/>
  <c r="O34" i="21"/>
  <c r="A34" i="21"/>
  <c r="O33" i="21"/>
  <c r="A33" i="21"/>
  <c r="L33" i="21"/>
  <c r="G33" i="21"/>
  <c r="P32" i="21"/>
  <c r="O32" i="21"/>
  <c r="N32" i="21"/>
  <c r="M32" i="21"/>
  <c r="A32" i="21"/>
  <c r="L32" i="21" s="1"/>
  <c r="O31" i="21"/>
  <c r="A31" i="21"/>
  <c r="L31" i="21"/>
  <c r="G31" i="21"/>
  <c r="O30" i="21"/>
  <c r="A30" i="21"/>
  <c r="L30" i="21" s="1"/>
  <c r="O29" i="21"/>
  <c r="A29" i="21"/>
  <c r="L29" i="21" s="1"/>
  <c r="G29" i="21"/>
  <c r="O28" i="21"/>
  <c r="A28" i="21"/>
  <c r="G28" i="21" s="1"/>
  <c r="L28" i="21"/>
  <c r="D25" i="16"/>
  <c r="O27" i="21"/>
  <c r="A27" i="21"/>
  <c r="G27" i="21" s="1"/>
  <c r="O26" i="21"/>
  <c r="A26" i="21"/>
  <c r="G26" i="21" s="1"/>
  <c r="L26" i="21"/>
  <c r="O25" i="21"/>
  <c r="A25" i="21"/>
  <c r="O24" i="21"/>
  <c r="A24" i="21"/>
  <c r="L24" i="21"/>
  <c r="G24" i="21"/>
  <c r="O23" i="21"/>
  <c r="A23" i="21"/>
  <c r="G23" i="21" s="1"/>
  <c r="O22" i="21"/>
  <c r="A22" i="21"/>
  <c r="O21" i="21"/>
  <c r="A21" i="21"/>
  <c r="L21" i="21" s="1"/>
  <c r="O20" i="21"/>
  <c r="A20" i="21"/>
  <c r="G20" i="21" s="1"/>
  <c r="O19" i="21"/>
  <c r="A19" i="21"/>
  <c r="O18" i="21"/>
  <c r="A18" i="21"/>
  <c r="L18" i="21" s="1"/>
  <c r="O17" i="21"/>
  <c r="A17" i="21"/>
  <c r="G17" i="21" s="1"/>
  <c r="L17" i="21"/>
  <c r="D14" i="16"/>
  <c r="O16" i="21"/>
  <c r="A16" i="21"/>
  <c r="L16" i="21" s="1"/>
  <c r="G16" i="21"/>
  <c r="O15" i="21"/>
  <c r="A15" i="21"/>
  <c r="L15" i="21" s="1"/>
  <c r="AG20" i="19"/>
  <c r="F12" i="16" s="1"/>
  <c r="O14" i="21"/>
  <c r="A14" i="21"/>
  <c r="L14" i="21" s="1"/>
  <c r="AG19" i="19"/>
  <c r="F11" i="16" s="1"/>
  <c r="O13" i="21"/>
  <c r="A13" i="21"/>
  <c r="L13" i="21" s="1"/>
  <c r="O12" i="21"/>
  <c r="A12" i="21"/>
  <c r="L12" i="21" s="1"/>
  <c r="AG17" i="19"/>
  <c r="F9" i="16" s="1"/>
  <c r="O11" i="21"/>
  <c r="A11" i="21"/>
  <c r="L11" i="21" s="1"/>
  <c r="AG16" i="19"/>
  <c r="F8" i="16" s="1"/>
  <c r="O10" i="21"/>
  <c r="A10" i="21"/>
  <c r="L10" i="21" s="1"/>
  <c r="O9" i="21"/>
  <c r="A9" i="21"/>
  <c r="L9" i="21" s="1"/>
  <c r="AG14" i="19"/>
  <c r="F6" i="16" s="1"/>
  <c r="O8" i="21"/>
  <c r="A8" i="21"/>
  <c r="L8" i="21" s="1"/>
  <c r="AG13" i="19"/>
  <c r="F5" i="16" s="1"/>
  <c r="O7" i="21"/>
  <c r="A7" i="21"/>
  <c r="L7" i="21" s="1"/>
  <c r="O6" i="21"/>
  <c r="A6" i="21"/>
  <c r="L6" i="21" s="1"/>
  <c r="AG11" i="19"/>
  <c r="F3" i="16" s="1"/>
  <c r="O5" i="21"/>
  <c r="A5" i="21"/>
  <c r="L5" i="21" s="1"/>
  <c r="C41" i="20"/>
  <c r="H37" i="20"/>
  <c r="X10" i="20"/>
  <c r="X26" i="20"/>
  <c r="L37" i="20"/>
  <c r="E41" i="20"/>
  <c r="M41" i="20"/>
  <c r="O41" i="20"/>
  <c r="B41" i="20"/>
  <c r="I8" i="20"/>
  <c r="AG77" i="19"/>
  <c r="F69" i="16" s="1"/>
  <c r="AG75" i="19"/>
  <c r="F67" i="16" s="1"/>
  <c r="AG74" i="19"/>
  <c r="F66" i="16" s="1"/>
  <c r="AG71" i="19"/>
  <c r="F63" i="16" s="1"/>
  <c r="AG68" i="19"/>
  <c r="F60" i="16" s="1"/>
  <c r="AG51" i="19"/>
  <c r="F43" i="16" s="1"/>
  <c r="L37" i="19"/>
  <c r="X26" i="19"/>
  <c r="X10" i="19"/>
  <c r="I8" i="19"/>
  <c r="B179" i="17"/>
  <c r="B178" i="17"/>
  <c r="B177" i="17"/>
  <c r="B176" i="17"/>
  <c r="B175" i="17"/>
  <c r="B174" i="17"/>
  <c r="B173" i="17"/>
  <c r="B172" i="17"/>
  <c r="B171" i="17"/>
  <c r="B170" i="17"/>
  <c r="B169" i="17"/>
  <c r="B168" i="17"/>
  <c r="B167" i="17"/>
  <c r="B166" i="17"/>
  <c r="B165" i="17"/>
  <c r="B164" i="17"/>
  <c r="B163" i="17"/>
  <c r="B162" i="17"/>
  <c r="B161" i="17"/>
  <c r="B160" i="17"/>
  <c r="B159" i="17"/>
  <c r="B158" i="17"/>
  <c r="B157" i="17"/>
  <c r="B156" i="17"/>
  <c r="B155" i="17"/>
  <c r="B154" i="17"/>
  <c r="B153" i="17"/>
  <c r="B152" i="17"/>
  <c r="B151" i="17"/>
  <c r="B150" i="17"/>
  <c r="B149" i="17"/>
  <c r="B148" i="17"/>
  <c r="B147" i="17"/>
  <c r="B146" i="17"/>
  <c r="B145" i="17"/>
  <c r="B144" i="17"/>
  <c r="B143" i="17"/>
  <c r="B142" i="17"/>
  <c r="B141" i="17"/>
  <c r="B140" i="17"/>
  <c r="B139" i="17"/>
  <c r="B138" i="17"/>
  <c r="B137" i="17"/>
  <c r="B136" i="17"/>
  <c r="B135" i="17"/>
  <c r="B134" i="17"/>
  <c r="B133" i="17"/>
  <c r="B132" i="17"/>
  <c r="B131" i="17"/>
  <c r="B130" i="17"/>
  <c r="B129" i="17"/>
  <c r="B128" i="17"/>
  <c r="B127" i="17"/>
  <c r="B126" i="17"/>
  <c r="B125" i="17"/>
  <c r="B124" i="17"/>
  <c r="B123" i="17"/>
  <c r="B122" i="17"/>
  <c r="B121" i="17"/>
  <c r="B120" i="17"/>
  <c r="B119" i="17"/>
  <c r="B118" i="17"/>
  <c r="B117" i="17"/>
  <c r="B116" i="17"/>
  <c r="B115" i="17"/>
  <c r="B114" i="17"/>
  <c r="B113" i="17"/>
  <c r="B112" i="17"/>
  <c r="B111" i="17"/>
  <c r="B110" i="17"/>
  <c r="B109" i="17"/>
  <c r="B108" i="17"/>
  <c r="B107" i="17"/>
  <c r="B106" i="17"/>
  <c r="B105" i="17"/>
  <c r="B104" i="17"/>
  <c r="B103" i="17"/>
  <c r="B102" i="17"/>
  <c r="B101" i="17"/>
  <c r="B100" i="17"/>
  <c r="B99" i="17"/>
  <c r="B98" i="17"/>
  <c r="B97" i="17"/>
  <c r="B96" i="17"/>
  <c r="B95" i="17"/>
  <c r="B94" i="17"/>
  <c r="B93" i="17"/>
  <c r="B92" i="17"/>
  <c r="B91" i="17"/>
  <c r="B90" i="17"/>
  <c r="B89" i="17"/>
  <c r="B88" i="17"/>
  <c r="B87" i="17"/>
  <c r="B86" i="17"/>
  <c r="B85" i="17"/>
  <c r="B84" i="17"/>
  <c r="B83" i="17"/>
  <c r="B82" i="17"/>
  <c r="B81" i="17"/>
  <c r="B80" i="17"/>
  <c r="B79" i="17"/>
  <c r="B78" i="17"/>
  <c r="B77" i="17"/>
  <c r="B76" i="17"/>
  <c r="B75" i="17"/>
  <c r="B74" i="17"/>
  <c r="B73" i="17"/>
  <c r="B72" i="17"/>
  <c r="B71" i="17"/>
  <c r="B70" i="17"/>
  <c r="B69" i="17"/>
  <c r="B68" i="17"/>
  <c r="B67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3" i="17"/>
  <c r="J78" i="16"/>
  <c r="H78" i="16"/>
  <c r="G78" i="16"/>
  <c r="R77" i="16"/>
  <c r="Q77" i="16"/>
  <c r="R76" i="16"/>
  <c r="Q76" i="16"/>
  <c r="R75" i="16"/>
  <c r="Q75" i="16"/>
  <c r="R74" i="16"/>
  <c r="Q74" i="16"/>
  <c r="R73" i="16"/>
  <c r="Q73" i="16"/>
  <c r="R72" i="16"/>
  <c r="Q72" i="16"/>
  <c r="R71" i="16"/>
  <c r="Q71" i="16"/>
  <c r="R70" i="16"/>
  <c r="Q70" i="16"/>
  <c r="R69" i="16"/>
  <c r="Q69" i="16"/>
  <c r="R68" i="16"/>
  <c r="Q68" i="16"/>
  <c r="R67" i="16"/>
  <c r="Q67" i="16"/>
  <c r="R66" i="16"/>
  <c r="Q66" i="16"/>
  <c r="R65" i="16"/>
  <c r="Q65" i="16"/>
  <c r="R64" i="16"/>
  <c r="Q64" i="16"/>
  <c r="R63" i="16"/>
  <c r="Q63" i="16"/>
  <c r="R62" i="16"/>
  <c r="Q62" i="16"/>
  <c r="R61" i="16"/>
  <c r="Q61" i="16"/>
  <c r="R60" i="16"/>
  <c r="Q60" i="16"/>
  <c r="R59" i="16"/>
  <c r="Q59" i="16"/>
  <c r="R58" i="16"/>
  <c r="Q58" i="16"/>
  <c r="R57" i="16"/>
  <c r="Q57" i="16"/>
  <c r="R56" i="16"/>
  <c r="Q56" i="16"/>
  <c r="R55" i="16"/>
  <c r="Q55" i="16"/>
  <c r="R54" i="16"/>
  <c r="Q54" i="16"/>
  <c r="R53" i="16"/>
  <c r="Q53" i="16"/>
  <c r="R52" i="16"/>
  <c r="Q52" i="16"/>
  <c r="U51" i="16"/>
  <c r="R51" i="16"/>
  <c r="Q51" i="16"/>
  <c r="R50" i="16"/>
  <c r="Q50" i="16"/>
  <c r="R49" i="16"/>
  <c r="Q49" i="16"/>
  <c r="R48" i="16"/>
  <c r="Q48" i="16"/>
  <c r="R47" i="16"/>
  <c r="Q47" i="16"/>
  <c r="R46" i="16"/>
  <c r="Q46" i="16"/>
  <c r="R45" i="16"/>
  <c r="Q45" i="16"/>
  <c r="R44" i="16"/>
  <c r="Q44" i="16"/>
  <c r="R43" i="16"/>
  <c r="Q43" i="16"/>
  <c r="R42" i="16"/>
  <c r="Q42" i="16"/>
  <c r="R41" i="16"/>
  <c r="Q41" i="16"/>
  <c r="R40" i="16"/>
  <c r="Q40" i="16"/>
  <c r="R39" i="16"/>
  <c r="Q39" i="16"/>
  <c r="AA25" i="16"/>
  <c r="AA26" i="16"/>
  <c r="AA27" i="16"/>
  <c r="AA28" i="16"/>
  <c r="AA29" i="16"/>
  <c r="AA30" i="16"/>
  <c r="AA31" i="16"/>
  <c r="AA32" i="16"/>
  <c r="AA33" i="16"/>
  <c r="AA34" i="16"/>
  <c r="AA35" i="16"/>
  <c r="AA36" i="16"/>
  <c r="R38" i="16"/>
  <c r="Q38" i="16"/>
  <c r="R37" i="16"/>
  <c r="Q37" i="16"/>
  <c r="R36" i="16"/>
  <c r="Q36" i="16"/>
  <c r="R35" i="16"/>
  <c r="Q35" i="16"/>
  <c r="R34" i="16"/>
  <c r="Q34" i="16"/>
  <c r="R33" i="16"/>
  <c r="Q33" i="16"/>
  <c r="R32" i="16"/>
  <c r="Q32" i="16"/>
  <c r="R31" i="16"/>
  <c r="Q31" i="16"/>
  <c r="R30" i="16"/>
  <c r="Q30" i="16"/>
  <c r="R29" i="16"/>
  <c r="Q29" i="16"/>
  <c r="R28" i="16"/>
  <c r="Q28" i="16"/>
  <c r="R27" i="16"/>
  <c r="Q27" i="16"/>
  <c r="R26" i="16"/>
  <c r="Q26" i="16"/>
  <c r="R25" i="16"/>
  <c r="Q25" i="16"/>
  <c r="R24" i="16"/>
  <c r="Q24" i="16"/>
  <c r="R23" i="16"/>
  <c r="Q23" i="16"/>
  <c r="R22" i="16"/>
  <c r="Q22" i="16"/>
  <c r="AI3" i="16"/>
  <c r="AI4" i="16"/>
  <c r="AI5" i="16"/>
  <c r="AI6" i="16"/>
  <c r="AI8" i="16"/>
  <c r="AI9" i="16"/>
  <c r="AI10" i="16"/>
  <c r="AB3" i="16"/>
  <c r="AB4" i="16"/>
  <c r="AB5" i="16"/>
  <c r="AB6" i="16"/>
  <c r="AB7" i="16"/>
  <c r="AB8" i="16"/>
  <c r="AB9" i="16"/>
  <c r="AB10" i="16"/>
  <c r="AB11" i="16"/>
  <c r="AB12" i="16"/>
  <c r="AB13" i="16"/>
  <c r="R21" i="16"/>
  <c r="Q21" i="16"/>
  <c r="R20" i="16"/>
  <c r="Q20" i="16"/>
  <c r="R19" i="16"/>
  <c r="Q19" i="16"/>
  <c r="AM18" i="16"/>
  <c r="R18" i="16"/>
  <c r="Q18" i="16"/>
  <c r="AM17" i="16"/>
  <c r="R17" i="16"/>
  <c r="Q17" i="16"/>
  <c r="AM16" i="16"/>
  <c r="R16" i="16"/>
  <c r="Q16" i="16"/>
  <c r="AM15" i="16"/>
  <c r="R15" i="16"/>
  <c r="Q15" i="16"/>
  <c r="AM14" i="16"/>
  <c r="R14" i="16"/>
  <c r="Q14" i="16"/>
  <c r="AM13" i="16"/>
  <c r="R13" i="16"/>
  <c r="Q13" i="16"/>
  <c r="AM12" i="16"/>
  <c r="R12" i="16"/>
  <c r="Q12" i="16"/>
  <c r="AM11" i="16"/>
  <c r="R11" i="16"/>
  <c r="Q11" i="16"/>
  <c r="R10" i="16"/>
  <c r="Q10" i="16"/>
  <c r="R9" i="16"/>
  <c r="Q9" i="16"/>
  <c r="R8" i="16"/>
  <c r="Q8" i="16"/>
  <c r="R7" i="16"/>
  <c r="Q7" i="16"/>
  <c r="R6" i="16"/>
  <c r="Q6" i="16"/>
  <c r="R5" i="16"/>
  <c r="Q5" i="16"/>
  <c r="R4" i="16"/>
  <c r="Q4" i="16"/>
  <c r="R3" i="16"/>
  <c r="Q3" i="16"/>
  <c r="R1" i="16"/>
  <c r="C4" i="15"/>
  <c r="D4" i="15"/>
  <c r="E4" i="15"/>
  <c r="F4" i="15"/>
  <c r="G4" i="15"/>
  <c r="H4" i="15"/>
  <c r="H68" i="15"/>
  <c r="G68" i="15"/>
  <c r="F68" i="15"/>
  <c r="E68" i="15"/>
  <c r="D68" i="15"/>
  <c r="C68" i="15"/>
  <c r="C78" i="13"/>
  <c r="AA3" i="13"/>
  <c r="J3" i="13" s="1"/>
  <c r="AA4" i="13"/>
  <c r="AA5" i="13"/>
  <c r="J11" i="13" s="1"/>
  <c r="AA6" i="13"/>
  <c r="J13" i="13"/>
  <c r="AA7" i="13"/>
  <c r="J16" i="13" s="1"/>
  <c r="AA9" i="13"/>
  <c r="J31" i="13"/>
  <c r="AA10" i="13"/>
  <c r="J34" i="13" s="1"/>
  <c r="AA12" i="13"/>
  <c r="J44" i="13" s="1"/>
  <c r="AA13" i="13"/>
  <c r="J58" i="13"/>
  <c r="AA14" i="13"/>
  <c r="J61" i="13" s="1"/>
  <c r="AA15" i="13"/>
  <c r="J76" i="13" s="1"/>
  <c r="H77" i="13"/>
  <c r="G77" i="13"/>
  <c r="F77" i="13"/>
  <c r="D77" i="13"/>
  <c r="Q76" i="13"/>
  <c r="P76" i="13"/>
  <c r="O76" i="13"/>
  <c r="Q75" i="13"/>
  <c r="P75" i="13"/>
  <c r="O75" i="13"/>
  <c r="Q74" i="13"/>
  <c r="P74" i="13"/>
  <c r="O74" i="13"/>
  <c r="Q73" i="13"/>
  <c r="P73" i="13"/>
  <c r="O73" i="13"/>
  <c r="Q72" i="13"/>
  <c r="P72" i="13"/>
  <c r="O72" i="13"/>
  <c r="Q71" i="13"/>
  <c r="P71" i="13"/>
  <c r="O71" i="13"/>
  <c r="Q70" i="13"/>
  <c r="P70" i="13"/>
  <c r="O70" i="13"/>
  <c r="Q69" i="13"/>
  <c r="P69" i="13"/>
  <c r="O69" i="13"/>
  <c r="Q68" i="13"/>
  <c r="P68" i="13"/>
  <c r="O68" i="13"/>
  <c r="Q67" i="13"/>
  <c r="P67" i="13"/>
  <c r="O67" i="13"/>
  <c r="Q66" i="13"/>
  <c r="P66" i="13"/>
  <c r="O66" i="13"/>
  <c r="Q65" i="13"/>
  <c r="P65" i="13"/>
  <c r="M64" i="13"/>
  <c r="L64" i="13"/>
  <c r="K64" i="13"/>
  <c r="Q63" i="13"/>
  <c r="P63" i="13"/>
  <c r="P62" i="13"/>
  <c r="P61" i="13"/>
  <c r="P60" i="13"/>
  <c r="Q59" i="13"/>
  <c r="P59" i="13"/>
  <c r="Q58" i="13"/>
  <c r="P58" i="13"/>
  <c r="Q57" i="13"/>
  <c r="P57" i="13"/>
  <c r="Q56" i="13"/>
  <c r="P56" i="13"/>
  <c r="Q55" i="13"/>
  <c r="P55" i="13"/>
  <c r="Q54" i="13"/>
  <c r="P54" i="13"/>
  <c r="Q53" i="13"/>
  <c r="P53" i="13"/>
  <c r="Q52" i="13"/>
  <c r="P52" i="13"/>
  <c r="Q51" i="13"/>
  <c r="P51" i="13"/>
  <c r="Q50" i="13"/>
  <c r="P50" i="13"/>
  <c r="T49" i="13"/>
  <c r="Q49" i="13"/>
  <c r="P49" i="13"/>
  <c r="Q48" i="13"/>
  <c r="P48" i="13"/>
  <c r="P47" i="13"/>
  <c r="P46" i="13"/>
  <c r="Q45" i="13"/>
  <c r="P45" i="13"/>
  <c r="Q44" i="13"/>
  <c r="P44" i="13"/>
  <c r="Q43" i="13"/>
  <c r="P43" i="13"/>
  <c r="Q42" i="13"/>
  <c r="P42" i="13"/>
  <c r="Q41" i="13"/>
  <c r="P41" i="13"/>
  <c r="Q40" i="13"/>
  <c r="P40" i="13"/>
  <c r="Q39" i="13"/>
  <c r="P39" i="13"/>
  <c r="AA38" i="13"/>
  <c r="Q38" i="13"/>
  <c r="P38" i="13"/>
  <c r="AA37" i="13"/>
  <c r="Q37" i="13"/>
  <c r="P37" i="13"/>
  <c r="AA36" i="13"/>
  <c r="Q36" i="13"/>
  <c r="P36" i="13"/>
  <c r="AA35" i="13"/>
  <c r="Q35" i="13"/>
  <c r="P35" i="13"/>
  <c r="AA34" i="13"/>
  <c r="Q34" i="13"/>
  <c r="P34" i="13"/>
  <c r="AA33" i="13"/>
  <c r="Q33" i="13"/>
  <c r="P33" i="13"/>
  <c r="AA32" i="13"/>
  <c r="Q32" i="13"/>
  <c r="P32" i="13"/>
  <c r="AA31" i="13"/>
  <c r="Q31" i="13"/>
  <c r="P31" i="13"/>
  <c r="AA30" i="13"/>
  <c r="Q30" i="13"/>
  <c r="P30" i="13"/>
  <c r="AA29" i="13"/>
  <c r="Q29" i="13"/>
  <c r="P29" i="13"/>
  <c r="AA28" i="13"/>
  <c r="Q28" i="13"/>
  <c r="P28" i="13"/>
  <c r="AA27" i="13"/>
  <c r="Q27" i="13"/>
  <c r="P27" i="13"/>
  <c r="AA26" i="13"/>
  <c r="Q26" i="13"/>
  <c r="P26" i="13"/>
  <c r="AA25" i="13"/>
  <c r="Q25" i="13"/>
  <c r="P25" i="13"/>
  <c r="Q24" i="13"/>
  <c r="P24" i="13"/>
  <c r="Q23" i="13"/>
  <c r="P23" i="13"/>
  <c r="Q22" i="13"/>
  <c r="P22" i="13"/>
  <c r="AA8" i="13"/>
  <c r="AA11" i="13"/>
  <c r="AA16" i="13"/>
  <c r="AA17" i="13"/>
  <c r="AA18" i="13"/>
  <c r="AA19" i="13"/>
  <c r="AA20" i="13"/>
  <c r="Q21" i="13"/>
  <c r="P21" i="13"/>
  <c r="Z20" i="13"/>
  <c r="Q20" i="13"/>
  <c r="P20" i="13"/>
  <c r="Z19" i="13"/>
  <c r="Q19" i="13"/>
  <c r="P19" i="13"/>
  <c r="Z18" i="13"/>
  <c r="Q18" i="13"/>
  <c r="P18" i="13"/>
  <c r="Z17" i="13"/>
  <c r="Q17" i="13"/>
  <c r="P17" i="13"/>
  <c r="Z16" i="13"/>
  <c r="Q16" i="13"/>
  <c r="P16" i="13"/>
  <c r="Z15" i="13"/>
  <c r="Q15" i="13"/>
  <c r="P15" i="13"/>
  <c r="Z14" i="13"/>
  <c r="Q14" i="13"/>
  <c r="P14" i="13"/>
  <c r="Z13" i="13"/>
  <c r="Q13" i="13"/>
  <c r="P13" i="13"/>
  <c r="Z12" i="13"/>
  <c r="Q12" i="13"/>
  <c r="P12" i="13"/>
  <c r="Z11" i="13"/>
  <c r="Q11" i="13"/>
  <c r="P11" i="13"/>
  <c r="Z10" i="13"/>
  <c r="Q10" i="13"/>
  <c r="P10" i="13"/>
  <c r="Z9" i="13"/>
  <c r="Q9" i="13"/>
  <c r="P9" i="13"/>
  <c r="Z8" i="13"/>
  <c r="Q8" i="13"/>
  <c r="P8" i="13"/>
  <c r="Z7" i="13"/>
  <c r="Q7" i="13"/>
  <c r="P7" i="13"/>
  <c r="Z6" i="13"/>
  <c r="Q6" i="13"/>
  <c r="P6" i="13"/>
  <c r="Z5" i="13"/>
  <c r="Q5" i="13"/>
  <c r="P5" i="13"/>
  <c r="Z4" i="13"/>
  <c r="Q4" i="13"/>
  <c r="P4" i="13"/>
  <c r="Z3" i="13"/>
  <c r="Q3" i="13"/>
  <c r="P3" i="13"/>
  <c r="Q1" i="13"/>
  <c r="O1" i="13"/>
  <c r="CF63" i="8"/>
  <c r="CE63" i="8"/>
  <c r="CD63" i="8"/>
  <c r="CC63" i="8"/>
  <c r="CB63" i="8"/>
  <c r="CA63" i="8"/>
  <c r="BZ63" i="8"/>
  <c r="CF62" i="8"/>
  <c r="AM18" i="8"/>
  <c r="CE62" i="8" s="1"/>
  <c r="CD62" i="8"/>
  <c r="CC62" i="8"/>
  <c r="CB62" i="8"/>
  <c r="CA62" i="8"/>
  <c r="BH3" i="8"/>
  <c r="BZ62" i="8" s="1"/>
  <c r="CF61" i="8"/>
  <c r="CE61" i="8"/>
  <c r="CD61" i="8"/>
  <c r="CC61" i="8"/>
  <c r="CB61" i="8"/>
  <c r="CA61" i="8"/>
  <c r="BZ61" i="8"/>
  <c r="CF60" i="8"/>
  <c r="CE60" i="8"/>
  <c r="CD60" i="8"/>
  <c r="CC60" i="8"/>
  <c r="CB60" i="8"/>
  <c r="CA60" i="8"/>
  <c r="BZ60" i="8"/>
  <c r="CF59" i="8"/>
  <c r="CE59" i="8"/>
  <c r="AC15" i="8"/>
  <c r="CD59" i="8" s="1"/>
  <c r="CC59" i="8"/>
  <c r="CB59" i="8"/>
  <c r="CA59" i="8"/>
  <c r="BZ59" i="8"/>
  <c r="CF58" i="8"/>
  <c r="CE58" i="8"/>
  <c r="CD58" i="8"/>
  <c r="CC58" i="8"/>
  <c r="CB58" i="8"/>
  <c r="CA58" i="8"/>
  <c r="BZ58" i="8"/>
  <c r="CF57" i="8"/>
  <c r="CE57" i="8"/>
  <c r="CD57" i="8"/>
  <c r="CC57" i="8"/>
  <c r="CB57" i="8"/>
  <c r="CA57" i="8"/>
  <c r="BZ57" i="8"/>
  <c r="CF56" i="8"/>
  <c r="CE56" i="8"/>
  <c r="CD56" i="8"/>
  <c r="CC56" i="8"/>
  <c r="CB56" i="8"/>
  <c r="CA56" i="8"/>
  <c r="BZ56" i="8"/>
  <c r="CF55" i="8"/>
  <c r="CE55" i="8"/>
  <c r="CD55" i="8"/>
  <c r="CC55" i="8"/>
  <c r="CB55" i="8"/>
  <c r="CA55" i="8"/>
  <c r="BZ55" i="8"/>
  <c r="AX11" i="8"/>
  <c r="AX16" i="8"/>
  <c r="AX24" i="8"/>
  <c r="CE54" i="8"/>
  <c r="CD54" i="8"/>
  <c r="CC54" i="8"/>
  <c r="CB54" i="8"/>
  <c r="CA54" i="8"/>
  <c r="BH6" i="8"/>
  <c r="BZ54" i="8" s="1"/>
  <c r="CF53" i="8"/>
  <c r="CE53" i="8"/>
  <c r="CD53" i="8"/>
  <c r="CC53" i="8"/>
  <c r="CB53" i="8"/>
  <c r="CA53" i="8"/>
  <c r="BH15" i="8"/>
  <c r="BH20" i="8"/>
  <c r="CF52" i="8"/>
  <c r="CE52" i="8"/>
  <c r="CD52" i="8"/>
  <c r="CC52" i="8"/>
  <c r="I15" i="8"/>
  <c r="I16" i="8"/>
  <c r="CA52" i="8"/>
  <c r="BZ52" i="8"/>
  <c r="CF51" i="8"/>
  <c r="CE51" i="8"/>
  <c r="CD51" i="8"/>
  <c r="CC51" i="8"/>
  <c r="CB51" i="8"/>
  <c r="CA51" i="8"/>
  <c r="BZ51" i="8"/>
  <c r="CF50" i="8"/>
  <c r="AM3" i="8"/>
  <c r="AM30" i="8"/>
  <c r="CD50" i="8"/>
  <c r="CC50" i="8"/>
  <c r="CB50" i="8"/>
  <c r="CA50" i="8"/>
  <c r="BZ50" i="8"/>
  <c r="CF49" i="8"/>
  <c r="CE49" i="8"/>
  <c r="CD49" i="8"/>
  <c r="CC49" i="8"/>
  <c r="I27" i="8"/>
  <c r="I28" i="8"/>
  <c r="BP15" i="8"/>
  <c r="CA49" i="8" s="1"/>
  <c r="BP23" i="8"/>
  <c r="BZ49" i="8"/>
  <c r="CF48" i="8"/>
  <c r="CE48" i="8"/>
  <c r="AC6" i="8"/>
  <c r="AC7" i="8"/>
  <c r="CD48" i="8" s="1"/>
  <c r="CC48" i="8"/>
  <c r="CB48" i="8"/>
  <c r="CA48" i="8"/>
  <c r="BH32" i="8"/>
  <c r="BZ48" i="8" s="1"/>
  <c r="CF47" i="8"/>
  <c r="CE47" i="8"/>
  <c r="CD47" i="8"/>
  <c r="S6" i="8"/>
  <c r="S27" i="8"/>
  <c r="S28" i="8"/>
  <c r="CB47" i="8"/>
  <c r="CA47" i="8"/>
  <c r="BZ47" i="8"/>
  <c r="CF46" i="8"/>
  <c r="AM16" i="8"/>
  <c r="CE46" i="8"/>
  <c r="CD46" i="8"/>
  <c r="CC46" i="8"/>
  <c r="CB46" i="8"/>
  <c r="CA46" i="8"/>
  <c r="BZ46" i="8"/>
  <c r="CF45" i="8"/>
  <c r="CE45" i="8"/>
  <c r="AC3" i="8"/>
  <c r="AC4" i="8"/>
  <c r="AC21" i="8"/>
  <c r="AC22" i="8"/>
  <c r="CC45" i="8"/>
  <c r="CB45" i="8"/>
  <c r="CA45" i="8"/>
  <c r="BZ45" i="8"/>
  <c r="CF44" i="8"/>
  <c r="CE44" i="8"/>
  <c r="CD44" i="8"/>
  <c r="CC44" i="8"/>
  <c r="I9" i="8"/>
  <c r="CB44" i="8" s="1"/>
  <c r="I21" i="8"/>
  <c r="I22" i="8"/>
  <c r="CA44" i="8"/>
  <c r="BZ44" i="8"/>
  <c r="CF43" i="8"/>
  <c r="CE43" i="8"/>
  <c r="CD43" i="8"/>
  <c r="CC43" i="8"/>
  <c r="CB43" i="8"/>
  <c r="CA43" i="8"/>
  <c r="BZ43" i="8"/>
  <c r="CF42" i="8"/>
  <c r="CE42" i="8"/>
  <c r="AC10" i="8"/>
  <c r="AC11" i="8"/>
  <c r="CC42" i="8"/>
  <c r="CB42" i="8"/>
  <c r="CA42" i="8"/>
  <c r="BZ42" i="8"/>
  <c r="AX4" i="8"/>
  <c r="AX10" i="8"/>
  <c r="AX12" i="8"/>
  <c r="CE41" i="8"/>
  <c r="CD41" i="8"/>
  <c r="CC41" i="8"/>
  <c r="CB41" i="8"/>
  <c r="CA41" i="8"/>
  <c r="BZ41" i="8"/>
  <c r="AX3" i="8"/>
  <c r="CF40" i="8" s="1"/>
  <c r="AX27" i="8"/>
  <c r="CE40" i="8"/>
  <c r="CD40" i="8"/>
  <c r="CC40" i="8"/>
  <c r="CB40" i="8"/>
  <c r="CA40" i="8"/>
  <c r="BZ40" i="8"/>
  <c r="CF39" i="8"/>
  <c r="CE39" i="8"/>
  <c r="CD39" i="8"/>
  <c r="S9" i="8"/>
  <c r="S24" i="8"/>
  <c r="S25" i="8"/>
  <c r="CB39" i="8"/>
  <c r="CA39" i="8"/>
  <c r="BZ39" i="8"/>
  <c r="CF38" i="8"/>
  <c r="AM15" i="8"/>
  <c r="CE38" i="8" s="1"/>
  <c r="CD38" i="8"/>
  <c r="CC38" i="8"/>
  <c r="CB38" i="8"/>
  <c r="CA38" i="8"/>
  <c r="BZ38" i="8"/>
  <c r="CF37" i="8"/>
  <c r="AM6" i="8"/>
  <c r="AM24" i="8"/>
  <c r="CD37" i="8"/>
  <c r="CC37" i="8"/>
  <c r="CB37" i="8"/>
  <c r="CA37" i="8"/>
  <c r="BZ37" i="8"/>
  <c r="AX5" i="8"/>
  <c r="AX18" i="8"/>
  <c r="CE36" i="8"/>
  <c r="CD36" i="8"/>
  <c r="CC36" i="8"/>
  <c r="CB36" i="8"/>
  <c r="CA36" i="8"/>
  <c r="BZ36" i="8"/>
  <c r="AX31" i="8"/>
  <c r="CF35" i="8" s="1"/>
  <c r="CE35" i="8"/>
  <c r="CD35" i="8"/>
  <c r="CC35" i="8"/>
  <c r="CB35" i="8"/>
  <c r="CA35" i="8"/>
  <c r="BZ35" i="8"/>
  <c r="AX19" i="8"/>
  <c r="CF34" i="8" s="1"/>
  <c r="CE34" i="8"/>
  <c r="CD34" i="8"/>
  <c r="CC34" i="8"/>
  <c r="CB34" i="8"/>
  <c r="CA34" i="8"/>
  <c r="BZ34" i="8"/>
  <c r="CF33" i="8"/>
  <c r="CE33" i="8"/>
  <c r="CD33" i="8"/>
  <c r="CC33" i="8"/>
  <c r="CB33" i="8"/>
  <c r="CA33" i="8"/>
  <c r="BZ33" i="8"/>
  <c r="CF32" i="8"/>
  <c r="AM7" i="8"/>
  <c r="AM12" i="8"/>
  <c r="CD32" i="8"/>
  <c r="CC32" i="8"/>
  <c r="CB32" i="8"/>
  <c r="CA32" i="8"/>
  <c r="BZ32" i="8"/>
  <c r="AX32" i="8"/>
  <c r="AM32" i="8"/>
  <c r="AC32" i="8"/>
  <c r="S32" i="8"/>
  <c r="I32" i="8"/>
  <c r="CF31" i="8"/>
  <c r="CE31" i="8"/>
  <c r="CD31" i="8"/>
  <c r="CC31" i="8"/>
  <c r="CB31" i="8"/>
  <c r="BP16" i="8"/>
  <c r="BP18" i="8"/>
  <c r="BP21" i="8"/>
  <c r="BH5" i="8"/>
  <c r="BZ31" i="8" s="1"/>
  <c r="BH31" i="8"/>
  <c r="AM31" i="8"/>
  <c r="AC31" i="8"/>
  <c r="S31" i="8"/>
  <c r="I31" i="8"/>
  <c r="CF30" i="8"/>
  <c r="AM4" i="8"/>
  <c r="CE30" i="8" s="1"/>
  <c r="CD30" i="8"/>
  <c r="CC30" i="8"/>
  <c r="CB30" i="8"/>
  <c r="CA30" i="8"/>
  <c r="BH13" i="8"/>
  <c r="BH28" i="8"/>
  <c r="BH30" i="8"/>
  <c r="AX30" i="8"/>
  <c r="AC30" i="8"/>
  <c r="S30" i="8"/>
  <c r="I30" i="8"/>
  <c r="CF29" i="8"/>
  <c r="CE29" i="8"/>
  <c r="AC18" i="8"/>
  <c r="AC19" i="8"/>
  <c r="CC29" i="8"/>
  <c r="CB29" i="8"/>
  <c r="CA29" i="8"/>
  <c r="BZ29" i="8"/>
  <c r="BH29" i="8"/>
  <c r="AX29" i="8"/>
  <c r="AM29" i="8"/>
  <c r="AC29" i="8"/>
  <c r="S29" i="8"/>
  <c r="I29" i="8"/>
  <c r="AX15" i="8"/>
  <c r="CF28" i="8" s="1"/>
  <c r="CE28" i="8"/>
  <c r="CD28" i="8"/>
  <c r="CC28" i="8"/>
  <c r="CB28" i="8"/>
  <c r="CA28" i="8"/>
  <c r="BZ28" i="8"/>
  <c r="AX28" i="8"/>
  <c r="AM28" i="8"/>
  <c r="AC28" i="8"/>
  <c r="CF27" i="8"/>
  <c r="CE27" i="8"/>
  <c r="CD27" i="8"/>
  <c r="CC27" i="8"/>
  <c r="CB27" i="8"/>
  <c r="CA27" i="8"/>
  <c r="BH25" i="8"/>
  <c r="BZ27" i="8" s="1"/>
  <c r="BH27" i="8"/>
  <c r="AM27" i="8"/>
  <c r="AC27" i="8"/>
  <c r="CF26" i="8"/>
  <c r="CE26" i="8"/>
  <c r="CD26" i="8"/>
  <c r="S3" i="8"/>
  <c r="CC26" i="8" s="1"/>
  <c r="CB26" i="8"/>
  <c r="CA26" i="8"/>
  <c r="BZ26" i="8"/>
  <c r="BH26" i="8"/>
  <c r="AX26" i="8"/>
  <c r="AM26" i="8"/>
  <c r="AC26" i="8"/>
  <c r="S26" i="8"/>
  <c r="I26" i="8"/>
  <c r="CF25" i="8"/>
  <c r="AM9" i="8"/>
  <c r="AM21" i="8"/>
  <c r="CD25" i="8"/>
  <c r="CC25" i="8"/>
  <c r="CB25" i="8"/>
  <c r="CA25" i="8"/>
  <c r="BZ25" i="8"/>
  <c r="AX25" i="8"/>
  <c r="AM25" i="8"/>
  <c r="AC25" i="8"/>
  <c r="I25" i="8"/>
  <c r="CF24" i="8"/>
  <c r="CE24" i="8"/>
  <c r="CD24" i="8"/>
  <c r="CC24" i="8"/>
  <c r="CB24" i="8"/>
  <c r="CA24" i="8"/>
  <c r="BH24" i="8"/>
  <c r="BZ24" i="8"/>
  <c r="AC24" i="8"/>
  <c r="CD22" i="8" s="1"/>
  <c r="I24" i="8"/>
  <c r="AX6" i="8"/>
  <c r="AX7" i="8"/>
  <c r="CF23" i="8"/>
  <c r="CE23" i="8"/>
  <c r="CD23" i="8"/>
  <c r="CC23" i="8"/>
  <c r="CB23" i="8"/>
  <c r="CA23" i="8"/>
  <c r="BZ23" i="8"/>
  <c r="BH23" i="8"/>
  <c r="AX23" i="8"/>
  <c r="AM23" i="8"/>
  <c r="AC23" i="8"/>
  <c r="S23" i="8"/>
  <c r="I23" i="8"/>
  <c r="CF22" i="8"/>
  <c r="CE22" i="8"/>
  <c r="CC22" i="8"/>
  <c r="I3" i="8"/>
  <c r="CB22" i="8" s="1"/>
  <c r="CA22" i="8"/>
  <c r="BZ22" i="8"/>
  <c r="BP22" i="8"/>
  <c r="BH22" i="8"/>
  <c r="AX22" i="8"/>
  <c r="AM22" i="8"/>
  <c r="S22" i="8"/>
  <c r="CF21" i="8"/>
  <c r="AM8" i="8"/>
  <c r="CD21" i="8"/>
  <c r="CC21" i="8"/>
  <c r="CB21" i="8"/>
  <c r="CA21" i="8"/>
  <c r="BZ21" i="8"/>
  <c r="BH21" i="8"/>
  <c r="AX21" i="8"/>
  <c r="S21" i="8"/>
  <c r="CC16" i="8" s="1"/>
  <c r="CF20" i="8"/>
  <c r="CE20" i="8"/>
  <c r="AC12" i="8"/>
  <c r="AC13" i="8"/>
  <c r="CC20" i="8"/>
  <c r="CB20" i="8"/>
  <c r="CA20" i="8"/>
  <c r="BH18" i="8"/>
  <c r="BZ20" i="8" s="1"/>
  <c r="BP20" i="8"/>
  <c r="CA16" i="8" s="1"/>
  <c r="AX20" i="8"/>
  <c r="AM20" i="8"/>
  <c r="AC20" i="8"/>
  <c r="S20" i="8"/>
  <c r="I20" i="8"/>
  <c r="CF19" i="8"/>
  <c r="CE19" i="8"/>
  <c r="CD19" i="8"/>
  <c r="CC19" i="8"/>
  <c r="I18" i="8"/>
  <c r="I19" i="8"/>
  <c r="CA19" i="8"/>
  <c r="BH12" i="8"/>
  <c r="BZ19" i="8"/>
  <c r="BP19" i="8"/>
  <c r="CA7" i="8" s="1"/>
  <c r="BH19" i="8"/>
  <c r="AM19" i="8"/>
  <c r="S19" i="8"/>
  <c r="CF18" i="8"/>
  <c r="CE18" i="8"/>
  <c r="CD18" i="8"/>
  <c r="S18" i="8"/>
  <c r="CB18" i="8"/>
  <c r="CA18" i="8"/>
  <c r="BZ18" i="8"/>
  <c r="CF17" i="8"/>
  <c r="CE17" i="8"/>
  <c r="CD17" i="8"/>
  <c r="CC17" i="8"/>
  <c r="CB17" i="8"/>
  <c r="CA17" i="8"/>
  <c r="BZ17" i="8"/>
  <c r="BP17" i="8"/>
  <c r="BH17" i="8"/>
  <c r="AX17" i="8"/>
  <c r="AM17" i="8"/>
  <c r="AC17" i="8"/>
  <c r="S17" i="8"/>
  <c r="I17" i="8"/>
  <c r="CF16" i="8"/>
  <c r="CE16" i="8"/>
  <c r="CD16" i="8"/>
  <c r="CB16" i="8"/>
  <c r="BZ16" i="8"/>
  <c r="BH16" i="8"/>
  <c r="AC16" i="8"/>
  <c r="S16" i="8"/>
  <c r="CF15" i="8"/>
  <c r="CE15" i="8"/>
  <c r="CD15" i="8"/>
  <c r="CC15" i="8"/>
  <c r="CB15" i="8"/>
  <c r="CA15" i="8"/>
  <c r="BZ15" i="8"/>
  <c r="BY15" i="8" s="1"/>
  <c r="S15" i="8"/>
  <c r="CC14" i="8" s="1"/>
  <c r="AX8" i="8"/>
  <c r="CF14" i="8"/>
  <c r="CE14" i="8"/>
  <c r="CD14" i="8"/>
  <c r="CA14" i="8"/>
  <c r="BZ14" i="8"/>
  <c r="BH14" i="8"/>
  <c r="AX14" i="8"/>
  <c r="AM14" i="8"/>
  <c r="AC14" i="8"/>
  <c r="S14" i="8"/>
  <c r="I14" i="8"/>
  <c r="CF13" i="8"/>
  <c r="CE13" i="8"/>
  <c r="CD13" i="8"/>
  <c r="CC13" i="8"/>
  <c r="I6" i="8"/>
  <c r="CB13" i="8" s="1"/>
  <c r="CA13" i="8"/>
  <c r="BZ13" i="8"/>
  <c r="AX13" i="8"/>
  <c r="AM13" i="8"/>
  <c r="S13" i="8"/>
  <c r="I13" i="8"/>
  <c r="CF12" i="8"/>
  <c r="CE12" i="8"/>
  <c r="CD12" i="8"/>
  <c r="CC12" i="8"/>
  <c r="I12" i="8"/>
  <c r="CB12" i="8"/>
  <c r="CA12" i="8"/>
  <c r="BZ12" i="8"/>
  <c r="S12" i="8"/>
  <c r="CC10" i="8" s="1"/>
  <c r="CF11" i="8"/>
  <c r="CE11" i="8"/>
  <c r="CD11" i="8"/>
  <c r="CC11" i="8"/>
  <c r="CB11" i="8"/>
  <c r="CA11" i="8"/>
  <c r="BZ11" i="8"/>
  <c r="BH11" i="8"/>
  <c r="AM11" i="8"/>
  <c r="S11" i="8"/>
  <c r="I11" i="8"/>
  <c r="CF10" i="8"/>
  <c r="CE10" i="8"/>
  <c r="AC9" i="8"/>
  <c r="CD10" i="8" s="1"/>
  <c r="CB10" i="8"/>
  <c r="CA10" i="8"/>
  <c r="BZ10" i="8"/>
  <c r="BH10" i="8"/>
  <c r="AM10" i="8"/>
  <c r="S10" i="8"/>
  <c r="I10" i="8"/>
  <c r="CF9" i="8"/>
  <c r="CE9" i="8"/>
  <c r="CD9" i="8"/>
  <c r="CC9" i="8"/>
  <c r="CB9" i="8"/>
  <c r="CA9" i="8"/>
  <c r="BH9" i="8"/>
  <c r="AX9" i="8"/>
  <c r="CF8" i="8" s="1"/>
  <c r="CE8" i="8"/>
  <c r="CD8" i="8"/>
  <c r="CC8" i="8"/>
  <c r="CB8" i="8"/>
  <c r="CA8" i="8"/>
  <c r="BZ8" i="8"/>
  <c r="BH8" i="8"/>
  <c r="AC8" i="8"/>
  <c r="S8" i="8"/>
  <c r="I8" i="8"/>
  <c r="CF7" i="8"/>
  <c r="CE7" i="8"/>
  <c r="CD7" i="8"/>
  <c r="CC7" i="8"/>
  <c r="CB7" i="8"/>
  <c r="BH4" i="8"/>
  <c r="BH7" i="8"/>
  <c r="BZ4" i="8" s="1"/>
  <c r="S7" i="8"/>
  <c r="I7" i="8"/>
  <c r="CF6" i="8"/>
  <c r="CE6" i="8"/>
  <c r="CD6" i="8"/>
  <c r="CC6" i="8"/>
  <c r="CB6" i="8"/>
  <c r="CA6" i="8"/>
  <c r="BZ6" i="8"/>
  <c r="BY6" i="8" s="1"/>
  <c r="CF5" i="8"/>
  <c r="CE5" i="8"/>
  <c r="CD5" i="8"/>
  <c r="CC5" i="8"/>
  <c r="CB5" i="8"/>
  <c r="CA5" i="8"/>
  <c r="BZ5" i="8"/>
  <c r="AM5" i="8"/>
  <c r="AC5" i="8"/>
  <c r="S5" i="8"/>
  <c r="I5" i="8"/>
  <c r="CF4" i="8"/>
  <c r="CE4" i="8"/>
  <c r="CD4" i="8"/>
  <c r="CC4" i="8"/>
  <c r="CB4" i="8"/>
  <c r="CA4" i="8"/>
  <c r="S4" i="8"/>
  <c r="I4" i="8"/>
  <c r="CF3" i="8"/>
  <c r="CE3" i="8"/>
  <c r="CD3" i="8"/>
  <c r="CC3" i="8"/>
  <c r="CB3" i="8"/>
  <c r="CA3" i="8"/>
  <c r="BZ3" i="8"/>
  <c r="BV77" i="5"/>
  <c r="BU76" i="5"/>
  <c r="BW76" i="5" s="1"/>
  <c r="BN76" i="5"/>
  <c r="BO76" i="5" s="1"/>
  <c r="BQ76" i="5"/>
  <c r="BR76" i="5" s="1"/>
  <c r="BS76" i="5" s="1"/>
  <c r="BV76" i="5" s="1"/>
  <c r="F77" i="4" s="1"/>
  <c r="BU75" i="5"/>
  <c r="BW75" i="5" s="1"/>
  <c r="BN75" i="5"/>
  <c r="BO75" i="5"/>
  <c r="BQ75" i="5"/>
  <c r="BR75" i="5" s="1"/>
  <c r="BS75" i="5" s="1"/>
  <c r="BV75" i="5" s="1"/>
  <c r="F76" i="4" s="1"/>
  <c r="BU74" i="5"/>
  <c r="BW74" i="5"/>
  <c r="BN74" i="5"/>
  <c r="BO74" i="5" s="1"/>
  <c r="BQ74" i="5"/>
  <c r="BR74" i="5" s="1"/>
  <c r="BS74" i="5" s="1"/>
  <c r="AV34" i="5"/>
  <c r="BU73" i="5"/>
  <c r="BW73" i="5" s="1"/>
  <c r="BN73" i="5"/>
  <c r="BO73" i="5" s="1"/>
  <c r="BQ73" i="5"/>
  <c r="AV14" i="5"/>
  <c r="BR73" i="5"/>
  <c r="BS73" i="5" s="1"/>
  <c r="BU72" i="5"/>
  <c r="BW72" i="5" s="1"/>
  <c r="BN72" i="5"/>
  <c r="BO72" i="5" s="1"/>
  <c r="BQ72" i="5"/>
  <c r="BR72" i="5" s="1"/>
  <c r="BS72" i="5" s="1"/>
  <c r="BV72" i="5" s="1"/>
  <c r="F73" i="4" s="1"/>
  <c r="BU71" i="5"/>
  <c r="BW71" i="5" s="1"/>
  <c r="AO12" i="5"/>
  <c r="AO36" i="5"/>
  <c r="BQ71" i="5"/>
  <c r="BR71" i="5" s="1"/>
  <c r="BS71" i="5" s="1"/>
  <c r="BU70" i="5"/>
  <c r="BW70" i="5" s="1"/>
  <c r="AI12" i="5"/>
  <c r="AO8" i="5"/>
  <c r="BQ70" i="5"/>
  <c r="AI4" i="5"/>
  <c r="AI35" i="5"/>
  <c r="AO35" i="5"/>
  <c r="AO2" i="5"/>
  <c r="AO3" i="5"/>
  <c r="AO4" i="5"/>
  <c r="BN69" i="5" s="1"/>
  <c r="BO69" i="5" s="1"/>
  <c r="AO5" i="5"/>
  <c r="AO6" i="5"/>
  <c r="AO7" i="5"/>
  <c r="AO9" i="5"/>
  <c r="AO10" i="5"/>
  <c r="AO11" i="5"/>
  <c r="AO13" i="5"/>
  <c r="AO14" i="5"/>
  <c r="AO15" i="5"/>
  <c r="AO16" i="5"/>
  <c r="AO17" i="5"/>
  <c r="AO18" i="5"/>
  <c r="BN50" i="5" s="1"/>
  <c r="BO50" i="5" s="1"/>
  <c r="AO19" i="5"/>
  <c r="AO20" i="5"/>
  <c r="AO21" i="5"/>
  <c r="AO22" i="5"/>
  <c r="AO23" i="5"/>
  <c r="AO24" i="5"/>
  <c r="AO25" i="5"/>
  <c r="AO26" i="5"/>
  <c r="BN61" i="5" s="1"/>
  <c r="BO61" i="5" s="1"/>
  <c r="AO27" i="5"/>
  <c r="AO28" i="5"/>
  <c r="AO29" i="5"/>
  <c r="AO30" i="5"/>
  <c r="AO31" i="5"/>
  <c r="AO32" i="5"/>
  <c r="AO33" i="5"/>
  <c r="AO34" i="5"/>
  <c r="AO37" i="5"/>
  <c r="AO38" i="5"/>
  <c r="AO39" i="5"/>
  <c r="AO40" i="5"/>
  <c r="AO41" i="5"/>
  <c r="BU69" i="5"/>
  <c r="BW69" i="5"/>
  <c r="BQ69" i="5"/>
  <c r="AI11" i="5"/>
  <c r="AI19" i="5"/>
  <c r="BU68" i="5"/>
  <c r="BW68" i="5"/>
  <c r="BN68" i="5"/>
  <c r="BO68" i="5"/>
  <c r="BQ68" i="5"/>
  <c r="BR68" i="5" s="1"/>
  <c r="BS68" i="5" s="1"/>
  <c r="BV68" i="5" s="1"/>
  <c r="F69" i="4" s="1"/>
  <c r="BU67" i="5"/>
  <c r="BW67" i="5" s="1"/>
  <c r="BN67" i="5"/>
  <c r="BO67" i="5"/>
  <c r="BQ67" i="5"/>
  <c r="BN66" i="5"/>
  <c r="BO66" i="5" s="1"/>
  <c r="BQ66" i="5"/>
  <c r="BR66" i="5"/>
  <c r="BS66" i="5" s="1"/>
  <c r="BU66" i="5"/>
  <c r="BN65" i="5"/>
  <c r="BO65" i="5"/>
  <c r="BQ65" i="5"/>
  <c r="BR65" i="5" s="1"/>
  <c r="BS65" i="5" s="1"/>
  <c r="BU65" i="5"/>
  <c r="U6" i="5"/>
  <c r="U7" i="5"/>
  <c r="U8" i="5"/>
  <c r="U18" i="5"/>
  <c r="U2" i="5"/>
  <c r="U3" i="5"/>
  <c r="U4" i="5"/>
  <c r="U5" i="5"/>
  <c r="U9" i="5"/>
  <c r="U10" i="5"/>
  <c r="U11" i="5"/>
  <c r="U12" i="5"/>
  <c r="U13" i="5"/>
  <c r="U14" i="5"/>
  <c r="U15" i="5"/>
  <c r="U16" i="5"/>
  <c r="U17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AB2" i="5"/>
  <c r="AB3" i="5"/>
  <c r="AB4" i="5"/>
  <c r="AB5" i="5"/>
  <c r="AB6" i="5"/>
  <c r="AB7" i="5"/>
  <c r="AB8" i="5"/>
  <c r="AB9" i="5"/>
  <c r="AB10" i="5"/>
  <c r="AB11" i="5"/>
  <c r="BN41" i="5" s="1"/>
  <c r="BO41" i="5" s="1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BB2" i="5"/>
  <c r="BB3" i="5"/>
  <c r="BB4" i="5"/>
  <c r="BB5" i="5"/>
  <c r="BB6" i="5"/>
  <c r="BB7" i="5"/>
  <c r="BB8" i="5"/>
  <c r="BB9" i="5"/>
  <c r="BB10" i="5"/>
  <c r="BB11" i="5"/>
  <c r="BB12" i="5"/>
  <c r="BB13" i="5"/>
  <c r="BB14" i="5"/>
  <c r="BB15" i="5"/>
  <c r="BB16" i="5"/>
  <c r="BB17" i="5"/>
  <c r="BB18" i="5"/>
  <c r="BB19" i="5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BB34" i="5"/>
  <c r="BB35" i="5"/>
  <c r="BB36" i="5"/>
  <c r="BB37" i="5"/>
  <c r="BB38" i="5"/>
  <c r="BB39" i="5"/>
  <c r="BB40" i="5"/>
  <c r="BB41" i="5"/>
  <c r="BQ64" i="5"/>
  <c r="BR64" i="5"/>
  <c r="BS64" i="5" s="1"/>
  <c r="BU64" i="5"/>
  <c r="BN63" i="5"/>
  <c r="BO63" i="5" s="1"/>
  <c r="BQ63" i="5"/>
  <c r="BR63" i="5"/>
  <c r="BS63" i="5" s="1"/>
  <c r="BV63" i="5" s="1"/>
  <c r="F64" i="4" s="1"/>
  <c r="BU63" i="5"/>
  <c r="BN62" i="5"/>
  <c r="BO62" i="5" s="1"/>
  <c r="BQ62" i="5"/>
  <c r="BR62" i="5" s="1"/>
  <c r="BS62" i="5" s="1"/>
  <c r="BV62" i="5" s="1"/>
  <c r="F63" i="4" s="1"/>
  <c r="BU62" i="5"/>
  <c r="BQ61" i="5"/>
  <c r="BR61" i="5" s="1"/>
  <c r="BS61" i="5" s="1"/>
  <c r="BU61" i="5"/>
  <c r="BN60" i="5"/>
  <c r="BO60" i="5" s="1"/>
  <c r="BQ60" i="5"/>
  <c r="BR60" i="5" s="1"/>
  <c r="BS60" i="5" s="1"/>
  <c r="BU60" i="5"/>
  <c r="N6" i="5"/>
  <c r="N14" i="5"/>
  <c r="N15" i="5"/>
  <c r="AI22" i="5"/>
  <c r="BQ59" i="5"/>
  <c r="BR59" i="5" s="1"/>
  <c r="BS59" i="5" s="1"/>
  <c r="BU59" i="5"/>
  <c r="BN58" i="5"/>
  <c r="BQ58" i="5"/>
  <c r="BR58" i="5" s="1"/>
  <c r="BS58" i="5" s="1"/>
  <c r="BU58" i="5"/>
  <c r="BN57" i="5"/>
  <c r="BQ57" i="5"/>
  <c r="BR57" i="5" s="1"/>
  <c r="BS57" i="5" s="1"/>
  <c r="BU57" i="5"/>
  <c r="AI10" i="5"/>
  <c r="BN56" i="5"/>
  <c r="BO56" i="5" s="1"/>
  <c r="BQ56" i="5"/>
  <c r="BR56" i="5"/>
  <c r="BS56" i="5" s="1"/>
  <c r="BU56" i="5"/>
  <c r="BN55" i="5"/>
  <c r="BO55" i="5" s="1"/>
  <c r="BQ55" i="5"/>
  <c r="BR55" i="5"/>
  <c r="BS55" i="5" s="1"/>
  <c r="BU55" i="5"/>
  <c r="BN54" i="5"/>
  <c r="BQ54" i="5"/>
  <c r="BR54" i="5" s="1"/>
  <c r="BS54" i="5" s="1"/>
  <c r="BU54" i="5"/>
  <c r="BN53" i="5"/>
  <c r="BO53" i="5" s="1"/>
  <c r="BQ53" i="5"/>
  <c r="BR53" i="5" s="1"/>
  <c r="BS53" i="5" s="1"/>
  <c r="BU53" i="5"/>
  <c r="BN52" i="5"/>
  <c r="BO52" i="5" s="1"/>
  <c r="BQ52" i="5"/>
  <c r="BR52" i="5" s="1"/>
  <c r="BS52" i="5" s="1"/>
  <c r="BV52" i="5" s="1"/>
  <c r="F53" i="4" s="1"/>
  <c r="BU52" i="5"/>
  <c r="N19" i="5"/>
  <c r="N38" i="5"/>
  <c r="BN51" i="5"/>
  <c r="BO51" i="5" s="1"/>
  <c r="BQ51" i="5"/>
  <c r="BR51" i="5" s="1"/>
  <c r="BS51" i="5" s="1"/>
  <c r="BU51" i="5"/>
  <c r="BQ50" i="5"/>
  <c r="BR50" i="5" s="1"/>
  <c r="BS50" i="5" s="1"/>
  <c r="BU50" i="5"/>
  <c r="N2" i="5"/>
  <c r="BN49" i="5"/>
  <c r="BQ49" i="5"/>
  <c r="BR49" i="5"/>
  <c r="BS49" i="5" s="1"/>
  <c r="BU49" i="5"/>
  <c r="BQ48" i="5"/>
  <c r="AI2" i="5"/>
  <c r="BR48" i="5"/>
  <c r="BS48" i="5" s="1"/>
  <c r="BU48" i="5"/>
  <c r="BN47" i="5"/>
  <c r="BO47" i="5" s="1"/>
  <c r="BQ47" i="5"/>
  <c r="BR47" i="5"/>
  <c r="BS47" i="5" s="1"/>
  <c r="BU47" i="5"/>
  <c r="BN46" i="5"/>
  <c r="BO46" i="5" s="1"/>
  <c r="BQ46" i="5"/>
  <c r="BR46" i="5" s="1"/>
  <c r="BS46" i="5" s="1"/>
  <c r="BU46" i="5"/>
  <c r="BN45" i="5"/>
  <c r="BO45" i="5" s="1"/>
  <c r="BQ45" i="5"/>
  <c r="BR45" i="5"/>
  <c r="BS45" i="5" s="1"/>
  <c r="BU45" i="5"/>
  <c r="BN44" i="5"/>
  <c r="BO44" i="5" s="1"/>
  <c r="BQ44" i="5"/>
  <c r="BR44" i="5" s="1"/>
  <c r="BS44" i="5" s="1"/>
  <c r="BU44" i="5"/>
  <c r="BN43" i="5"/>
  <c r="BQ43" i="5"/>
  <c r="BR43" i="5" s="1"/>
  <c r="BS43" i="5" s="1"/>
  <c r="BU43" i="5"/>
  <c r="AI34" i="5"/>
  <c r="BN42" i="5"/>
  <c r="BO42" i="5" s="1"/>
  <c r="BQ42" i="5"/>
  <c r="BR42" i="5" s="1"/>
  <c r="BS42" i="5" s="1"/>
  <c r="BV42" i="5" s="1"/>
  <c r="F43" i="4" s="1"/>
  <c r="BU42" i="5"/>
  <c r="BQ41" i="5"/>
  <c r="BR41" i="5" s="1"/>
  <c r="BS41" i="5" s="1"/>
  <c r="BU41" i="5"/>
  <c r="AV41" i="5"/>
  <c r="AI41" i="5"/>
  <c r="N41" i="5"/>
  <c r="BN40" i="5"/>
  <c r="BQ40" i="5"/>
  <c r="BR40" i="5" s="1"/>
  <c r="BS40" i="5" s="1"/>
  <c r="BU40" i="5"/>
  <c r="AV40" i="5"/>
  <c r="AI40" i="5"/>
  <c r="N40" i="5"/>
  <c r="BN39" i="5"/>
  <c r="BQ39" i="5"/>
  <c r="BR39" i="5" s="1"/>
  <c r="BS39" i="5" s="1"/>
  <c r="BU39" i="5"/>
  <c r="AV39" i="5"/>
  <c r="AI39" i="5"/>
  <c r="N39" i="5"/>
  <c r="BQ38" i="5"/>
  <c r="BR38" i="5" s="1"/>
  <c r="BS38" i="5" s="1"/>
  <c r="AI18" i="5"/>
  <c r="BN4" i="5" s="1"/>
  <c r="BO4" i="5" s="1"/>
  <c r="BU38" i="5"/>
  <c r="AV38" i="5"/>
  <c r="AI38" i="5"/>
  <c r="BN37" i="5"/>
  <c r="BQ37" i="5"/>
  <c r="BR37" i="5" s="1"/>
  <c r="BS37" i="5" s="1"/>
  <c r="BU37" i="5"/>
  <c r="AV37" i="5"/>
  <c r="AI37" i="5"/>
  <c r="N37" i="5"/>
  <c r="BN36" i="5"/>
  <c r="BQ36" i="5"/>
  <c r="BR36" i="5" s="1"/>
  <c r="BS36" i="5" s="1"/>
  <c r="BU36" i="5"/>
  <c r="AV36" i="5"/>
  <c r="AI36" i="5"/>
  <c r="N36" i="5"/>
  <c r="AI6" i="5"/>
  <c r="BQ35" i="5"/>
  <c r="BR35" i="5"/>
  <c r="BS35" i="5" s="1"/>
  <c r="BU35" i="5"/>
  <c r="AV35" i="5"/>
  <c r="N35" i="5"/>
  <c r="BN34" i="5"/>
  <c r="BQ34" i="5"/>
  <c r="BR34" i="5"/>
  <c r="BS34" i="5" s="1"/>
  <c r="BU34" i="5"/>
  <c r="N34" i="5"/>
  <c r="BN33" i="5"/>
  <c r="BO33" i="5" s="1"/>
  <c r="BQ33" i="5"/>
  <c r="BR33" i="5" s="1"/>
  <c r="BS33" i="5" s="1"/>
  <c r="BU33" i="5"/>
  <c r="AV33" i="5"/>
  <c r="AI33" i="5"/>
  <c r="N33" i="5"/>
  <c r="N7" i="5"/>
  <c r="N30" i="5"/>
  <c r="N31" i="5"/>
  <c r="BQ32" i="5"/>
  <c r="BR32" i="5" s="1"/>
  <c r="BS32" i="5" s="1"/>
  <c r="BU32" i="5"/>
  <c r="AV32" i="5"/>
  <c r="AI32" i="5"/>
  <c r="N32" i="5"/>
  <c r="AI30" i="5"/>
  <c r="BQ31" i="5"/>
  <c r="BR31" i="5" s="1"/>
  <c r="BS31" i="5" s="1"/>
  <c r="BU31" i="5"/>
  <c r="AV31" i="5"/>
  <c r="AI31" i="5"/>
  <c r="BN30" i="5"/>
  <c r="BO30" i="5" s="1"/>
  <c r="BQ30" i="5"/>
  <c r="BR30" i="5"/>
  <c r="BS30" i="5" s="1"/>
  <c r="BU30" i="5"/>
  <c r="AV30" i="5"/>
  <c r="BN29" i="5"/>
  <c r="BQ29" i="5"/>
  <c r="BR29" i="5" s="1"/>
  <c r="BS29" i="5" s="1"/>
  <c r="BU29" i="5"/>
  <c r="AV29" i="5"/>
  <c r="AI29" i="5"/>
  <c r="N29" i="5"/>
  <c r="BN28" i="5"/>
  <c r="BQ28" i="5"/>
  <c r="BR28" i="5" s="1"/>
  <c r="BS28" i="5" s="1"/>
  <c r="BU28" i="5"/>
  <c r="AV28" i="5"/>
  <c r="AI28" i="5"/>
  <c r="N28" i="5"/>
  <c r="BQ27" i="5"/>
  <c r="BR27" i="5" s="1"/>
  <c r="BS27" i="5" s="1"/>
  <c r="BU27" i="5"/>
  <c r="AV27" i="5"/>
  <c r="AI27" i="5"/>
  <c r="N27" i="5"/>
  <c r="BQ26" i="5"/>
  <c r="BR26" i="5" s="1"/>
  <c r="BS26" i="5" s="1"/>
  <c r="BU26" i="5"/>
  <c r="AV26" i="5"/>
  <c r="AI26" i="5"/>
  <c r="N26" i="5"/>
  <c r="BN25" i="5"/>
  <c r="BO25" i="5" s="1"/>
  <c r="BQ25" i="5"/>
  <c r="BU25" i="5"/>
  <c r="AV25" i="5"/>
  <c r="AI25" i="5"/>
  <c r="N25" i="5"/>
  <c r="BN24" i="5"/>
  <c r="BO24" i="5" s="1"/>
  <c r="BQ24" i="5"/>
  <c r="AI3" i="5"/>
  <c r="BU24" i="5"/>
  <c r="AV24" i="5"/>
  <c r="AI24" i="5"/>
  <c r="N24" i="5"/>
  <c r="BN23" i="5"/>
  <c r="BO23" i="5" s="1"/>
  <c r="BQ23" i="5"/>
  <c r="BR23" i="5" s="1"/>
  <c r="BS23" i="5" s="1"/>
  <c r="BU23" i="5"/>
  <c r="AV23" i="5"/>
  <c r="AI23" i="5"/>
  <c r="N23" i="5"/>
  <c r="BN22" i="5"/>
  <c r="BO22" i="5" s="1"/>
  <c r="BQ22" i="5"/>
  <c r="BR22" i="5"/>
  <c r="BS22" i="5" s="1"/>
  <c r="BU22" i="5"/>
  <c r="AV22" i="5"/>
  <c r="N22" i="5"/>
  <c r="BN2" i="5" s="1"/>
  <c r="BO2" i="5" s="1"/>
  <c r="AI14" i="5"/>
  <c r="BQ21" i="5"/>
  <c r="BR21" i="5"/>
  <c r="BS21" i="5" s="1"/>
  <c r="BU21" i="5"/>
  <c r="AV21" i="5"/>
  <c r="AI21" i="5"/>
  <c r="N21" i="5"/>
  <c r="BN20" i="5"/>
  <c r="BQ20" i="5"/>
  <c r="BR20" i="5" s="1"/>
  <c r="BS20" i="5" s="1"/>
  <c r="BU20" i="5"/>
  <c r="AV20" i="5"/>
  <c r="AI20" i="5"/>
  <c r="N20" i="5"/>
  <c r="BN19" i="5"/>
  <c r="BO19" i="5" s="1"/>
  <c r="BQ19" i="5"/>
  <c r="BR19" i="5"/>
  <c r="BS19" i="5" s="1"/>
  <c r="BU19" i="5"/>
  <c r="AV19" i="5"/>
  <c r="BN18" i="5"/>
  <c r="BO18" i="5" s="1"/>
  <c r="BQ18" i="5"/>
  <c r="BR18" i="5" s="1"/>
  <c r="BS18" i="5" s="1"/>
  <c r="BU18" i="5"/>
  <c r="AV18" i="5"/>
  <c r="N18" i="5"/>
  <c r="BN17" i="5"/>
  <c r="BQ17" i="5"/>
  <c r="BR17" i="5"/>
  <c r="BS17" i="5" s="1"/>
  <c r="BU17" i="5"/>
  <c r="AV17" i="5"/>
  <c r="AI17" i="5"/>
  <c r="N17" i="5"/>
  <c r="N10" i="5"/>
  <c r="BN16" i="5" s="1"/>
  <c r="BO16" i="5" s="1"/>
  <c r="BQ16" i="5"/>
  <c r="BR16" i="5" s="1"/>
  <c r="BS16" i="5" s="1"/>
  <c r="BV16" i="5" s="1"/>
  <c r="F17" i="4" s="1"/>
  <c r="BU16" i="5"/>
  <c r="AV16" i="5"/>
  <c r="AI16" i="5"/>
  <c r="N16" i="5"/>
  <c r="BN15" i="5"/>
  <c r="BO15" i="5" s="1"/>
  <c r="BQ15" i="5"/>
  <c r="BR15" i="5"/>
  <c r="BS15" i="5" s="1"/>
  <c r="BU15" i="5"/>
  <c r="AV15" i="5"/>
  <c r="AI15" i="5"/>
  <c r="BN14" i="5"/>
  <c r="BQ14" i="5"/>
  <c r="BR14" i="5" s="1"/>
  <c r="BS14" i="5" s="1"/>
  <c r="BU14" i="5"/>
  <c r="BN13" i="5"/>
  <c r="BO13" i="5" s="1"/>
  <c r="BQ13" i="5"/>
  <c r="BR13" i="5"/>
  <c r="BS13" i="5" s="1"/>
  <c r="BU13" i="5"/>
  <c r="AV13" i="5"/>
  <c r="AI13" i="5"/>
  <c r="N13" i="5"/>
  <c r="BN12" i="5"/>
  <c r="BQ12" i="5"/>
  <c r="BR12" i="5" s="1"/>
  <c r="BS12" i="5" s="1"/>
  <c r="BU12" i="5"/>
  <c r="AV12" i="5"/>
  <c r="N12" i="5"/>
  <c r="BN11" i="5"/>
  <c r="BO11" i="5" s="1"/>
  <c r="BQ11" i="5"/>
  <c r="BR11" i="5"/>
  <c r="BS11" i="5" s="1"/>
  <c r="BU11" i="5"/>
  <c r="AV11" i="5"/>
  <c r="N11" i="5"/>
  <c r="BN10" i="5"/>
  <c r="BQ10" i="5"/>
  <c r="BR10" i="5" s="1"/>
  <c r="BS10" i="5" s="1"/>
  <c r="BU10" i="5"/>
  <c r="AV10" i="5"/>
  <c r="BQ9" i="5"/>
  <c r="BR9" i="5" s="1"/>
  <c r="BS9" i="5" s="1"/>
  <c r="BU9" i="5"/>
  <c r="AV9" i="5"/>
  <c r="AI9" i="5"/>
  <c r="N9" i="5"/>
  <c r="BN8" i="5"/>
  <c r="BO8" i="5" s="1"/>
  <c r="BQ8" i="5"/>
  <c r="BR8" i="5"/>
  <c r="BS8" i="5" s="1"/>
  <c r="BU8" i="5"/>
  <c r="AV8" i="5"/>
  <c r="AI8" i="5"/>
  <c r="N8" i="5"/>
  <c r="BQ7" i="5"/>
  <c r="BR7" i="5"/>
  <c r="BS7" i="5" s="1"/>
  <c r="BU7" i="5"/>
  <c r="AV7" i="5"/>
  <c r="AI7" i="5"/>
  <c r="BN6" i="5"/>
  <c r="BO6" i="5" s="1"/>
  <c r="BQ6" i="5"/>
  <c r="BR6" i="5"/>
  <c r="BS6" i="5" s="1"/>
  <c r="BU6" i="5"/>
  <c r="AV6" i="5"/>
  <c r="BN5" i="5"/>
  <c r="BQ5" i="5"/>
  <c r="BR5" i="5"/>
  <c r="BS5" i="5" s="1"/>
  <c r="BU5" i="5"/>
  <c r="AV5" i="5"/>
  <c r="AI5" i="5"/>
  <c r="N5" i="5"/>
  <c r="BQ4" i="5"/>
  <c r="BR4" i="5"/>
  <c r="BS4" i="5" s="1"/>
  <c r="BU4" i="5"/>
  <c r="AV4" i="5"/>
  <c r="N4" i="5"/>
  <c r="BN3" i="5"/>
  <c r="BO3" i="5" s="1"/>
  <c r="BQ3" i="5"/>
  <c r="BR3" i="5"/>
  <c r="BS3" i="5" s="1"/>
  <c r="BU3" i="5"/>
  <c r="AV3" i="5"/>
  <c r="BQ2" i="5"/>
  <c r="BR2" i="5"/>
  <c r="BS2" i="5" s="1"/>
  <c r="BU2" i="5"/>
  <c r="AV2" i="5"/>
  <c r="C80" i="4"/>
  <c r="AF3" i="4"/>
  <c r="AI3" i="4" s="1"/>
  <c r="AI4" i="4"/>
  <c r="AI5" i="4"/>
  <c r="J11" i="4" s="1"/>
  <c r="AI6" i="4"/>
  <c r="J13" i="4" s="1"/>
  <c r="AI25" i="4"/>
  <c r="J14" i="4" s="1"/>
  <c r="AI7" i="4"/>
  <c r="J16" i="4" s="1"/>
  <c r="AI8" i="4"/>
  <c r="AI26" i="4"/>
  <c r="J20" i="4" s="1"/>
  <c r="AI27" i="4"/>
  <c r="J21" i="4" s="1"/>
  <c r="AI28" i="4"/>
  <c r="J24" i="4" s="1"/>
  <c r="AI9" i="4"/>
  <c r="J31" i="4" s="1"/>
  <c r="AI10" i="4"/>
  <c r="J34" i="4" s="1"/>
  <c r="AI29" i="4"/>
  <c r="J35" i="4"/>
  <c r="AI30" i="4"/>
  <c r="J36" i="4"/>
  <c r="AI31" i="4"/>
  <c r="J38" i="4" s="1"/>
  <c r="AI11" i="4"/>
  <c r="J39" i="4"/>
  <c r="AI32" i="4"/>
  <c r="J40" i="4" s="1"/>
  <c r="AI33" i="4"/>
  <c r="J44" i="4" s="1"/>
  <c r="AI12" i="4"/>
  <c r="J46" i="4"/>
  <c r="AI34" i="4"/>
  <c r="J50" i="4"/>
  <c r="AI35" i="4"/>
  <c r="J53" i="4" s="1"/>
  <c r="AI36" i="4"/>
  <c r="J58" i="4"/>
  <c r="AI37" i="4"/>
  <c r="J61" i="4"/>
  <c r="AI13" i="4"/>
  <c r="J62" i="4" s="1"/>
  <c r="AI14" i="4"/>
  <c r="J63" i="4"/>
  <c r="AI38" i="4"/>
  <c r="AI15" i="4"/>
  <c r="J78" i="4" s="1"/>
  <c r="H3" i="4"/>
  <c r="H26" i="4"/>
  <c r="H30" i="4"/>
  <c r="H40" i="4"/>
  <c r="H42" i="4"/>
  <c r="H45" i="4"/>
  <c r="H54" i="4"/>
  <c r="H57" i="4"/>
  <c r="H58" i="4"/>
  <c r="H62" i="4"/>
  <c r="G9" i="4"/>
  <c r="G10" i="4"/>
  <c r="G28" i="4"/>
  <c r="G40" i="4"/>
  <c r="G41" i="4"/>
  <c r="F78" i="4"/>
  <c r="D79" i="4"/>
  <c r="Y78" i="4"/>
  <c r="X78" i="4"/>
  <c r="Y77" i="4"/>
  <c r="X77" i="4"/>
  <c r="Y76" i="4"/>
  <c r="X76" i="4"/>
  <c r="Y75" i="4"/>
  <c r="X75" i="4"/>
  <c r="Y74" i="4"/>
  <c r="X74" i="4"/>
  <c r="Y73" i="4"/>
  <c r="X73" i="4"/>
  <c r="Y72" i="4"/>
  <c r="X72" i="4"/>
  <c r="Y71" i="4"/>
  <c r="X71" i="4"/>
  <c r="Y70" i="4"/>
  <c r="X70" i="4"/>
  <c r="Y69" i="4"/>
  <c r="X69" i="4"/>
  <c r="Y68" i="4"/>
  <c r="X68" i="4"/>
  <c r="Y67" i="4"/>
  <c r="X67" i="4"/>
  <c r="Y65" i="4"/>
  <c r="X65" i="4"/>
  <c r="Y64" i="4"/>
  <c r="X64" i="4"/>
  <c r="Y63" i="4"/>
  <c r="X63" i="4"/>
  <c r="Y62" i="4"/>
  <c r="X62" i="4"/>
  <c r="Y61" i="4"/>
  <c r="X61" i="4"/>
  <c r="Y60" i="4"/>
  <c r="X60" i="4"/>
  <c r="Y59" i="4"/>
  <c r="X59" i="4"/>
  <c r="Y58" i="4"/>
  <c r="X58" i="4"/>
  <c r="Y57" i="4"/>
  <c r="X57" i="4"/>
  <c r="Y56" i="4"/>
  <c r="X56" i="4"/>
  <c r="Y55" i="4"/>
  <c r="X55" i="4"/>
  <c r="Y54" i="4"/>
  <c r="X54" i="4"/>
  <c r="Y53" i="4"/>
  <c r="X53" i="4"/>
  <c r="AB52" i="4"/>
  <c r="Y52" i="4"/>
  <c r="X52" i="4"/>
  <c r="Y51" i="4"/>
  <c r="X51" i="4"/>
  <c r="Y50" i="4"/>
  <c r="X50" i="4"/>
  <c r="Y49" i="4"/>
  <c r="X49" i="4"/>
  <c r="Y48" i="4"/>
  <c r="X48" i="4"/>
  <c r="Y47" i="4"/>
  <c r="X47" i="4"/>
  <c r="Y46" i="4"/>
  <c r="X46" i="4"/>
  <c r="Y45" i="4"/>
  <c r="X45" i="4"/>
  <c r="Y44" i="4"/>
  <c r="X44" i="4"/>
  <c r="Y43" i="4"/>
  <c r="X43" i="4"/>
  <c r="Y42" i="4"/>
  <c r="X42" i="4"/>
  <c r="Y41" i="4"/>
  <c r="X41" i="4"/>
  <c r="Y40" i="4"/>
  <c r="X40" i="4"/>
  <c r="Y39" i="4"/>
  <c r="X39" i="4"/>
  <c r="Y38" i="4"/>
  <c r="X38" i="4"/>
  <c r="Y37" i="4"/>
  <c r="X37" i="4"/>
  <c r="Y36" i="4"/>
  <c r="X36" i="4"/>
  <c r="Y35" i="4"/>
  <c r="X35" i="4"/>
  <c r="Y34" i="4"/>
  <c r="X34" i="4"/>
  <c r="Y33" i="4"/>
  <c r="X33" i="4"/>
  <c r="Y32" i="4"/>
  <c r="X32" i="4"/>
  <c r="Y31" i="4"/>
  <c r="X31" i="4"/>
  <c r="Y30" i="4"/>
  <c r="X30" i="4"/>
  <c r="Y29" i="4"/>
  <c r="X29" i="4"/>
  <c r="Y28" i="4"/>
  <c r="X28" i="4"/>
  <c r="Y27" i="4"/>
  <c r="X27" i="4"/>
  <c r="Y26" i="4"/>
  <c r="X26" i="4"/>
  <c r="Y25" i="4"/>
  <c r="X25" i="4"/>
  <c r="Y24" i="4"/>
  <c r="X24" i="4"/>
  <c r="Y23" i="4"/>
  <c r="X23" i="4"/>
  <c r="Y22" i="4"/>
  <c r="X22" i="4"/>
  <c r="AI16" i="4"/>
  <c r="AI17" i="4"/>
  <c r="AI18" i="4"/>
  <c r="AI19" i="4"/>
  <c r="AI20" i="4"/>
  <c r="Y21" i="4"/>
  <c r="X21" i="4"/>
  <c r="AH20" i="4"/>
  <c r="Y20" i="4"/>
  <c r="X20" i="4"/>
  <c r="AH19" i="4"/>
  <c r="Y19" i="4"/>
  <c r="X19" i="4"/>
  <c r="AH18" i="4"/>
  <c r="Y18" i="4"/>
  <c r="X18" i="4"/>
  <c r="AH17" i="4"/>
  <c r="Y17" i="4"/>
  <c r="X17" i="4"/>
  <c r="AH16" i="4"/>
  <c r="Y16" i="4"/>
  <c r="X16" i="4"/>
  <c r="AH15" i="4"/>
  <c r="Y15" i="4"/>
  <c r="X15" i="4"/>
  <c r="AH14" i="4"/>
  <c r="Y14" i="4"/>
  <c r="X14" i="4"/>
  <c r="AH13" i="4"/>
  <c r="Y13" i="4"/>
  <c r="X13" i="4"/>
  <c r="AH12" i="4"/>
  <c r="Y12" i="4"/>
  <c r="X12" i="4"/>
  <c r="AH11" i="4"/>
  <c r="Y11" i="4"/>
  <c r="X11" i="4"/>
  <c r="AH10" i="4"/>
  <c r="Y10" i="4"/>
  <c r="X10" i="4"/>
  <c r="AH9" i="4"/>
  <c r="Y9" i="4"/>
  <c r="X9" i="4"/>
  <c r="AH8" i="4"/>
  <c r="Y8" i="4"/>
  <c r="X8" i="4"/>
  <c r="AH7" i="4"/>
  <c r="Y7" i="4"/>
  <c r="X7" i="4"/>
  <c r="AH6" i="4"/>
  <c r="Y6" i="4"/>
  <c r="X6" i="4"/>
  <c r="AH5" i="4"/>
  <c r="Y5" i="4"/>
  <c r="X5" i="4"/>
  <c r="AH4" i="4"/>
  <c r="Y4" i="4"/>
  <c r="X4" i="4"/>
  <c r="AH3" i="4"/>
  <c r="Y3" i="4"/>
  <c r="X3" i="4"/>
  <c r="Y1" i="4"/>
  <c r="W1" i="4"/>
  <c r="AM42" i="24" l="1"/>
  <c r="AM51" i="24"/>
  <c r="D78" i="16"/>
  <c r="AM59" i="15"/>
  <c r="L57" i="4" s="1"/>
  <c r="AM63" i="15"/>
  <c r="L61" i="4" s="1"/>
  <c r="CE32" i="8"/>
  <c r="BR67" i="5"/>
  <c r="BS67" i="5" s="1"/>
  <c r="BV67" i="5" s="1"/>
  <c r="F68" i="4" s="1"/>
  <c r="BO49" i="5"/>
  <c r="BO39" i="5"/>
  <c r="BO36" i="5"/>
  <c r="BV36" i="5" s="1"/>
  <c r="F37" i="4" s="1"/>
  <c r="BO34" i="5"/>
  <c r="BO28" i="5"/>
  <c r="BO20" i="5"/>
  <c r="BY59" i="8"/>
  <c r="CF54" i="8"/>
  <c r="BZ53" i="8"/>
  <c r="BY53" i="8" s="1"/>
  <c r="CD45" i="8"/>
  <c r="BO58" i="5"/>
  <c r="BO54" i="5"/>
  <c r="BV54" i="5" s="1"/>
  <c r="F55" i="4" s="1"/>
  <c r="BO17" i="5"/>
  <c r="BO5" i="5"/>
  <c r="BV5" i="5" s="1"/>
  <c r="F6" i="4" s="1"/>
  <c r="CB14" i="8"/>
  <c r="CD29" i="8"/>
  <c r="BY28" i="8"/>
  <c r="CE21" i="8"/>
  <c r="BY26" i="8"/>
  <c r="CE25" i="8"/>
  <c r="BR70" i="5"/>
  <c r="BS70" i="5" s="1"/>
  <c r="BO37" i="5"/>
  <c r="BV37" i="5" s="1"/>
  <c r="F38" i="4" s="1"/>
  <c r="BO14" i="5"/>
  <c r="BV14" i="5" s="1"/>
  <c r="F15" i="4" s="1"/>
  <c r="BO10" i="5"/>
  <c r="BN48" i="5"/>
  <c r="BO48" i="5" s="1"/>
  <c r="BO57" i="5"/>
  <c r="BV57" i="5" s="1"/>
  <c r="F58" i="4" s="1"/>
  <c r="BO43" i="5"/>
  <c r="BV43" i="5" s="1"/>
  <c r="F44" i="4" s="1"/>
  <c r="BO40" i="5"/>
  <c r="BV40" i="5" s="1"/>
  <c r="F41" i="4" s="1"/>
  <c r="BO29" i="5"/>
  <c r="BV29" i="5" s="1"/>
  <c r="F30" i="4" s="1"/>
  <c r="BO12" i="5"/>
  <c r="BV12" i="5" s="1"/>
  <c r="F13" i="4" s="1"/>
  <c r="J7" i="4"/>
  <c r="J19" i="4"/>
  <c r="J64" i="4"/>
  <c r="BR25" i="5"/>
  <c r="BS25" i="5" s="1"/>
  <c r="BY25" i="8"/>
  <c r="BY21" i="8"/>
  <c r="BV20" i="5"/>
  <c r="F21" i="4" s="1"/>
  <c r="CF36" i="8"/>
  <c r="CB49" i="8"/>
  <c r="AM60" i="15"/>
  <c r="L58" i="4" s="1"/>
  <c r="L27" i="21"/>
  <c r="L41" i="21"/>
  <c r="G60" i="21"/>
  <c r="BV66" i="5"/>
  <c r="F67" i="4" s="1"/>
  <c r="BV60" i="5"/>
  <c r="F61" i="4" s="1"/>
  <c r="BR69" i="5"/>
  <c r="BS69" i="5" s="1"/>
  <c r="BV69" i="5" s="1"/>
  <c r="F70" i="4" s="1"/>
  <c r="CA31" i="8"/>
  <c r="BY32" i="8"/>
  <c r="CD42" i="8"/>
  <c r="BY60" i="8"/>
  <c r="BY62" i="8"/>
  <c r="G79" i="4"/>
  <c r="H79" i="4"/>
  <c r="BV58" i="5"/>
  <c r="F59" i="4" s="1"/>
  <c r="CB19" i="8"/>
  <c r="AM35" i="15"/>
  <c r="L33" i="4" s="1"/>
  <c r="AI21" i="16"/>
  <c r="L20" i="21"/>
  <c r="AM8" i="24"/>
  <c r="BN64" i="5"/>
  <c r="BO64" i="5" s="1"/>
  <c r="BY5" i="8"/>
  <c r="CC18" i="8"/>
  <c r="BY24" i="8"/>
  <c r="BY51" i="8"/>
  <c r="AM33" i="15"/>
  <c r="L31" i="4" s="1"/>
  <c r="AM39" i="24"/>
  <c r="BR24" i="5"/>
  <c r="BS24" i="5" s="1"/>
  <c r="BV24" i="5" s="1"/>
  <c r="F25" i="4" s="1"/>
  <c r="BV56" i="5"/>
  <c r="F57" i="4" s="1"/>
  <c r="BN71" i="5"/>
  <c r="BO71" i="5" s="1"/>
  <c r="BV71" i="5" s="1"/>
  <c r="F72" i="4" s="1"/>
  <c r="BY10" i="8"/>
  <c r="BY23" i="8"/>
  <c r="BY48" i="8"/>
  <c r="AM30" i="15"/>
  <c r="L28" i="4" s="1"/>
  <c r="AM30" i="24"/>
  <c r="BV17" i="5"/>
  <c r="F18" i="4" s="1"/>
  <c r="BN21" i="5"/>
  <c r="BO21" i="5" s="1"/>
  <c r="BV51" i="5"/>
  <c r="F52" i="4" s="1"/>
  <c r="BY17" i="8"/>
  <c r="AM6" i="15"/>
  <c r="L4" i="4" s="1"/>
  <c r="G21" i="21"/>
  <c r="BV65" i="5"/>
  <c r="F66" i="4" s="1"/>
  <c r="BZ9" i="8"/>
  <c r="BY9" i="8" s="1"/>
  <c r="CF41" i="8"/>
  <c r="BY41" i="8" s="1"/>
  <c r="BY43" i="8"/>
  <c r="AB21" i="16"/>
  <c r="G32" i="21"/>
  <c r="L35" i="21"/>
  <c r="G39" i="21"/>
  <c r="L47" i="21"/>
  <c r="AM18" i="24"/>
  <c r="BN7" i="5"/>
  <c r="BO7" i="5" s="1"/>
  <c r="BY4" i="8"/>
  <c r="BY8" i="8"/>
  <c r="AM48" i="15"/>
  <c r="L46" i="4" s="1"/>
  <c r="AM15" i="24"/>
  <c r="BV34" i="5"/>
  <c r="F35" i="4" s="1"/>
  <c r="BV49" i="5"/>
  <c r="F50" i="4" s="1"/>
  <c r="BN26" i="5"/>
  <c r="BO26" i="5" s="1"/>
  <c r="BN38" i="5"/>
  <c r="BO38" i="5" s="1"/>
  <c r="BV38" i="5" s="1"/>
  <c r="F39" i="4" s="1"/>
  <c r="BZ7" i="8"/>
  <c r="BY7" i="8" s="1"/>
  <c r="CD20" i="8"/>
  <c r="BY20" i="8" s="1"/>
  <c r="BY46" i="8"/>
  <c r="BY56" i="8"/>
  <c r="G18" i="21"/>
  <c r="G59" i="21"/>
  <c r="AM6" i="24"/>
  <c r="AI39" i="4"/>
  <c r="BV23" i="5"/>
  <c r="F24" i="4" s="1"/>
  <c r="BN27" i="5"/>
  <c r="BO27" i="5" s="1"/>
  <c r="BV27" i="5" s="1"/>
  <c r="F28" i="4" s="1"/>
  <c r="CC39" i="8"/>
  <c r="BY39" i="8" s="1"/>
  <c r="L44" i="21"/>
  <c r="AM66" i="24"/>
  <c r="AM11" i="24"/>
  <c r="BV44" i="5"/>
  <c r="F45" i="4" s="1"/>
  <c r="BV47" i="5"/>
  <c r="F48" i="4" s="1"/>
  <c r="BN59" i="5"/>
  <c r="BO59" i="5" s="1"/>
  <c r="BN9" i="5"/>
  <c r="BO9" i="5" s="1"/>
  <c r="BV9" i="5" s="1"/>
  <c r="F10" i="4" s="1"/>
  <c r="BN70" i="5"/>
  <c r="BO70" i="5" s="1"/>
  <c r="BY27" i="8"/>
  <c r="BY38" i="8"/>
  <c r="AM18" i="15"/>
  <c r="L16" i="4" s="1"/>
  <c r="L23" i="21"/>
  <c r="G30" i="21"/>
  <c r="AM63" i="24"/>
  <c r="K53" i="16"/>
  <c r="M55" i="21" s="1"/>
  <c r="K59" i="16"/>
  <c r="K37" i="16"/>
  <c r="M40" i="21" s="1"/>
  <c r="K70" i="16"/>
  <c r="K68" i="16"/>
  <c r="K27" i="16"/>
  <c r="M29" i="21" s="1"/>
  <c r="K34" i="16"/>
  <c r="M37" i="21" s="1"/>
  <c r="K45" i="16"/>
  <c r="M46" i="21" s="1"/>
  <c r="K66" i="16"/>
  <c r="K11" i="16"/>
  <c r="M13" i="21" s="1"/>
  <c r="K64" i="16"/>
  <c r="K31" i="16"/>
  <c r="M34" i="21" s="1"/>
  <c r="K40" i="16"/>
  <c r="M43" i="21" s="1"/>
  <c r="K43" i="16"/>
  <c r="K16" i="16"/>
  <c r="M18" i="21" s="1"/>
  <c r="K19" i="16"/>
  <c r="M21" i="21" s="1"/>
  <c r="K22" i="16"/>
  <c r="M24" i="21" s="1"/>
  <c r="K25" i="16"/>
  <c r="M27" i="21" s="1"/>
  <c r="K73" i="16"/>
  <c r="K75" i="16"/>
  <c r="K4" i="16"/>
  <c r="M6" i="21" s="1"/>
  <c r="K7" i="16"/>
  <c r="M9" i="21" s="1"/>
  <c r="K10" i="16"/>
  <c r="M12" i="21" s="1"/>
  <c r="K14" i="16"/>
  <c r="M16" i="21" s="1"/>
  <c r="K15" i="16"/>
  <c r="M17" i="21" s="1"/>
  <c r="K18" i="16"/>
  <c r="M20" i="21" s="1"/>
  <c r="K21" i="16"/>
  <c r="M23" i="21" s="1"/>
  <c r="K24" i="16"/>
  <c r="M26" i="21" s="1"/>
  <c r="K26" i="16"/>
  <c r="M28" i="21" s="1"/>
  <c r="K63" i="16"/>
  <c r="K65" i="16"/>
  <c r="K67" i="16"/>
  <c r="K69" i="16"/>
  <c r="K71" i="16"/>
  <c r="K6" i="16"/>
  <c r="M8" i="21" s="1"/>
  <c r="K13" i="16"/>
  <c r="M15" i="21" s="1"/>
  <c r="K30" i="16"/>
  <c r="M33" i="21" s="1"/>
  <c r="K33" i="16"/>
  <c r="M36" i="21" s="1"/>
  <c r="K36" i="16"/>
  <c r="M39" i="21" s="1"/>
  <c r="K39" i="16"/>
  <c r="M42" i="21" s="1"/>
  <c r="K42" i="16"/>
  <c r="M45" i="21" s="1"/>
  <c r="K47" i="16"/>
  <c r="M48" i="21" s="1"/>
  <c r="K44" i="16"/>
  <c r="K3" i="16"/>
  <c r="M5" i="21" s="1"/>
  <c r="K9" i="16"/>
  <c r="M11" i="21" s="1"/>
  <c r="K17" i="16"/>
  <c r="M19" i="21" s="1"/>
  <c r="K20" i="16"/>
  <c r="M22" i="21" s="1"/>
  <c r="K23" i="16"/>
  <c r="M25" i="21" s="1"/>
  <c r="K28" i="16"/>
  <c r="M30" i="21" s="1"/>
  <c r="K29" i="16"/>
  <c r="M31" i="21" s="1"/>
  <c r="K32" i="16"/>
  <c r="M35" i="21" s="1"/>
  <c r="K35" i="16"/>
  <c r="M38" i="21" s="1"/>
  <c r="K38" i="16"/>
  <c r="M41" i="21" s="1"/>
  <c r="K41" i="16"/>
  <c r="M44" i="21" s="1"/>
  <c r="K46" i="16"/>
  <c r="M47" i="21" s="1"/>
  <c r="K74" i="16"/>
  <c r="K5" i="16"/>
  <c r="M7" i="21" s="1"/>
  <c r="K8" i="16"/>
  <c r="M10" i="21" s="1"/>
  <c r="K12" i="16"/>
  <c r="M14" i="21" s="1"/>
  <c r="K57" i="16"/>
  <c r="M61" i="21" s="1"/>
  <c r="K56" i="16"/>
  <c r="M59" i="21" s="1"/>
  <c r="K50" i="16"/>
  <c r="M52" i="21" s="1"/>
  <c r="K54" i="16"/>
  <c r="M57" i="21" s="1"/>
  <c r="K58" i="16"/>
  <c r="M62" i="21" s="1"/>
  <c r="BV41" i="5"/>
  <c r="F42" i="4" s="1"/>
  <c r="BV33" i="5"/>
  <c r="F34" i="4" s="1"/>
  <c r="AI21" i="4"/>
  <c r="J3" i="4"/>
  <c r="J79" i="4" s="1"/>
  <c r="BY3" i="8"/>
  <c r="BY57" i="8"/>
  <c r="AM66" i="15"/>
  <c r="L64" i="4" s="1"/>
  <c r="AM36" i="15"/>
  <c r="L34" i="4" s="1"/>
  <c r="AM9" i="15"/>
  <c r="L7" i="4" s="1"/>
  <c r="BV19" i="5"/>
  <c r="F20" i="4" s="1"/>
  <c r="BV59" i="5"/>
  <c r="F60" i="4" s="1"/>
  <c r="BV74" i="5"/>
  <c r="F75" i="4" s="1"/>
  <c r="BY45" i="8"/>
  <c r="AM57" i="15"/>
  <c r="L55" i="4" s="1"/>
  <c r="AM27" i="15"/>
  <c r="L25" i="4" s="1"/>
  <c r="G34" i="21"/>
  <c r="L34" i="21"/>
  <c r="J7" i="13"/>
  <c r="J77" i="13" s="1"/>
  <c r="AA21" i="13"/>
  <c r="BV22" i="5"/>
  <c r="F23" i="4" s="1"/>
  <c r="BV4" i="5"/>
  <c r="F5" i="4" s="1"/>
  <c r="BV45" i="5"/>
  <c r="F46" i="4" s="1"/>
  <c r="BV61" i="5"/>
  <c r="F62" i="4" s="1"/>
  <c r="BY34" i="8"/>
  <c r="BY49" i="8"/>
  <c r="AM54" i="15"/>
  <c r="L52" i="4" s="1"/>
  <c r="AM24" i="15"/>
  <c r="L22" i="4" s="1"/>
  <c r="G19" i="21"/>
  <c r="L19" i="21"/>
  <c r="G37" i="21"/>
  <c r="L37" i="21"/>
  <c r="BY22" i="8"/>
  <c r="CC47" i="8"/>
  <c r="BV2" i="5"/>
  <c r="F3" i="4" s="1"/>
  <c r="BN32" i="5"/>
  <c r="BO32" i="5" s="1"/>
  <c r="BV32" i="5" s="1"/>
  <c r="F33" i="4" s="1"/>
  <c r="BV28" i="5"/>
  <c r="F29" i="4" s="1"/>
  <c r="BN31" i="5"/>
  <c r="BO31" i="5" s="1"/>
  <c r="BV31" i="5" s="1"/>
  <c r="F32" i="4" s="1"/>
  <c r="BV39" i="5"/>
  <c r="F40" i="4" s="1"/>
  <c r="BV64" i="5"/>
  <c r="F65" i="4" s="1"/>
  <c r="BY12" i="8"/>
  <c r="BY13" i="8"/>
  <c r="BY40" i="8"/>
  <c r="BY44" i="8"/>
  <c r="BY61" i="8"/>
  <c r="AM51" i="15"/>
  <c r="L49" i="4" s="1"/>
  <c r="AM23" i="15"/>
  <c r="L21" i="4" s="1"/>
  <c r="G22" i="21"/>
  <c r="L22" i="21"/>
  <c r="G40" i="21"/>
  <c r="L40" i="21"/>
  <c r="G25" i="21"/>
  <c r="L25" i="21"/>
  <c r="G43" i="21"/>
  <c r="L43" i="21"/>
  <c r="BV11" i="5"/>
  <c r="F12" i="4" s="1"/>
  <c r="BV30" i="5"/>
  <c r="F31" i="4" s="1"/>
  <c r="BV48" i="5"/>
  <c r="F49" i="4" s="1"/>
  <c r="BV50" i="5"/>
  <c r="F51" i="4" s="1"/>
  <c r="BY14" i="8"/>
  <c r="AM21" i="15"/>
  <c r="L19" i="4" s="1"/>
  <c r="BV55" i="5"/>
  <c r="F56" i="4" s="1"/>
  <c r="CE37" i="8"/>
  <c r="CE50" i="8"/>
  <c r="BY63" i="8"/>
  <c r="AM47" i="15"/>
  <c r="L45" i="4" s="1"/>
  <c r="G46" i="21"/>
  <c r="L46" i="21"/>
  <c r="T41" i="20"/>
  <c r="AG36" i="19"/>
  <c r="F28" i="16" s="1"/>
  <c r="AG69" i="19"/>
  <c r="F61" i="16" s="1"/>
  <c r="AG55" i="19"/>
  <c r="F47" i="16" s="1"/>
  <c r="AG50" i="19"/>
  <c r="F42" i="16" s="1"/>
  <c r="AG47" i="19"/>
  <c r="F39" i="16" s="1"/>
  <c r="AG44" i="19"/>
  <c r="F36" i="16" s="1"/>
  <c r="AG41" i="19"/>
  <c r="F33" i="16" s="1"/>
  <c r="AG38" i="19"/>
  <c r="F30" i="16" s="1"/>
  <c r="AG33" i="19"/>
  <c r="F25" i="16" s="1"/>
  <c r="AG30" i="19"/>
  <c r="F22" i="16" s="1"/>
  <c r="AG27" i="19"/>
  <c r="F19" i="16" s="1"/>
  <c r="AG24" i="19"/>
  <c r="F16" i="16" s="1"/>
  <c r="AG80" i="19"/>
  <c r="AG60" i="19"/>
  <c r="F52" i="16" s="1"/>
  <c r="AG57" i="19"/>
  <c r="F49" i="16" s="1"/>
  <c r="AG21" i="19"/>
  <c r="F13" i="16" s="1"/>
  <c r="AG18" i="19"/>
  <c r="F10" i="16" s="1"/>
  <c r="AG15" i="19"/>
  <c r="F7" i="16" s="1"/>
  <c r="AG12" i="19"/>
  <c r="F4" i="16" s="1"/>
  <c r="AG79" i="19"/>
  <c r="F71" i="16" s="1"/>
  <c r="AG67" i="19"/>
  <c r="F59" i="16" s="1"/>
  <c r="AG62" i="19"/>
  <c r="F54" i="16" s="1"/>
  <c r="AG78" i="19"/>
  <c r="F70" i="16" s="1"/>
  <c r="AG52" i="19"/>
  <c r="F44" i="16" s="1"/>
  <c r="AG37" i="19"/>
  <c r="F29" i="16" s="1"/>
  <c r="AG34" i="19"/>
  <c r="F26" i="16" s="1"/>
  <c r="AG53" i="19"/>
  <c r="F45" i="16" s="1"/>
  <c r="AG48" i="19"/>
  <c r="F40" i="16" s="1"/>
  <c r="AG45" i="19"/>
  <c r="F37" i="16" s="1"/>
  <c r="AG42" i="19"/>
  <c r="F34" i="16" s="1"/>
  <c r="AG39" i="19"/>
  <c r="F31" i="16" s="1"/>
  <c r="AG31" i="19"/>
  <c r="F23" i="16" s="1"/>
  <c r="AG28" i="19"/>
  <c r="F20" i="16" s="1"/>
  <c r="AG25" i="19"/>
  <c r="F17" i="16" s="1"/>
  <c r="AG76" i="19"/>
  <c r="F68" i="16" s="1"/>
  <c r="AG61" i="19"/>
  <c r="F53" i="16" s="1"/>
  <c r="AG58" i="19"/>
  <c r="F50" i="16" s="1"/>
  <c r="AG22" i="19"/>
  <c r="F14" i="16" s="1"/>
  <c r="AG63" i="19"/>
  <c r="F55" i="16" s="1"/>
  <c r="AG65" i="19"/>
  <c r="F57" i="16" s="1"/>
  <c r="AG35" i="19"/>
  <c r="F27" i="16" s="1"/>
  <c r="AG73" i="19"/>
  <c r="F65" i="16" s="1"/>
  <c r="AG54" i="19"/>
  <c r="F46" i="16" s="1"/>
  <c r="AG49" i="19"/>
  <c r="F41" i="16" s="1"/>
  <c r="AG46" i="19"/>
  <c r="F38" i="16" s="1"/>
  <c r="AG43" i="19"/>
  <c r="F35" i="16" s="1"/>
  <c r="AG40" i="19"/>
  <c r="F32" i="16" s="1"/>
  <c r="AG32" i="19"/>
  <c r="F24" i="16" s="1"/>
  <c r="AG29" i="19"/>
  <c r="F21" i="16" s="1"/>
  <c r="AG26" i="19"/>
  <c r="F18" i="16" s="1"/>
  <c r="AG23" i="19"/>
  <c r="F15" i="16" s="1"/>
  <c r="AG72" i="19"/>
  <c r="F64" i="16" s="1"/>
  <c r="AG66" i="19"/>
  <c r="F58" i="16" s="1"/>
  <c r="AG64" i="19"/>
  <c r="F56" i="16" s="1"/>
  <c r="AG70" i="19"/>
  <c r="F62" i="16" s="1"/>
  <c r="BN35" i="5"/>
  <c r="BO35" i="5" s="1"/>
  <c r="BV35" i="5" s="1"/>
  <c r="F36" i="4" s="1"/>
  <c r="BV6" i="5"/>
  <c r="F7" i="4" s="1"/>
  <c r="BY29" i="8"/>
  <c r="BY36" i="8"/>
  <c r="BY58" i="8"/>
  <c r="AM5" i="15"/>
  <c r="AM17" i="15"/>
  <c r="L15" i="4" s="1"/>
  <c r="AM29" i="15"/>
  <c r="L27" i="4" s="1"/>
  <c r="AM41" i="15"/>
  <c r="L39" i="4" s="1"/>
  <c r="AM53" i="15"/>
  <c r="L51" i="4" s="1"/>
  <c r="AM65" i="15"/>
  <c r="L63" i="4" s="1"/>
  <c r="AM7" i="15"/>
  <c r="L5" i="4" s="1"/>
  <c r="AM19" i="15"/>
  <c r="L17" i="4" s="1"/>
  <c r="AM31" i="15"/>
  <c r="L29" i="4" s="1"/>
  <c r="AM43" i="15"/>
  <c r="L41" i="4" s="1"/>
  <c r="AM55" i="15"/>
  <c r="L53" i="4" s="1"/>
  <c r="AM67" i="15"/>
  <c r="L65" i="4" s="1"/>
  <c r="AM8" i="15"/>
  <c r="L6" i="4" s="1"/>
  <c r="AM20" i="15"/>
  <c r="L18" i="4" s="1"/>
  <c r="AM32" i="15"/>
  <c r="L30" i="4" s="1"/>
  <c r="AM44" i="15"/>
  <c r="L42" i="4" s="1"/>
  <c r="AM56" i="15"/>
  <c r="L54" i="4" s="1"/>
  <c r="AM10" i="15"/>
  <c r="L8" i="4" s="1"/>
  <c r="AM22" i="15"/>
  <c r="L20" i="4" s="1"/>
  <c r="AM34" i="15"/>
  <c r="L32" i="4" s="1"/>
  <c r="AM46" i="15"/>
  <c r="L44" i="4" s="1"/>
  <c r="AM58" i="15"/>
  <c r="L56" i="4" s="1"/>
  <c r="AM13" i="15"/>
  <c r="L11" i="4" s="1"/>
  <c r="AM25" i="15"/>
  <c r="L23" i="4" s="1"/>
  <c r="AM37" i="15"/>
  <c r="L35" i="4" s="1"/>
  <c r="AM49" i="15"/>
  <c r="L47" i="4" s="1"/>
  <c r="AM61" i="15"/>
  <c r="L59" i="4" s="1"/>
  <c r="AM14" i="15"/>
  <c r="L12" i="4" s="1"/>
  <c r="AM26" i="15"/>
  <c r="L24" i="4" s="1"/>
  <c r="AM38" i="15"/>
  <c r="L36" i="4" s="1"/>
  <c r="AM50" i="15"/>
  <c r="L48" i="4" s="1"/>
  <c r="AM62" i="15"/>
  <c r="L60" i="4" s="1"/>
  <c r="AM16" i="15"/>
  <c r="L14" i="4" s="1"/>
  <c r="AM28" i="15"/>
  <c r="L26" i="4" s="1"/>
  <c r="AM40" i="15"/>
  <c r="L38" i="4" s="1"/>
  <c r="AM52" i="15"/>
  <c r="L50" i="4" s="1"/>
  <c r="AM64" i="15"/>
  <c r="L62" i="4" s="1"/>
  <c r="BY19" i="8"/>
  <c r="BZ30" i="8"/>
  <c r="BY30" i="8" s="1"/>
  <c r="BY33" i="8"/>
  <c r="CB52" i="8"/>
  <c r="BY52" i="8" s="1"/>
  <c r="BY55" i="8"/>
  <c r="AM45" i="15"/>
  <c r="L43" i="4" s="1"/>
  <c r="AM15" i="15"/>
  <c r="L13" i="4" s="1"/>
  <c r="G49" i="21"/>
  <c r="L49" i="21"/>
  <c r="BY16" i="8"/>
  <c r="BY37" i="8"/>
  <c r="BY50" i="8"/>
  <c r="BV8" i="5"/>
  <c r="F9" i="4" s="1"/>
  <c r="BV15" i="5"/>
  <c r="F16" i="4" s="1"/>
  <c r="BV46" i="5"/>
  <c r="F47" i="4" s="1"/>
  <c r="BY18" i="8"/>
  <c r="BY31" i="8"/>
  <c r="BY47" i="8"/>
  <c r="AM42" i="15"/>
  <c r="L40" i="4" s="1"/>
  <c r="AM12" i="15"/>
  <c r="L10" i="4" s="1"/>
  <c r="BV3" i="5"/>
  <c r="F4" i="4" s="1"/>
  <c r="BV13" i="5"/>
  <c r="F14" i="4" s="1"/>
  <c r="BV18" i="5"/>
  <c r="F19" i="4" s="1"/>
  <c r="BV53" i="5"/>
  <c r="F54" i="4" s="1"/>
  <c r="BV73" i="5"/>
  <c r="F74" i="4" s="1"/>
  <c r="BY11" i="8"/>
  <c r="BY35" i="8"/>
  <c r="BY54" i="8"/>
  <c r="AM39" i="15"/>
  <c r="L37" i="4" s="1"/>
  <c r="AM11" i="15"/>
  <c r="L9" i="4" s="1"/>
  <c r="AA38" i="16"/>
  <c r="H41" i="20"/>
  <c r="AG14" i="20" s="1"/>
  <c r="AM67" i="24"/>
  <c r="AM55" i="24"/>
  <c r="AM43" i="24"/>
  <c r="AM31" i="24"/>
  <c r="AM19" i="24"/>
  <c r="AM7" i="24"/>
  <c r="G6" i="21"/>
  <c r="G9" i="21"/>
  <c r="G12" i="21"/>
  <c r="G15" i="21"/>
  <c r="G51" i="21"/>
  <c r="G54" i="21"/>
  <c r="K55" i="16"/>
  <c r="M58" i="21" s="1"/>
  <c r="G63" i="21"/>
  <c r="AM65" i="24"/>
  <c r="AM53" i="24"/>
  <c r="AM41" i="24"/>
  <c r="AM29" i="24"/>
  <c r="AM17" i="24"/>
  <c r="AM5" i="24"/>
  <c r="AM64" i="24"/>
  <c r="AM52" i="24"/>
  <c r="AM40" i="24"/>
  <c r="AM28" i="24"/>
  <c r="AM16" i="24"/>
  <c r="AM62" i="24"/>
  <c r="AM50" i="24"/>
  <c r="AM38" i="24"/>
  <c r="AM26" i="24"/>
  <c r="AM14" i="24"/>
  <c r="G5" i="21"/>
  <c r="G8" i="21"/>
  <c r="G11" i="21"/>
  <c r="G14" i="21"/>
  <c r="G50" i="21"/>
  <c r="G53" i="21"/>
  <c r="G56" i="21"/>
  <c r="AM61" i="24"/>
  <c r="AM49" i="24"/>
  <c r="AM37" i="24"/>
  <c r="AM25" i="24"/>
  <c r="AM13" i="24"/>
  <c r="K49" i="16"/>
  <c r="M51" i="21" s="1"/>
  <c r="K52" i="16"/>
  <c r="M54" i="21" s="1"/>
  <c r="AM60" i="24"/>
  <c r="AM48" i="24"/>
  <c r="AM36" i="24"/>
  <c r="AM24" i="24"/>
  <c r="AM12" i="24"/>
  <c r="AM59" i="24"/>
  <c r="AM47" i="24"/>
  <c r="AM35" i="24"/>
  <c r="AM23" i="24"/>
  <c r="AM58" i="24"/>
  <c r="AM46" i="24"/>
  <c r="AM34" i="24"/>
  <c r="AM22" i="24"/>
  <c r="AM10" i="24"/>
  <c r="G7" i="21"/>
  <c r="G10" i="21"/>
  <c r="G13" i="21"/>
  <c r="G52" i="21"/>
  <c r="G55" i="21"/>
  <c r="AM57" i="24"/>
  <c r="AM45" i="24"/>
  <c r="AM33" i="24"/>
  <c r="AM21" i="24"/>
  <c r="AM9" i="24"/>
  <c r="K48" i="16"/>
  <c r="M50" i="21" s="1"/>
  <c r="AM56" i="24"/>
  <c r="AM44" i="24"/>
  <c r="AM32" i="24"/>
  <c r="AM20" i="24"/>
  <c r="C11" i="16"/>
  <c r="L11" i="16" s="1"/>
  <c r="N13" i="21" s="1"/>
  <c r="C62" i="16"/>
  <c r="C53" i="16"/>
  <c r="C17" i="16"/>
  <c r="L17" i="16" s="1"/>
  <c r="C69" i="16"/>
  <c r="N69" i="16" s="1"/>
  <c r="C10" i="4"/>
  <c r="K10" i="4" s="1"/>
  <c r="C66" i="16"/>
  <c r="L66" i="16" s="1"/>
  <c r="C34" i="16"/>
  <c r="L34" i="16" s="1"/>
  <c r="C74" i="16"/>
  <c r="L74" i="16" s="1"/>
  <c r="C63" i="16"/>
  <c r="N63" i="16" s="1"/>
  <c r="C25" i="16"/>
  <c r="L25" i="16" s="1"/>
  <c r="C30" i="16"/>
  <c r="L30" i="16" s="1"/>
  <c r="C43" i="16"/>
  <c r="L43" i="16" s="1"/>
  <c r="C7" i="16"/>
  <c r="C20" i="16"/>
  <c r="L20" i="16" s="1"/>
  <c r="N22" i="21" s="1"/>
  <c r="C29" i="16"/>
  <c r="C21" i="16"/>
  <c r="C52" i="16"/>
  <c r="C24" i="16"/>
  <c r="C54" i="16"/>
  <c r="L54" i="16" s="1"/>
  <c r="C3" i="16"/>
  <c r="L3" i="16" s="1"/>
  <c r="C16" i="16"/>
  <c r="C48" i="16"/>
  <c r="L48" i="16" s="1"/>
  <c r="C71" i="16"/>
  <c r="C51" i="16"/>
  <c r="L51" i="16" s="1"/>
  <c r="N53" i="21" s="1"/>
  <c r="C68" i="16"/>
  <c r="C22" i="4"/>
  <c r="C65" i="16"/>
  <c r="N65" i="16" s="1"/>
  <c r="C47" i="4"/>
  <c r="C35" i="4"/>
  <c r="K35" i="4" s="1"/>
  <c r="C59" i="4"/>
  <c r="K59" i="4" s="1"/>
  <c r="C17" i="4"/>
  <c r="K17" i="4" s="1"/>
  <c r="C70" i="4"/>
  <c r="K70" i="4" s="1"/>
  <c r="C78" i="4"/>
  <c r="K78" i="4" s="1"/>
  <c r="C37" i="4"/>
  <c r="K37" i="4" s="1"/>
  <c r="C61" i="16"/>
  <c r="C77" i="16"/>
  <c r="C26" i="16"/>
  <c r="C55" i="16"/>
  <c r="C58" i="16"/>
  <c r="L58" i="16" s="1"/>
  <c r="N62" i="21" s="1"/>
  <c r="C42" i="4"/>
  <c r="C61" i="4"/>
  <c r="K61" i="4" s="1"/>
  <c r="C49" i="4"/>
  <c r="C25" i="4"/>
  <c r="C12" i="4"/>
  <c r="C60" i="4"/>
  <c r="C48" i="4"/>
  <c r="K48" i="4" s="1"/>
  <c r="C36" i="4"/>
  <c r="C24" i="4"/>
  <c r="K24" i="4" s="1"/>
  <c r="C11" i="4"/>
  <c r="K11" i="4" s="1"/>
  <c r="C68" i="4"/>
  <c r="K68" i="4" s="1"/>
  <c r="C72" i="4"/>
  <c r="C76" i="4"/>
  <c r="K76" i="4" s="1"/>
  <c r="C5" i="16"/>
  <c r="N5" i="16" s="1"/>
  <c r="C9" i="16"/>
  <c r="M9" i="16" s="1"/>
  <c r="C13" i="16"/>
  <c r="C32" i="16"/>
  <c r="L32" i="16" s="1"/>
  <c r="N35" i="21" s="1"/>
  <c r="C36" i="16"/>
  <c r="L36" i="16" s="1"/>
  <c r="C40" i="16"/>
  <c r="L40" i="16" s="1"/>
  <c r="C46" i="16"/>
  <c r="L46" i="16" s="1"/>
  <c r="N47" i="21" s="1"/>
  <c r="C57" i="16"/>
  <c r="L57" i="16" s="1"/>
  <c r="C57" i="4"/>
  <c r="K57" i="4" s="1"/>
  <c r="C45" i="4"/>
  <c r="K45" i="4" s="1"/>
  <c r="C33" i="4"/>
  <c r="C20" i="4"/>
  <c r="C8" i="4"/>
  <c r="C69" i="4"/>
  <c r="K69" i="4" s="1"/>
  <c r="C73" i="4"/>
  <c r="K73" i="4" s="1"/>
  <c r="C77" i="4"/>
  <c r="K77" i="4" s="1"/>
  <c r="C4" i="16"/>
  <c r="L4" i="16" s="1"/>
  <c r="C8" i="16"/>
  <c r="L8" i="16" s="1"/>
  <c r="C12" i="16"/>
  <c r="N12" i="16" s="1"/>
  <c r="C31" i="16"/>
  <c r="C35" i="16"/>
  <c r="C39" i="16"/>
  <c r="L39" i="16" s="1"/>
  <c r="C45" i="16"/>
  <c r="C32" i="4"/>
  <c r="C44" i="4"/>
  <c r="K44" i="4" s="1"/>
  <c r="C19" i="4"/>
  <c r="C7" i="4"/>
  <c r="C55" i="4"/>
  <c r="K55" i="4" s="1"/>
  <c r="C43" i="4"/>
  <c r="K43" i="4" s="1"/>
  <c r="C31" i="4"/>
  <c r="C18" i="4"/>
  <c r="K18" i="4" s="1"/>
  <c r="C6" i="4"/>
  <c r="K6" i="4" s="1"/>
  <c r="C59" i="16"/>
  <c r="C72" i="16"/>
  <c r="C75" i="16"/>
  <c r="L75" i="16" s="1"/>
  <c r="C28" i="16"/>
  <c r="C66" i="4"/>
  <c r="C21" i="4"/>
  <c r="K21" i="4" s="1"/>
  <c r="C9" i="4"/>
  <c r="C38" i="16"/>
  <c r="L38" i="16" s="1"/>
  <c r="N41" i="21" s="1"/>
  <c r="C65" i="4"/>
  <c r="C29" i="4"/>
  <c r="C16" i="4"/>
  <c r="C4" i="4"/>
  <c r="C15" i="16"/>
  <c r="C19" i="16"/>
  <c r="C23" i="16"/>
  <c r="L23" i="16" s="1"/>
  <c r="N25" i="21" s="1"/>
  <c r="C50" i="16"/>
  <c r="L50" i="16" s="1"/>
  <c r="C46" i="4"/>
  <c r="C23" i="4"/>
  <c r="C54" i="4"/>
  <c r="C42" i="16"/>
  <c r="L42" i="16" s="1"/>
  <c r="C53" i="4"/>
  <c r="K53" i="4" s="1"/>
  <c r="C41" i="4"/>
  <c r="K41" i="4" s="1"/>
  <c r="C64" i="4"/>
  <c r="K64" i="4" s="1"/>
  <c r="C52" i="4"/>
  <c r="K52" i="4" s="1"/>
  <c r="C40" i="4"/>
  <c r="C28" i="4"/>
  <c r="K28" i="4" s="1"/>
  <c r="C15" i="4"/>
  <c r="K15" i="4" s="1"/>
  <c r="C3" i="4"/>
  <c r="C44" i="16"/>
  <c r="L44" i="16" s="1"/>
  <c r="C60" i="16"/>
  <c r="N60" i="16" s="1"/>
  <c r="C76" i="16"/>
  <c r="C27" i="16"/>
  <c r="C56" i="16"/>
  <c r="C34" i="4"/>
  <c r="C51" i="4"/>
  <c r="C39" i="4"/>
  <c r="K39" i="4" s="1"/>
  <c r="C27" i="4"/>
  <c r="C67" i="4"/>
  <c r="C71" i="4"/>
  <c r="C75" i="4"/>
  <c r="C73" i="16"/>
  <c r="L73" i="16" s="1"/>
  <c r="C6" i="16"/>
  <c r="N6" i="16" s="1"/>
  <c r="C10" i="16"/>
  <c r="L10" i="16" s="1"/>
  <c r="N12" i="21" s="1"/>
  <c r="C33" i="16"/>
  <c r="C37" i="16"/>
  <c r="C41" i="16"/>
  <c r="L41" i="16" s="1"/>
  <c r="C47" i="16"/>
  <c r="C58" i="4"/>
  <c r="K58" i="4" s="1"/>
  <c r="C56" i="4"/>
  <c r="C30" i="4"/>
  <c r="K30" i="4" s="1"/>
  <c r="C5" i="4"/>
  <c r="C74" i="4"/>
  <c r="C63" i="4"/>
  <c r="K63" i="4" s="1"/>
  <c r="C14" i="4"/>
  <c r="C62" i="4"/>
  <c r="C50" i="4"/>
  <c r="K50" i="4" s="1"/>
  <c r="C38" i="4"/>
  <c r="K38" i="4" s="1"/>
  <c r="C26" i="4"/>
  <c r="C13" i="4"/>
  <c r="K13" i="4" s="1"/>
  <c r="C64" i="16"/>
  <c r="C67" i="16"/>
  <c r="L67" i="16" s="1"/>
  <c r="C70" i="16"/>
  <c r="L70" i="16" s="1"/>
  <c r="C14" i="16"/>
  <c r="L14" i="16" s="1"/>
  <c r="C18" i="16"/>
  <c r="L18" i="16" s="1"/>
  <c r="N20" i="21" s="1"/>
  <c r="C22" i="16"/>
  <c r="L22" i="16" s="1"/>
  <c r="N24" i="21" s="1"/>
  <c r="C49" i="16"/>
  <c r="L49" i="16" s="1"/>
  <c r="P49" i="16" s="1"/>
  <c r="P51" i="21" s="1"/>
  <c r="BV70" i="5" l="1"/>
  <c r="F71" i="4" s="1"/>
  <c r="BV25" i="5"/>
  <c r="F26" i="4" s="1"/>
  <c r="BY42" i="8"/>
  <c r="BV10" i="5"/>
  <c r="F11" i="4" s="1"/>
  <c r="BV26" i="5"/>
  <c r="F27" i="4" s="1"/>
  <c r="BV7" i="5"/>
  <c r="F8" i="4" s="1"/>
  <c r="BV21" i="5"/>
  <c r="F22" i="4" s="1"/>
  <c r="AG60" i="20"/>
  <c r="AG64" i="20"/>
  <c r="AG54" i="20"/>
  <c r="AG58" i="20"/>
  <c r="AG62" i="20"/>
  <c r="AG66" i="20"/>
  <c r="AG78" i="20"/>
  <c r="AG82" i="20"/>
  <c r="N62" i="16"/>
  <c r="P34" i="16"/>
  <c r="P37" i="21" s="1"/>
  <c r="M7" i="16"/>
  <c r="N29" i="16"/>
  <c r="N52" i="16"/>
  <c r="M71" i="16"/>
  <c r="M68" i="16"/>
  <c r="N61" i="16"/>
  <c r="M26" i="16"/>
  <c r="N55" i="16"/>
  <c r="N13" i="16"/>
  <c r="P4" i="16"/>
  <c r="P6" i="21" s="1"/>
  <c r="M31" i="16"/>
  <c r="M35" i="16"/>
  <c r="N45" i="16"/>
  <c r="N59" i="16"/>
  <c r="N15" i="16"/>
  <c r="M19" i="16"/>
  <c r="M27" i="16"/>
  <c r="N37" i="16"/>
  <c r="M47" i="16"/>
  <c r="N64" i="16"/>
  <c r="P67" i="16"/>
  <c r="P43" i="16"/>
  <c r="P70" i="16"/>
  <c r="P40" i="16"/>
  <c r="P43" i="21" s="1"/>
  <c r="P54" i="16"/>
  <c r="P57" i="21" s="1"/>
  <c r="AG86" i="20"/>
  <c r="AG46" i="20"/>
  <c r="AG40" i="20"/>
  <c r="AG36" i="20"/>
  <c r="N56" i="16"/>
  <c r="N33" i="16"/>
  <c r="AG15" i="20"/>
  <c r="AG63" i="20"/>
  <c r="AG33" i="20"/>
  <c r="F78" i="16"/>
  <c r="AG81" i="20"/>
  <c r="M28" i="16"/>
  <c r="N21" i="16"/>
  <c r="AG70" i="20"/>
  <c r="P36" i="16"/>
  <c r="P39" i="21" s="1"/>
  <c r="P39" i="16"/>
  <c r="P42" i="21" s="1"/>
  <c r="P42" i="16"/>
  <c r="P45" i="21" s="1"/>
  <c r="P50" i="16"/>
  <c r="P52" i="21" s="1"/>
  <c r="P3" i="16"/>
  <c r="P5" i="21" s="1"/>
  <c r="P57" i="16"/>
  <c r="P61" i="21" s="1"/>
  <c r="P30" i="16"/>
  <c r="P33" i="21" s="1"/>
  <c r="P44" i="16"/>
  <c r="P41" i="16"/>
  <c r="P44" i="21" s="1"/>
  <c r="P8" i="16"/>
  <c r="P10" i="21" s="1"/>
  <c r="P48" i="16"/>
  <c r="P50" i="21" s="1"/>
  <c r="P25" i="16"/>
  <c r="P27" i="21" s="1"/>
  <c r="P14" i="16"/>
  <c r="P16" i="21" s="1"/>
  <c r="K26" i="4"/>
  <c r="K62" i="4"/>
  <c r="K60" i="4"/>
  <c r="K42" i="4"/>
  <c r="K34" i="4"/>
  <c r="K47" i="4"/>
  <c r="K12" i="4"/>
  <c r="K7" i="4"/>
  <c r="K3" i="4"/>
  <c r="K49" i="4"/>
  <c r="K46" i="4"/>
  <c r="K75" i="4"/>
  <c r="K31" i="4"/>
  <c r="K29" i="4"/>
  <c r="K25" i="4"/>
  <c r="K51" i="4"/>
  <c r="K71" i="4"/>
  <c r="K72" i="4"/>
  <c r="K65" i="4"/>
  <c r="K56" i="4"/>
  <c r="K40" i="4"/>
  <c r="K4" i="4"/>
  <c r="K9" i="4"/>
  <c r="K19" i="4"/>
  <c r="K14" i="4"/>
  <c r="K22" i="4"/>
  <c r="K54" i="4"/>
  <c r="K27" i="4"/>
  <c r="K8" i="4"/>
  <c r="K20" i="4"/>
  <c r="K5" i="4"/>
  <c r="K16" i="4"/>
  <c r="K74" i="4"/>
  <c r="K23" i="4"/>
  <c r="AG51" i="20"/>
  <c r="AG21" i="20"/>
  <c r="AG69" i="20"/>
  <c r="AG42" i="20"/>
  <c r="K33" i="4"/>
  <c r="K36" i="4"/>
  <c r="AG88" i="20"/>
  <c r="AG55" i="20"/>
  <c r="AG25" i="20"/>
  <c r="AG73" i="20"/>
  <c r="AG74" i="20"/>
  <c r="AG84" i="20"/>
  <c r="AM68" i="15"/>
  <c r="L3" i="4"/>
  <c r="L66" i="4" s="1"/>
  <c r="AG11" i="20"/>
  <c r="AG59" i="20"/>
  <c r="AG29" i="20"/>
  <c r="AG77" i="20"/>
  <c r="K32" i="4"/>
  <c r="AG19" i="20"/>
  <c r="AG67" i="20"/>
  <c r="AG37" i="20"/>
  <c r="AG85" i="20"/>
  <c r="L53" i="16"/>
  <c r="N55" i="21" s="1"/>
  <c r="AG23" i="20"/>
  <c r="AG71" i="20"/>
  <c r="AG41" i="20"/>
  <c r="AG80" i="20"/>
  <c r="AG32" i="20"/>
  <c r="AG20" i="20"/>
  <c r="AG56" i="20"/>
  <c r="AG12" i="20"/>
  <c r="AG24" i="20"/>
  <c r="AG44" i="20"/>
  <c r="AG76" i="20"/>
  <c r="AG52" i="20"/>
  <c r="AG28" i="20"/>
  <c r="AG72" i="20"/>
  <c r="AG48" i="20"/>
  <c r="AG68" i="20"/>
  <c r="AI19" i="20"/>
  <c r="AG27" i="20"/>
  <c r="AG75" i="20"/>
  <c r="AG45" i="20"/>
  <c r="AG18" i="20"/>
  <c r="AI26" i="20"/>
  <c r="AG31" i="20"/>
  <c r="AG79" i="20"/>
  <c r="AG49" i="20"/>
  <c r="AG22" i="20"/>
  <c r="N16" i="16"/>
  <c r="AG50" i="20"/>
  <c r="AM68" i="24"/>
  <c r="D43" i="20"/>
  <c r="AI84" i="20" s="1"/>
  <c r="AI40" i="20"/>
  <c r="AJ40" i="20" s="1"/>
  <c r="AI61" i="20"/>
  <c r="AI30" i="20"/>
  <c r="AG35" i="20"/>
  <c r="AG83" i="20"/>
  <c r="AG53" i="20"/>
  <c r="AG26" i="20"/>
  <c r="AI65" i="20"/>
  <c r="AI34" i="20"/>
  <c r="AG39" i="20"/>
  <c r="AG87" i="20"/>
  <c r="AG57" i="20"/>
  <c r="AG30" i="20"/>
  <c r="AI48" i="20"/>
  <c r="AI69" i="20"/>
  <c r="AI86" i="20"/>
  <c r="AJ86" i="20" s="1"/>
  <c r="AG43" i="20"/>
  <c r="AG13" i="20"/>
  <c r="AG61" i="20"/>
  <c r="AG34" i="20"/>
  <c r="M24" i="16"/>
  <c r="AG16" i="20"/>
  <c r="AI52" i="20"/>
  <c r="AI25" i="20"/>
  <c r="AI42" i="20"/>
  <c r="AG47" i="20"/>
  <c r="AG17" i="20"/>
  <c r="AG65" i="20"/>
  <c r="AG38" i="20"/>
  <c r="AI79" i="20"/>
  <c r="M11" i="16"/>
  <c r="N11" i="16"/>
  <c r="P11" i="16"/>
  <c r="P13" i="21" s="1"/>
  <c r="N27" i="21"/>
  <c r="N25" i="16"/>
  <c r="M25" i="16"/>
  <c r="N17" i="16"/>
  <c r="M17" i="16"/>
  <c r="M62" i="16"/>
  <c r="L7" i="16"/>
  <c r="N9" i="21" s="1"/>
  <c r="N7" i="16"/>
  <c r="L5" i="16"/>
  <c r="P5" i="16" s="1"/>
  <c r="P7" i="21" s="1"/>
  <c r="M5" i="16"/>
  <c r="N10" i="21"/>
  <c r="N8" i="16"/>
  <c r="M53" i="16"/>
  <c r="L71" i="16"/>
  <c r="P71" i="16" s="1"/>
  <c r="N53" i="16"/>
  <c r="N71" i="16"/>
  <c r="M29" i="16"/>
  <c r="L29" i="16"/>
  <c r="N31" i="21" s="1"/>
  <c r="N24" i="16"/>
  <c r="P20" i="16"/>
  <c r="P22" i="21" s="1"/>
  <c r="N51" i="16"/>
  <c r="P51" i="16"/>
  <c r="P53" i="21" s="1"/>
  <c r="M51" i="16"/>
  <c r="N20" i="16"/>
  <c r="M69" i="16"/>
  <c r="L69" i="16"/>
  <c r="P69" i="16" s="1"/>
  <c r="M20" i="16"/>
  <c r="M63" i="16"/>
  <c r="N57" i="21"/>
  <c r="L63" i="16"/>
  <c r="N54" i="16"/>
  <c r="M66" i="16"/>
  <c r="N43" i="21"/>
  <c r="N66" i="16"/>
  <c r="L52" i="16"/>
  <c r="P52" i="16" s="1"/>
  <c r="P54" i="21" s="1"/>
  <c r="M54" i="16"/>
  <c r="M40" i="16"/>
  <c r="M52" i="16"/>
  <c r="P23" i="16"/>
  <c r="P25" i="21" s="1"/>
  <c r="L21" i="16"/>
  <c r="N23" i="21" s="1"/>
  <c r="L68" i="16"/>
  <c r="P68" i="16" s="1"/>
  <c r="L35" i="16"/>
  <c r="P35" i="16" s="1"/>
  <c r="P38" i="21" s="1"/>
  <c r="M21" i="16"/>
  <c r="N9" i="16"/>
  <c r="N68" i="16"/>
  <c r="M65" i="16"/>
  <c r="N28" i="16"/>
  <c r="N5" i="21"/>
  <c r="M3" i="16"/>
  <c r="N3" i="16"/>
  <c r="N57" i="16"/>
  <c r="N61" i="21"/>
  <c r="M55" i="16"/>
  <c r="M12" i="16"/>
  <c r="N40" i="16"/>
  <c r="L9" i="16"/>
  <c r="P9" i="16" s="1"/>
  <c r="P11" i="21" s="1"/>
  <c r="L65" i="16"/>
  <c r="N39" i="16"/>
  <c r="N39" i="21"/>
  <c r="M61" i="16"/>
  <c r="M36" i="16"/>
  <c r="M39" i="16"/>
  <c r="N42" i="21"/>
  <c r="P38" i="16"/>
  <c r="P41" i="21" s="1"/>
  <c r="L45" i="16"/>
  <c r="P45" i="16" s="1"/>
  <c r="P46" i="21" s="1"/>
  <c r="N37" i="21"/>
  <c r="M34" i="16"/>
  <c r="M8" i="16"/>
  <c r="L24" i="16"/>
  <c r="P24" i="16" s="1"/>
  <c r="P26" i="21" s="1"/>
  <c r="N34" i="16"/>
  <c r="M57" i="16"/>
  <c r="N35" i="16"/>
  <c r="L55" i="16"/>
  <c r="P55" i="16" s="1"/>
  <c r="P58" i="21" s="1"/>
  <c r="M45" i="16"/>
  <c r="L59" i="16"/>
  <c r="P59" i="16" s="1"/>
  <c r="M59" i="16"/>
  <c r="N41" i="16"/>
  <c r="N44" i="21"/>
  <c r="L28" i="16"/>
  <c r="N30" i="21" s="1"/>
  <c r="M15" i="16"/>
  <c r="N48" i="16"/>
  <c r="N47" i="16"/>
  <c r="P58" i="16"/>
  <c r="P62" i="21" s="1"/>
  <c r="M30" i="16"/>
  <c r="N33" i="21"/>
  <c r="M48" i="16"/>
  <c r="M42" i="16"/>
  <c r="M43" i="16"/>
  <c r="N58" i="16"/>
  <c r="L16" i="16"/>
  <c r="P16" i="16" s="1"/>
  <c r="P18" i="21" s="1"/>
  <c r="M16" i="16"/>
  <c r="N43" i="16"/>
  <c r="N50" i="21"/>
  <c r="M58" i="16"/>
  <c r="N30" i="16"/>
  <c r="L15" i="16"/>
  <c r="P15" i="16" s="1"/>
  <c r="P17" i="21" s="1"/>
  <c r="N46" i="16"/>
  <c r="P46" i="16"/>
  <c r="P47" i="21" s="1"/>
  <c r="L12" i="16"/>
  <c r="P12" i="16" s="1"/>
  <c r="P14" i="21" s="1"/>
  <c r="N26" i="16"/>
  <c r="M46" i="16"/>
  <c r="L26" i="16"/>
  <c r="P26" i="16" s="1"/>
  <c r="P28" i="21" s="1"/>
  <c r="N16" i="21"/>
  <c r="N44" i="16"/>
  <c r="M44" i="16"/>
  <c r="N4" i="16"/>
  <c r="N42" i="16"/>
  <c r="N45" i="21"/>
  <c r="M6" i="16"/>
  <c r="M4" i="16"/>
  <c r="N6" i="21"/>
  <c r="L47" i="16"/>
  <c r="N48" i="21" s="1"/>
  <c r="M23" i="16"/>
  <c r="N32" i="16"/>
  <c r="P32" i="16"/>
  <c r="P35" i="21" s="1"/>
  <c r="M33" i="16"/>
  <c r="L19" i="16"/>
  <c r="P19" i="16" s="1"/>
  <c r="P21" i="21" s="1"/>
  <c r="L60" i="16"/>
  <c r="N31" i="16"/>
  <c r="L31" i="16"/>
  <c r="P31" i="16" s="1"/>
  <c r="P34" i="21" s="1"/>
  <c r="M37" i="16"/>
  <c r="N19" i="16"/>
  <c r="L6" i="16"/>
  <c r="N8" i="21" s="1"/>
  <c r="N10" i="16"/>
  <c r="M32" i="16"/>
  <c r="M49" i="16"/>
  <c r="L64" i="16"/>
  <c r="N67" i="16"/>
  <c r="M60" i="16"/>
  <c r="N14" i="16"/>
  <c r="M10" i="16"/>
  <c r="M14" i="16"/>
  <c r="M64" i="16"/>
  <c r="L33" i="16"/>
  <c r="N36" i="21" s="1"/>
  <c r="M22" i="16"/>
  <c r="M41" i="16"/>
  <c r="N18" i="16"/>
  <c r="L56" i="16"/>
  <c r="P56" i="16" s="1"/>
  <c r="P59" i="21" s="1"/>
  <c r="P10" i="16"/>
  <c r="P12" i="21" s="1"/>
  <c r="P22" i="16"/>
  <c r="P24" i="21" s="1"/>
  <c r="N38" i="16"/>
  <c r="M67" i="16"/>
  <c r="N50" i="16"/>
  <c r="N51" i="21"/>
  <c r="N27" i="16"/>
  <c r="N22" i="16"/>
  <c r="M50" i="16"/>
  <c r="L37" i="16"/>
  <c r="N40" i="21" s="1"/>
  <c r="L27" i="16"/>
  <c r="N29" i="21" s="1"/>
  <c r="N36" i="16"/>
  <c r="M13" i="16"/>
  <c r="N23" i="16"/>
  <c r="N70" i="16"/>
  <c r="P18" i="16"/>
  <c r="P20" i="21" s="1"/>
  <c r="M56" i="16"/>
  <c r="L61" i="16"/>
  <c r="M70" i="16"/>
  <c r="M38" i="16"/>
  <c r="N49" i="16"/>
  <c r="M18" i="16"/>
  <c r="N52" i="21"/>
  <c r="L13" i="16"/>
  <c r="P13" i="16" s="1"/>
  <c r="P15" i="21" s="1"/>
  <c r="N19" i="21"/>
  <c r="P17" i="16"/>
  <c r="P19" i="21" s="1"/>
  <c r="F79" i="4" l="1"/>
  <c r="AI82" i="20"/>
  <c r="AJ82" i="20" s="1"/>
  <c r="AI88" i="20"/>
  <c r="AI57" i="20"/>
  <c r="AI23" i="20"/>
  <c r="AI66" i="20"/>
  <c r="AJ66" i="20" s="1"/>
  <c r="AI36" i="20"/>
  <c r="AJ36" i="20" s="1"/>
  <c r="AI18" i="20"/>
  <c r="AJ18" i="20" s="1"/>
  <c r="AI58" i="20"/>
  <c r="AJ58" i="20" s="1"/>
  <c r="AI27" i="20"/>
  <c r="AJ27" i="20" s="1"/>
  <c r="AI35" i="20"/>
  <c r="AI49" i="20"/>
  <c r="AI59" i="20"/>
  <c r="AI38" i="20"/>
  <c r="AI17" i="20"/>
  <c r="AJ17" i="20" s="1"/>
  <c r="AI51" i="20"/>
  <c r="AI76" i="20"/>
  <c r="AI44" i="20"/>
  <c r="AJ44" i="20" s="1"/>
  <c r="AI15" i="20"/>
  <c r="AJ15" i="20" s="1"/>
  <c r="AI73" i="20"/>
  <c r="AI21" i="20"/>
  <c r="AJ21" i="20" s="1"/>
  <c r="AI55" i="20"/>
  <c r="AI70" i="20"/>
  <c r="AJ70" i="20" s="1"/>
  <c r="AI11" i="20"/>
  <c r="AJ11" i="20" s="1"/>
  <c r="AI13" i="20"/>
  <c r="AJ13" i="20" s="1"/>
  <c r="AI67" i="20"/>
  <c r="AI22" i="20"/>
  <c r="AI16" i="20"/>
  <c r="AI53" i="20"/>
  <c r="AI39" i="20"/>
  <c r="AJ39" i="20" s="1"/>
  <c r="AJ79" i="20"/>
  <c r="AI78" i="20"/>
  <c r="AJ78" i="20" s="1"/>
  <c r="AI80" i="20"/>
  <c r="AI74" i="20"/>
  <c r="AI32" i="20"/>
  <c r="AJ32" i="20" s="1"/>
  <c r="AI62" i="20"/>
  <c r="AJ62" i="20" s="1"/>
  <c r="AI72" i="20"/>
  <c r="AJ72" i="20" s="1"/>
  <c r="P53" i="16"/>
  <c r="P55" i="21" s="1"/>
  <c r="K66" i="4"/>
  <c r="M63" i="4" s="1"/>
  <c r="W63" i="4" s="1"/>
  <c r="AI47" i="20"/>
  <c r="AJ47" i="20" s="1"/>
  <c r="AI54" i="20"/>
  <c r="AJ54" i="20" s="1"/>
  <c r="AJ25" i="20"/>
  <c r="AJ42" i="20"/>
  <c r="AI71" i="20"/>
  <c r="AJ71" i="20" s="1"/>
  <c r="AI12" i="20"/>
  <c r="AJ12" i="20" s="1"/>
  <c r="AI85" i="20"/>
  <c r="AJ85" i="20" s="1"/>
  <c r="AJ55" i="20"/>
  <c r="AJ69" i="20"/>
  <c r="AJ73" i="20"/>
  <c r="AJ26" i="20"/>
  <c r="AI87" i="20"/>
  <c r="AJ87" i="20" s="1"/>
  <c r="AJ30" i="20"/>
  <c r="AJ53" i="20"/>
  <c r="AJ22" i="20"/>
  <c r="AJ67" i="20"/>
  <c r="AI37" i="20"/>
  <c r="AJ37" i="20" s="1"/>
  <c r="AJ88" i="20"/>
  <c r="AJ34" i="20"/>
  <c r="AJ57" i="20"/>
  <c r="AJ19" i="20"/>
  <c r="AI64" i="20"/>
  <c r="AJ64" i="20" s="1"/>
  <c r="AI50" i="20"/>
  <c r="AJ50" i="20" s="1"/>
  <c r="AI81" i="20"/>
  <c r="AJ81" i="20" s="1"/>
  <c r="AI46" i="20"/>
  <c r="AJ46" i="20" s="1"/>
  <c r="AJ61" i="20"/>
  <c r="AJ65" i="20"/>
  <c r="AJ48" i="20"/>
  <c r="AI14" i="20"/>
  <c r="AJ14" i="20" s="1"/>
  <c r="AI33" i="20"/>
  <c r="AJ33" i="20" s="1"/>
  <c r="AI77" i="20"/>
  <c r="AJ77" i="20" s="1"/>
  <c r="AI45" i="20"/>
  <c r="AJ45" i="20" s="1"/>
  <c r="AJ84" i="20"/>
  <c r="AI60" i="20"/>
  <c r="AJ60" i="20" s="1"/>
  <c r="AI29" i="20"/>
  <c r="AJ29" i="20" s="1"/>
  <c r="AJ80" i="20"/>
  <c r="AI56" i="20"/>
  <c r="AJ56" i="20" s="1"/>
  <c r="AI28" i="20"/>
  <c r="AJ28" i="20" s="1"/>
  <c r="AI24" i="20"/>
  <c r="AJ24" i="20" s="1"/>
  <c r="AI75" i="20"/>
  <c r="AJ75" i="20" s="1"/>
  <c r="AJ52" i="20"/>
  <c r="AI31" i="20"/>
  <c r="AJ31" i="20" s="1"/>
  <c r="AI41" i="20"/>
  <c r="AJ41" i="20" s="1"/>
  <c r="AI68" i="20"/>
  <c r="AJ68" i="20" s="1"/>
  <c r="AI20" i="20"/>
  <c r="AJ20" i="20" s="1"/>
  <c r="AI43" i="20"/>
  <c r="AJ43" i="20" s="1"/>
  <c r="AJ76" i="20"/>
  <c r="AI63" i="20"/>
  <c r="AJ63" i="20" s="1"/>
  <c r="AJ59" i="20"/>
  <c r="AI83" i="20"/>
  <c r="AJ83" i="20" s="1"/>
  <c r="P7" i="16"/>
  <c r="P9" i="21" s="1"/>
  <c r="N7" i="21"/>
  <c r="P29" i="16"/>
  <c r="P31" i="21" s="1"/>
  <c r="N54" i="21"/>
  <c r="P21" i="16"/>
  <c r="P23" i="21" s="1"/>
  <c r="N38" i="21"/>
  <c r="N26" i="21"/>
  <c r="N11" i="21"/>
  <c r="N46" i="21"/>
  <c r="N18" i="21"/>
  <c r="N58" i="21"/>
  <c r="N17" i="21"/>
  <c r="N14" i="21"/>
  <c r="P28" i="16"/>
  <c r="P30" i="21" s="1"/>
  <c r="N21" i="21"/>
  <c r="N59" i="21"/>
  <c r="N15" i="21"/>
  <c r="N28" i="21"/>
  <c r="P47" i="16"/>
  <c r="P48" i="21" s="1"/>
  <c r="N34" i="21"/>
  <c r="P37" i="16"/>
  <c r="P40" i="21" s="1"/>
  <c r="P6" i="16"/>
  <c r="P8" i="21" s="1"/>
  <c r="P33" i="16"/>
  <c r="P36" i="21" s="1"/>
  <c r="P27" i="16"/>
  <c r="P29" i="21" s="1"/>
  <c r="AJ35" i="20" l="1"/>
  <c r="AJ16" i="20"/>
  <c r="AJ49" i="20"/>
  <c r="AJ23" i="20"/>
  <c r="AJ51" i="20"/>
  <c r="AJ38" i="20"/>
  <c r="AJ74" i="20"/>
  <c r="M57" i="4"/>
  <c r="W57" i="4" s="1"/>
  <c r="M17" i="4"/>
  <c r="W17" i="4" s="1"/>
  <c r="M11" i="4"/>
  <c r="W11" i="4" s="1"/>
  <c r="M64" i="4"/>
  <c r="W64" i="4" s="1"/>
  <c r="M14" i="4"/>
  <c r="W14" i="4" s="1"/>
  <c r="M8" i="4"/>
  <c r="W8" i="4" s="1"/>
  <c r="M30" i="4"/>
  <c r="W30" i="4" s="1"/>
  <c r="M52" i="4"/>
  <c r="W52" i="4" s="1"/>
  <c r="M55" i="4"/>
  <c r="W55" i="4" s="1"/>
  <c r="M62" i="4"/>
  <c r="W62" i="4" s="1"/>
  <c r="M40" i="4"/>
  <c r="W40" i="4" s="1"/>
  <c r="M29" i="4"/>
  <c r="W29" i="4" s="1"/>
  <c r="M56" i="4"/>
  <c r="W56" i="4" s="1"/>
  <c r="M34" i="4"/>
  <c r="W34" i="4" s="1"/>
  <c r="M27" i="4"/>
  <c r="W27" i="4" s="1"/>
  <c r="M50" i="4"/>
  <c r="W50" i="4" s="1"/>
  <c r="M28" i="4"/>
  <c r="W28" i="4" s="1"/>
  <c r="M54" i="4"/>
  <c r="W54" i="4" s="1"/>
  <c r="M31" i="4"/>
  <c r="W31" i="4" s="1"/>
  <c r="M36" i="4"/>
  <c r="W36" i="4" s="1"/>
  <c r="M38" i="4"/>
  <c r="W38" i="4" s="1"/>
  <c r="M16" i="4"/>
  <c r="W16" i="4" s="1"/>
  <c r="M5" i="4"/>
  <c r="W5" i="4" s="1"/>
  <c r="M19" i="4"/>
  <c r="W19" i="4" s="1"/>
  <c r="M10" i="4"/>
  <c r="W10" i="4" s="1"/>
  <c r="M3" i="4"/>
  <c r="W3" i="4" s="1"/>
  <c r="M60" i="4"/>
  <c r="W60" i="4" s="1"/>
  <c r="M48" i="4"/>
  <c r="W48" i="4" s="1"/>
  <c r="M58" i="4"/>
  <c r="W58" i="4" s="1"/>
  <c r="M51" i="4"/>
  <c r="W51" i="4" s="1"/>
  <c r="M42" i="4"/>
  <c r="W42" i="4" s="1"/>
  <c r="M61" i="4"/>
  <c r="W61" i="4" s="1"/>
  <c r="M45" i="4"/>
  <c r="W45" i="4" s="1"/>
  <c r="M24" i="4"/>
  <c r="W24" i="4" s="1"/>
  <c r="M12" i="4"/>
  <c r="W12" i="4" s="1"/>
  <c r="M46" i="4"/>
  <c r="W46" i="4" s="1"/>
  <c r="M39" i="4"/>
  <c r="W39" i="4" s="1"/>
  <c r="M6" i="4"/>
  <c r="W6" i="4" s="1"/>
  <c r="M49" i="4"/>
  <c r="W49" i="4" s="1"/>
  <c r="M33" i="4"/>
  <c r="W33" i="4" s="1"/>
  <c r="M43" i="4"/>
  <c r="W43" i="4" s="1"/>
  <c r="M59" i="4"/>
  <c r="W59" i="4" s="1"/>
  <c r="M37" i="4"/>
  <c r="W37" i="4" s="1"/>
  <c r="M21" i="4"/>
  <c r="W21" i="4" s="1"/>
  <c r="M41" i="4"/>
  <c r="W41" i="4" s="1"/>
  <c r="M44" i="4"/>
  <c r="W44" i="4" s="1"/>
  <c r="M22" i="4"/>
  <c r="W22" i="4" s="1"/>
  <c r="M15" i="4"/>
  <c r="W15" i="4" s="1"/>
  <c r="M23" i="4"/>
  <c r="W23" i="4" s="1"/>
  <c r="M25" i="4"/>
  <c r="W25" i="4" s="1"/>
  <c r="M9" i="4"/>
  <c r="W9" i="4" s="1"/>
  <c r="M18" i="4"/>
  <c r="W18" i="4" s="1"/>
  <c r="M32" i="4"/>
  <c r="W32" i="4" s="1"/>
  <c r="M53" i="4"/>
  <c r="W53" i="4" s="1"/>
  <c r="M65" i="4"/>
  <c r="W65" i="4" s="1"/>
  <c r="M26" i="4"/>
  <c r="W26" i="4" s="1"/>
  <c r="M13" i="4"/>
  <c r="W13" i="4" s="1"/>
  <c r="M4" i="4"/>
  <c r="W4" i="4" s="1"/>
  <c r="M35" i="4"/>
  <c r="W35" i="4" s="1"/>
  <c r="M47" i="4"/>
  <c r="W47" i="4" s="1"/>
  <c r="M20" i="4"/>
  <c r="W20" i="4" s="1"/>
  <c r="M7" i="4"/>
  <c r="W7" i="4" s="1"/>
  <c r="M66" i="4" l="1"/>
  <c r="W6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9" authorId="0" shapeId="0" xr:uid="{00000000-0006-0000-03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ID#AAABtsUmO9I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FOR 153 SICK LEAVE
</t>
        </r>
        <r>
          <rPr>
            <sz val="12"/>
            <color rgb="FF000000"/>
            <rFont val="Calibri"/>
            <family val="2"/>
            <scheme val="minor"/>
          </rPr>
          <t>11/6</t>
        </r>
      </text>
    </comment>
    <comment ref="G10" authorId="0" shapeId="0" xr:uid="{00000000-0006-0000-03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ID#AAABtsUmO84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FOR 153 SICK LEAVE
</t>
        </r>
        <r>
          <rPr>
            <sz val="12"/>
            <color rgb="FF000000"/>
            <rFont val="Calibri"/>
            <family val="2"/>
            <scheme val="minor"/>
          </rPr>
          <t>11/6</t>
        </r>
      </text>
    </comment>
    <comment ref="B12" authorId="0" shapeId="0" xr:uid="{00000000-0006-0000-03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ID#AAABtsUmO9k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21.6.2024</t>
        </r>
      </text>
    </comment>
    <comment ref="A13" authorId="0" shapeId="0" xr:uid="{00000000-0006-0000-03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ID#AAABtsUmO94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11/6 - 14/6</t>
        </r>
      </text>
    </comment>
    <comment ref="G28" authorId="0" shapeId="0" xr:uid="{00000000-0006-0000-03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ID#AAABtsUmO7Q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14/6</t>
        </r>
      </text>
    </comment>
    <comment ref="B31" authorId="0" shapeId="0" xr:uid="{00000000-0006-0000-03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ID#AAABtsUmO-Y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20.6.2024</t>
        </r>
      </text>
    </comment>
    <comment ref="B35" authorId="0" shapeId="0" xr:uid="{00000000-0006-0000-03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ID#AAABtsUmO7o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21.6.2024</t>
        </r>
      </text>
    </comment>
    <comment ref="B38" authorId="0" shapeId="0" xr:uid="{00000000-0006-0000-0300-00000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ID#AAABtsUmO44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20.6.2024</t>
        </r>
      </text>
    </comment>
    <comment ref="G40" authorId="0" shapeId="0" xr:uid="{00000000-0006-0000-0300-00000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ID#AAABtsUmO8M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FOR T 114 SICK LEAVE
</t>
        </r>
        <r>
          <rPr>
            <sz val="12"/>
            <color rgb="FF000000"/>
            <rFont val="Calibri"/>
            <family val="2"/>
            <scheme val="minor"/>
          </rPr>
          <t>14/6</t>
        </r>
      </text>
    </comment>
    <comment ref="G41" authorId="0" shapeId="0" xr:uid="{00000000-0006-0000-0300-00000A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ID#AAABtsUmO5c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11/6</t>
        </r>
      </text>
    </comment>
    <comment ref="B67" authorId="0" shapeId="0" xr:uid="{00000000-0006-0000-0300-00000B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ID#AAABtsUmO-M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70" authorId="0" shapeId="0" xr:uid="{00000000-0006-0000-0300-00000C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Mon Tue Thu Fri 8:15
</t>
        </r>
        <r>
          <rPr>
            <sz val="12"/>
            <color rgb="FF000000"/>
            <rFont val="Calibri"/>
            <family val="2"/>
            <scheme val="minor"/>
          </rPr>
          <t xml:space="preserve">Wed 9:15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----
</t>
        </r>
        <r>
          <rPr>
            <sz val="12"/>
            <color rgb="FF000000"/>
            <rFont val="Calibri"/>
            <family val="2"/>
            <scheme val="minor"/>
          </rPr>
          <t xml:space="preserve">working
</t>
        </r>
        <r>
          <rPr>
            <sz val="12"/>
            <color rgb="FF000000"/>
            <rFont val="Calibri"/>
            <family val="2"/>
            <scheme val="minor"/>
          </rPr>
          <t xml:space="preserve">Mon Tue Thur Fri 8:15
</t>
        </r>
        <r>
          <rPr>
            <sz val="12"/>
            <color rgb="FF000000"/>
            <rFont val="Calibri"/>
            <family val="2"/>
            <scheme val="minor"/>
          </rPr>
          <t xml:space="preserve">Wed 9:15
</t>
        </r>
        <r>
          <rPr>
            <sz val="12"/>
            <color rgb="FF000000"/>
            <rFont val="Calibri"/>
            <family val="2"/>
            <scheme val="minor"/>
          </rPr>
          <t xml:space="preserve">	-PAK KIU CHENG
</t>
        </r>
        <r>
          <rPr>
            <sz val="12"/>
            <color rgb="FF000000"/>
            <rFont val="Calibri"/>
            <family val="2"/>
            <scheme val="minor"/>
          </rPr>
          <t xml:space="preserve">_標示為已解決_
</t>
        </r>
        <r>
          <rPr>
            <sz val="12"/>
            <color rgb="FF000000"/>
            <rFont val="Calibri"/>
            <family val="2"/>
            <scheme val="minor"/>
          </rPr>
          <t xml:space="preserve">	-PAK KIU CHENG
</t>
        </r>
        <r>
          <rPr>
            <sz val="12"/>
            <color rgb="FF000000"/>
            <rFont val="Calibri"/>
            <family val="2"/>
            <scheme val="minor"/>
          </rPr>
          <t xml:space="preserve">_已重新開放_
</t>
        </r>
        <r>
          <rPr>
            <sz val="12"/>
            <color rgb="FF000000"/>
            <rFont val="Calibri"/>
            <family val="2"/>
            <scheme val="minor"/>
          </rPr>
          <t xml:space="preserve">	-PAK KIU CHENG</t>
        </r>
      </text>
    </comment>
    <comment ref="B71" authorId="0" shapeId="0" xr:uid="{00000000-0006-0000-0300-00000D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Mon 9:30
</t>
        </r>
        <r>
          <rPr>
            <sz val="12"/>
            <color rgb="FF000000"/>
            <rFont val="Calibri"/>
            <family val="2"/>
            <scheme val="minor"/>
          </rPr>
          <t>Tue-Fri 8:30</t>
        </r>
      </text>
    </comment>
    <comment ref="B72" authorId="0" shapeId="0" xr:uid="{00000000-0006-0000-0300-00000E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ID#AAABtsUmO6Q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TA 1/2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F10" authorId="0" shapeId="0" xr:uid="{00000000-0006-0000-06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ID#AAABtsUmO98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21.6.2024</t>
        </r>
      </text>
    </comment>
    <comment ref="BE11" authorId="0" shapeId="0" xr:uid="{00000000-0006-0000-06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ID#AAABtsUmO68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11/6 - 14/6</t>
        </r>
      </text>
    </comment>
    <comment ref="BF24" authorId="0" shapeId="0" xr:uid="{00000000-0006-0000-06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ID#AAABtsUmO-c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20.6.2024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7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ID#AAABtsUmO6w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21.6.2024</t>
        </r>
      </text>
    </comment>
    <comment ref="A13" authorId="0" shapeId="0" xr:uid="{00000000-0006-0000-07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ID#AAABtsUmO-A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11/6 - 14/6</t>
        </r>
      </text>
    </comment>
    <comment ref="B31" authorId="0" shapeId="0" xr:uid="{00000000-0006-0000-07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ID#AAABtsUmO8Y
</t>
        </r>
        <r>
          <rPr>
            <sz val="12"/>
            <color rgb="FF000000"/>
            <rFont val="Calibri"/>
            <family val="2"/>
            <scheme val="minor"/>
          </rPr>
          <t xml:space="preserve">User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>20.6.2024</t>
        </r>
      </text>
    </comment>
    <comment ref="B65" authorId="0" shapeId="0" xr:uid="{00000000-0006-0000-07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68" authorId="0" shapeId="0" xr:uid="{00000000-0006-0000-07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Mon Tue Thu Fri 8:15
</t>
        </r>
        <r>
          <rPr>
            <sz val="12"/>
            <color rgb="FF000000"/>
            <rFont val="Calibri"/>
            <family val="2"/>
            <scheme val="minor"/>
          </rPr>
          <t xml:space="preserve">Wed 9:15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----
</t>
        </r>
        <r>
          <rPr>
            <sz val="12"/>
            <color rgb="FF000000"/>
            <rFont val="Calibri"/>
            <family val="2"/>
            <scheme val="minor"/>
          </rPr>
          <t xml:space="preserve">working
</t>
        </r>
        <r>
          <rPr>
            <sz val="12"/>
            <color rgb="FF000000"/>
            <rFont val="Calibri"/>
            <family val="2"/>
            <scheme val="minor"/>
          </rPr>
          <t xml:space="preserve">Mon Tue Thur Fri 8:15
</t>
        </r>
        <r>
          <rPr>
            <sz val="12"/>
            <color rgb="FF000000"/>
            <rFont val="Calibri"/>
            <family val="2"/>
            <scheme val="minor"/>
          </rPr>
          <t xml:space="preserve">Wed 9:15
</t>
        </r>
        <r>
          <rPr>
            <sz val="12"/>
            <color rgb="FF000000"/>
            <rFont val="Calibri"/>
            <family val="2"/>
            <scheme val="minor"/>
          </rPr>
          <t xml:space="preserve">	-PAK KIU CHENG
</t>
        </r>
        <r>
          <rPr>
            <sz val="12"/>
            <color rgb="FF000000"/>
            <rFont val="Calibri"/>
            <family val="2"/>
            <scheme val="minor"/>
          </rPr>
          <t xml:space="preserve">_標示為已解決_
</t>
        </r>
        <r>
          <rPr>
            <sz val="12"/>
            <color rgb="FF000000"/>
            <rFont val="Calibri"/>
            <family val="2"/>
            <scheme val="minor"/>
          </rPr>
          <t xml:space="preserve">	-PAK KIU CHENG
</t>
        </r>
        <r>
          <rPr>
            <sz val="12"/>
            <color rgb="FF000000"/>
            <rFont val="Calibri"/>
            <family val="2"/>
            <scheme val="minor"/>
          </rPr>
          <t xml:space="preserve">_已重新開放_
</t>
        </r>
        <r>
          <rPr>
            <sz val="12"/>
            <color rgb="FF000000"/>
            <rFont val="Calibri"/>
            <family val="2"/>
            <scheme val="minor"/>
          </rPr>
          <t xml:space="preserve">	-PAK KIU CHENG</t>
        </r>
      </text>
    </comment>
    <comment ref="B69" authorId="0" shapeId="0" xr:uid="{00000000-0006-0000-07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Mon 9:30
</t>
        </r>
        <r>
          <rPr>
            <sz val="12"/>
            <color rgb="FF000000"/>
            <rFont val="Calibri"/>
            <family val="2"/>
            <scheme val="minor"/>
          </rPr>
          <t>Tue-Fri 8:30</t>
        </r>
      </text>
    </comment>
    <comment ref="B70" authorId="0" shapeId="0" xr:uid="{00000000-0006-0000-07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ID#AAABtsUmO6I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TA 1/2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A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語文科(說話)
</t>
        </r>
        <r>
          <rPr>
            <sz val="12"/>
            <color rgb="FF000000"/>
            <rFont val="Calibri"/>
            <family val="2"/>
            <scheme val="minor"/>
          </rPr>
          <t xml:space="preserve">1/3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語文科連普通話(說話)
</t>
        </r>
        <r>
          <rPr>
            <sz val="12"/>
            <color rgb="FF000000"/>
            <rFont val="Calibri"/>
            <family val="2"/>
            <scheme val="minor"/>
          </rPr>
          <t xml:space="preserve">1/5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O2" authorId="0" shapeId="0" xr:uid="{00000000-0006-0000-0A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ID#AAABtsUmO7I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Carry From the year 
</t>
        </r>
        <r>
          <rPr>
            <sz val="12"/>
            <color rgb="FF000000"/>
            <rFont val="Calibri"/>
            <family val="2"/>
            <scheme val="minor"/>
          </rPr>
          <t xml:space="preserve">2015-2016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7" authorId="0" shapeId="0" xr:uid="{00000000-0006-0000-0A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ID#AAABtsUmO8I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17" authorId="0" shapeId="0" xr:uid="{00000000-0006-0000-0A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ID#AAABtsUmO4Y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27" authorId="0" shapeId="0" xr:uid="{00000000-0006-0000-0A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ID#AAABtsUmO88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2/3 Duty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G31" authorId="0" shapeId="0" xr:uid="{00000000-0006-0000-0A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ID#AAABtsUmO78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MC Marking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1/3 WorkLoad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35" authorId="0" shapeId="0" xr:uid="{00000000-0006-0000-0A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ID#AAABtsUmO-Q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36" authorId="0" shapeId="0" xr:uid="{00000000-0006-0000-0A00-00000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Discipline
</t>
        </r>
        <r>
          <rPr>
            <sz val="12"/>
            <color rgb="FF000000"/>
            <rFont val="Calibri"/>
            <family val="2"/>
            <scheme val="minor"/>
          </rPr>
          <t xml:space="preserve">AAC
</t>
        </r>
        <r>
          <rPr>
            <sz val="12"/>
            <color rgb="FF000000"/>
            <rFont val="Calibri"/>
            <family val="2"/>
            <scheme val="minor"/>
          </rPr>
          <t xml:space="preserve">15minutes X 16 days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G47" authorId="0" shapeId="0" xr:uid="{00000000-0006-0000-0A00-00000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MC Marking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1/3 WorkLoad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50" authorId="0" shapeId="0" xr:uid="{00000000-0006-0000-0A00-00000A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ID#AAABtsUmO64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K50" authorId="0" shapeId="0" xr:uid="{00000000-0006-0000-0A00-00000B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ID#AAABtsUmO5I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Official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6/11/2018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STUDY TOUR (JP)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58" authorId="0" shapeId="0" xr:uid="{00000000-0006-0000-0A00-00000C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ID#AAABtsUmO4c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STUDY LEAVE
</t>
        </r>
        <r>
          <rPr>
            <sz val="12"/>
            <color rgb="FF000000"/>
            <rFont val="Calibri"/>
            <family val="2"/>
            <scheme val="minor"/>
          </rPr>
          <t xml:space="preserve">22/2/2021-15/3/2021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62" authorId="0" shapeId="0" xr:uid="{00000000-0006-0000-0A00-00000D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ID#AAABtsUmO7c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66" authorId="0" shapeId="0" xr:uid="{00000000-0006-0000-0A00-00000E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ID#AAABtsUmO6A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71" authorId="0" shapeId="0" xr:uid="{00000000-0006-0000-0A00-00000F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ID#AAABtsUmO5M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TA 1/2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62" authorId="0" shapeId="0" xr:uid="{00000000-0006-0000-0B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ID#AAABtsUmO58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三分二duty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A163" authorId="0" shapeId="0" xr:uid="{00000000-0006-0000-0B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三分二duty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A164" authorId="0" shapeId="0" xr:uid="{00000000-0006-0000-0B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三分二duty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A165" authorId="0" shapeId="0" xr:uid="{00000000-0006-0000-0B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ID#AAABtsUmO9A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三分二duty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A169" authorId="0" shapeId="0" xr:uid="{00000000-0006-0000-0B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5" authorId="0" shapeId="0" xr:uid="{00000000-0006-0000-0C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waived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B66" authorId="0" shapeId="0" xr:uid="{00000000-0006-0000-0C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ID#AAABtsUmO5Q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1/2 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B67" authorId="0" shapeId="0" xr:uid="{00000000-0006-0000-0C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ID#AAABtsUmO48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1/2 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B68" authorId="0" shapeId="0" xr:uid="{00000000-0006-0000-0C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ID#AAABtsUmO4w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1/2 Duty
</t>
        </r>
        <r>
          <rPr>
            <sz val="12"/>
            <color rgb="FF000000"/>
            <rFont val="Calibri"/>
            <family val="2"/>
            <scheme val="minor"/>
          </rPr>
          <t xml:space="preserve">	-123</t>
        </r>
      </text>
    </comment>
    <comment ref="B73" authorId="0" shapeId="0" xr:uid="{00000000-0006-0000-0C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MC Marking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15" authorId="0" shapeId="0" xr:uid="{00000000-0006-0000-0D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E25" authorId="0" shapeId="0" xr:uid="{00000000-0006-0000-0D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35" authorId="0" shapeId="0" xr:uid="{00000000-0006-0000-0D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ID#AAABtsUmO7A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2/3 Duty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E43" authorId="0" shapeId="0" xr:uid="{00000000-0006-0000-0D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E58" authorId="0" shapeId="0" xr:uid="{00000000-0006-0000-0D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66" authorId="0" shapeId="0" xr:uid="{00000000-0006-0000-0D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ID#AAABtsUmO9w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STUDY LEAVE
</t>
        </r>
        <r>
          <rPr>
            <sz val="12"/>
            <color rgb="FF000000"/>
            <rFont val="Calibri"/>
            <family val="2"/>
            <scheme val="minor"/>
          </rPr>
          <t xml:space="preserve">22/2/2021-15/3/2021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E70" authorId="0" shapeId="0" xr:uid="{00000000-0006-0000-0D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74" authorId="0" shapeId="0" xr:uid="{00000000-0006-0000-0D00-00000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ID#AAABtsUmO8Q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79" authorId="0" shapeId="0" xr:uid="{00000000-0006-0000-0D00-00000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TA 1/2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15" authorId="0" shapeId="0" xr:uid="{00000000-0006-0000-0E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ID#AAABtsUmO5w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E25" authorId="0" shapeId="0" xr:uid="{00000000-0006-0000-0E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ID#AAABtsUmO6c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35" authorId="0" shapeId="0" xr:uid="{00000000-0006-0000-0E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ID#AAABtsUmO-w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2/3 Duty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E43" authorId="0" shapeId="0" xr:uid="{00000000-0006-0000-0E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E58" authorId="0" shapeId="0" xr:uid="{00000000-0006-0000-0E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ID#AAABtsUmO9Y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66" authorId="0" shapeId="0" xr:uid="{00000000-0006-0000-0E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ID#AAABtsUmO5Y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STUDY LEAVE
</t>
        </r>
        <r>
          <rPr>
            <sz val="12"/>
            <color rgb="FF000000"/>
            <rFont val="Calibri"/>
            <family val="2"/>
            <scheme val="minor"/>
          </rPr>
          <t xml:space="preserve">22/2/2021-15/3/2021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E70" authorId="0" shapeId="0" xr:uid="{00000000-0006-0000-0E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ID#AAABtsUmO5A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SensT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74" authorId="0" shapeId="0" xr:uid="{00000000-0006-0000-0E00-00000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F79" authorId="0" shapeId="0" xr:uid="{00000000-0006-0000-0E00-00000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ID#AAABtsUmO74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TA 1/2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4" authorId="0" shapeId="0" xr:uid="{00000000-0006-0000-0F00-00000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語文科(說話)
</t>
        </r>
        <r>
          <rPr>
            <sz val="12"/>
            <color rgb="FF000000"/>
            <rFont val="Calibri"/>
            <family val="2"/>
            <scheme val="minor"/>
          </rPr>
          <t xml:space="preserve">1/3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語文科
</t>
        </r>
        <r>
          <rPr>
            <sz val="12"/>
            <color rgb="FF000000"/>
            <rFont val="Calibri"/>
            <family val="2"/>
            <scheme val="minor"/>
          </rPr>
          <t xml:space="preserve">連普通
</t>
        </r>
        <r>
          <rPr>
            <sz val="12"/>
            <color rgb="FF000000"/>
            <rFont val="Calibri"/>
            <family val="2"/>
            <scheme val="minor"/>
          </rPr>
          <t xml:space="preserve">話(說話)
</t>
        </r>
        <r>
          <rPr>
            <sz val="12"/>
            <color rgb="FF000000"/>
            <rFont val="Calibri"/>
            <family val="2"/>
            <scheme val="minor"/>
          </rPr>
          <t xml:space="preserve">1/5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H4" authorId="0" shapeId="0" xr:uid="{00000000-0006-0000-0F00-00000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ID#AAABtsUmO6Y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語文科(說話)
</t>
        </r>
        <r>
          <rPr>
            <sz val="12"/>
            <color rgb="FF000000"/>
            <rFont val="Calibri"/>
            <family val="2"/>
            <scheme val="minor"/>
          </rPr>
          <t xml:space="preserve">1/3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語文科連普通話(說話)
</t>
        </r>
        <r>
          <rPr>
            <sz val="12"/>
            <color rgb="FF000000"/>
            <rFont val="Calibri"/>
            <family val="2"/>
            <scheme val="minor"/>
          </rPr>
          <t xml:space="preserve">1/5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M4" authorId="0" shapeId="0" xr:uid="{00000000-0006-0000-0F00-00000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ID#AAABtsUmO7Y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語文科(說話)
</t>
        </r>
        <r>
          <rPr>
            <sz val="12"/>
            <color rgb="FF000000"/>
            <rFont val="Calibri"/>
            <family val="2"/>
            <scheme val="minor"/>
          </rPr>
          <t xml:space="preserve">1/3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C18" authorId="0" shapeId="0" xr:uid="{00000000-0006-0000-0F00-00000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WHOLE PERIOD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D18" authorId="0" shapeId="0" xr:uid="{00000000-0006-0000-0F00-00000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WHOLE PERIOD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22" authorId="0" shapeId="0" xr:uid="{00000000-0006-0000-0F00-00000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Maternity Leave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C25" authorId="0" shapeId="0" xr:uid="{00000000-0006-0000-0F00-00000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WHOLE PERIOD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D25" authorId="0" shapeId="0" xr:uid="{00000000-0006-0000-0F00-00000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WHOLE PERIOD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34" authorId="0" shapeId="0" xr:uid="{00000000-0006-0000-0F00-00000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COVID 19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CLOSE CONTACTS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38" authorId="0" shapeId="0" xr:uid="{00000000-0006-0000-0F00-00000A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SICK LEAVE
</t>
        </r>
        <r>
          <rPr>
            <sz val="12"/>
            <color rgb="FF000000"/>
            <rFont val="Calibri"/>
            <family val="2"/>
            <scheme val="minor"/>
          </rPr>
          <t xml:space="preserve">WHOLE PERIOD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46" authorId="0" shapeId="0" xr:uid="{00000000-0006-0000-0F00-00000B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SECONDMENT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0.5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C54" authorId="0" shapeId="0" xr:uid="{00000000-0006-0000-0F00-00000C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ID#AAABtsUmO8c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OFFICIAL LEAVE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6/11/2018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STUDY TOUR (JP)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62" authorId="0" shapeId="0" xr:uid="{00000000-0006-0000-0F00-00000D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ID#AAABtsUmO9Q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STUDY LEAVE
</t>
        </r>
        <r>
          <rPr>
            <sz val="12"/>
            <color rgb="FF000000"/>
            <rFont val="Calibri"/>
            <family val="2"/>
            <scheme val="minor"/>
          </rPr>
          <t xml:space="preserve">22/2/2021
</t>
        </r>
        <r>
          <rPr>
            <sz val="12"/>
            <color rgb="FF000000"/>
            <rFont val="Calibri"/>
            <family val="2"/>
            <scheme val="minor"/>
          </rPr>
          <t xml:space="preserve">-
</t>
        </r>
        <r>
          <rPr>
            <sz val="12"/>
            <color rgb="FF000000"/>
            <rFont val="Calibri"/>
            <family val="2"/>
            <scheme val="minor"/>
          </rPr>
          <t xml:space="preserve">15/3/2021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A73" authorId="0" shapeId="0" xr:uid="{00000000-0006-0000-0F00-00000E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ID#AAABtsUmO6M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73" authorId="0" shapeId="0" xr:uid="{00000000-0006-0000-0F00-00000F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73" authorId="0" shapeId="0" xr:uid="{00000000-0006-0000-0F00-000010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改MC 少三分一直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74" authorId="0" shapeId="0" xr:uid="{00000000-0006-0000-0F00-000011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ID#AAABtsUmO7M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Assistant - Rm 49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76" authorId="0" shapeId="0" xr:uid="{00000000-0006-0000-0F00-000012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1. Assistant for Kitty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76" authorId="0" shapeId="0" xr:uid="{00000000-0006-0000-0F00-000013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76" authorId="0" shapeId="0" xr:uid="{00000000-0006-0000-0F00-000014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ID#AAABtsUmO90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77" authorId="0" shapeId="0" xr:uid="{00000000-0006-0000-0F00-000015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ID#AAABtsUmO6o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0.8 GM
</t>
        </r>
        <r>
          <rPr>
            <sz val="12"/>
            <color rgb="FF000000"/>
            <rFont val="Calibri"/>
            <family val="2"/>
            <scheme val="minor"/>
          </rPr>
          <t xml:space="preserve">0.2 TA
</t>
        </r>
        <r>
          <rPr>
            <sz val="12"/>
            <color rgb="FF000000"/>
            <rFont val="Calibri"/>
            <family val="2"/>
            <scheme val="minor"/>
          </rPr>
          <t xml:space="preserve">	-Windows 使用者</t>
        </r>
      </text>
    </comment>
    <comment ref="G77" authorId="0" shapeId="0" xr:uid="{00000000-0006-0000-0F00-000016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ID#AAABtsUmO9g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1. Assistant for Kitty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77" authorId="0" shapeId="0" xr:uid="{00000000-0006-0000-0F00-000017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ID#AAABtsUmO-E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1. Assistant for Kitty
</t>
        </r>
        <r>
          <rPr>
            <sz val="12"/>
            <color rgb="FF000000"/>
            <rFont val="Calibri"/>
            <family val="2"/>
            <scheme val="minor"/>
          </rPr>
          <t xml:space="preserve">
</t>
        </r>
        <r>
          <rPr>
            <sz val="12"/>
            <color rgb="FF000000"/>
            <rFont val="Calibri"/>
            <family val="2"/>
            <scheme val="minor"/>
          </rPr>
          <t xml:space="preserve">2. 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78" authorId="0" shapeId="0" xr:uid="{00000000-0006-0000-0F00-000018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ID#AAABtsUmO8w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78" authorId="0" shapeId="0" xr:uid="{00000000-0006-0000-0F00-000019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ID#AAABtsUmO4s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78" authorId="0" shapeId="0" xr:uid="{00000000-0006-0000-0F00-00001A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ID#AAABtsUmO6g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Standby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A84" authorId="0" shapeId="0" xr:uid="{00000000-0006-0000-0F00-00001B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ID#AAABtsUmO5k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G84" authorId="0" shapeId="0" xr:uid="{00000000-0006-0000-0F00-00001C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ID#AAABtsUmO7U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02:03:46)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  <comment ref="L84" authorId="0" shapeId="0" xr:uid="{00000000-0006-0000-0F00-00001D000000}">
      <text>
        <r>
          <rPr>
            <sz val="12"/>
            <color rgb="FF000000"/>
            <rFont val="Calibri"/>
            <family val="2"/>
            <scheme val="minor"/>
          </rPr>
          <t xml:space="preserve">======
</t>
        </r>
        <r>
          <rPr>
            <sz val="12"/>
            <color rgb="FF000000"/>
            <rFont val="Calibri"/>
            <family val="2"/>
            <scheme val="minor"/>
          </rPr>
          <t xml:space="preserve">ID#AAABtsUmO5E
</t>
        </r>
        <r>
          <rPr>
            <sz val="12"/>
            <color rgb="FF000000"/>
            <rFont val="Calibri"/>
            <family val="2"/>
            <scheme val="minor"/>
          </rPr>
          <t xml:space="preserve">    (2025-10-10 02:03:49)
</t>
        </r>
        <r>
          <rPr>
            <sz val="12"/>
            <color rgb="FF000000"/>
            <rFont val="Calibri"/>
            <family val="2"/>
            <scheme val="minor"/>
          </rPr>
          <t xml:space="preserve">Office hour
</t>
        </r>
        <r>
          <rPr>
            <sz val="12"/>
            <color rgb="FF000000"/>
            <rFont val="Calibri"/>
            <family val="2"/>
            <scheme val="minor"/>
          </rPr>
          <t xml:space="preserve">Tue: 9:30
</t>
        </r>
        <r>
          <rPr>
            <sz val="12"/>
            <color rgb="FF000000"/>
            <rFont val="Calibri"/>
            <family val="2"/>
            <scheme val="minor"/>
          </rPr>
          <t xml:space="preserve">Thur: 9:30
</t>
        </r>
        <r>
          <rPr>
            <sz val="12"/>
            <color rgb="FF000000"/>
            <rFont val="Calibri"/>
            <family val="2"/>
            <scheme val="minor"/>
          </rPr>
          <t xml:space="preserve">Fri: 11:30
</t>
        </r>
        <r>
          <rPr>
            <sz val="12"/>
            <color rgb="FF000000"/>
            <rFont val="Calibri"/>
            <family val="2"/>
            <scheme val="minor"/>
          </rPr>
          <t xml:space="preserve">	-user</t>
        </r>
      </text>
    </comment>
  </commentList>
</comments>
</file>

<file path=xl/sharedStrings.xml><?xml version="1.0" encoding="utf-8"?>
<sst xmlns="http://schemas.openxmlformats.org/spreadsheetml/2006/main" count="2737" uniqueCount="867">
  <si>
    <r>
      <rPr>
        <sz val="12"/>
        <color theme="1"/>
        <rFont val="Times New Roman"/>
        <family val="1"/>
      </rPr>
      <t xml:space="preserve">2012-2013 </t>
    </r>
    <r>
      <rPr>
        <sz val="12"/>
        <color theme="1"/>
        <rFont val="新細明體"/>
        <family val="1"/>
        <charset val="136"/>
      </rPr>
      <t>第一學期考試</t>
    </r>
  </si>
  <si>
    <r>
      <rPr>
        <sz val="12"/>
        <color theme="1"/>
        <rFont val="Times New Roman"/>
        <family val="1"/>
      </rPr>
      <t xml:space="preserve">1.  </t>
    </r>
    <r>
      <rPr>
        <sz val="12"/>
        <color theme="1"/>
        <rFont val="新細明體"/>
        <family val="1"/>
        <charset val="136"/>
      </rPr>
      <t>監考時數</t>
    </r>
  </si>
  <si>
    <t>(A)</t>
  </si>
  <si>
    <r>
      <rPr>
        <sz val="12"/>
        <color theme="1"/>
        <rFont val="Calibri"/>
        <family val="2"/>
      </rPr>
      <t>教師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除</t>
    </r>
    <r>
      <rPr>
        <sz val="12"/>
        <color theme="1"/>
        <rFont val="Times New Roman"/>
        <family val="1"/>
      </rPr>
      <t xml:space="preserve">T36, T43, T61 </t>
    </r>
    <r>
      <rPr>
        <sz val="12"/>
        <color theme="1"/>
        <rFont val="新細明體"/>
        <family val="1"/>
        <charset val="136"/>
      </rPr>
      <t>及負責</t>
    </r>
    <r>
      <rPr>
        <sz val="12"/>
        <color theme="1"/>
        <rFont val="Times New Roman"/>
        <family val="1"/>
      </rPr>
      <t xml:space="preserve"> SEN </t>
    </r>
    <r>
      <rPr>
        <sz val="12"/>
        <color theme="1"/>
        <rFont val="新細明體"/>
        <family val="1"/>
        <charset val="136"/>
      </rPr>
      <t>的老師</t>
    </r>
    <r>
      <rPr>
        <sz val="12"/>
        <color theme="1"/>
        <rFont val="Times New Roman"/>
        <family val="1"/>
      </rPr>
      <t xml:space="preserve"> T25, T114, T140)</t>
    </r>
  </si>
  <si>
    <r>
      <rPr>
        <sz val="12"/>
        <color theme="1"/>
        <rFont val="Calibri"/>
        <family val="2"/>
      </rPr>
      <t>平均約</t>
    </r>
    <r>
      <rPr>
        <sz val="12"/>
        <color theme="1"/>
        <rFont val="Times New Roman"/>
        <family val="1"/>
      </rPr>
      <t xml:space="preserve">  11.12 </t>
    </r>
    <r>
      <rPr>
        <sz val="12"/>
        <color theme="1"/>
        <rFont val="新細明體"/>
        <family val="1"/>
        <charset val="136"/>
      </rPr>
      <t>小時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已包括去年的偏差</t>
    </r>
    <r>
      <rPr>
        <sz val="12"/>
        <color theme="1"/>
        <rFont val="Times New Roman"/>
        <family val="1"/>
      </rPr>
      <t>)</t>
    </r>
  </si>
  <si>
    <r>
      <rPr>
        <sz val="12"/>
        <color rgb="FFFF0000"/>
        <rFont val="Times New Roman"/>
        <family val="1"/>
      </rPr>
      <t xml:space="preserve">T25, T114, T140 </t>
    </r>
    <r>
      <rPr>
        <sz val="12"/>
        <color rgb="FFFF0000"/>
        <rFont val="新細明體"/>
        <family val="1"/>
        <charset val="136"/>
      </rPr>
      <t>因要負責監考</t>
    </r>
    <r>
      <rPr>
        <sz val="12"/>
        <color rgb="FFFF0000"/>
        <rFont val="Times New Roman"/>
        <family val="1"/>
      </rPr>
      <t xml:space="preserve"> SEN </t>
    </r>
    <r>
      <rPr>
        <sz val="12"/>
        <color rgb="FFFF0000"/>
        <rFont val="新細明體"/>
        <family val="1"/>
        <charset val="136"/>
      </rPr>
      <t>的同學，而</t>
    </r>
    <r>
      <rPr>
        <sz val="12"/>
        <color rgb="FFFF0000"/>
        <rFont val="Times New Roman"/>
        <family val="1"/>
      </rPr>
      <t>SEN</t>
    </r>
    <r>
      <rPr>
        <sz val="12"/>
        <color rgb="FFFF0000"/>
        <rFont val="新細明體"/>
        <family val="1"/>
        <charset val="136"/>
      </rPr>
      <t>監考考試時間未能趕及，因而預留監考時數</t>
    </r>
  </si>
  <si>
    <r>
      <rPr>
        <sz val="12"/>
        <color theme="1"/>
        <rFont val="Calibri"/>
        <family val="2"/>
      </rPr>
      <t>已計入五位訓導老巡課室等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每人</t>
    </r>
    <r>
      <rPr>
        <sz val="12"/>
        <color theme="1"/>
        <rFont val="Times New Roman"/>
        <family val="1"/>
      </rPr>
      <t>4</t>
    </r>
    <r>
      <rPr>
        <sz val="12"/>
        <color theme="1"/>
        <rFont val="新細明體"/>
        <family val="1"/>
        <charset val="136"/>
      </rPr>
      <t>小時</t>
    </r>
    <r>
      <rPr>
        <sz val="12"/>
        <color theme="1"/>
        <rFont val="Times New Roman"/>
        <family val="1"/>
      </rPr>
      <t>)</t>
    </r>
    <r>
      <rPr>
        <sz val="12"/>
        <color theme="1"/>
        <rFont val="新細明體"/>
        <family val="1"/>
        <charset val="136"/>
      </rPr>
      <t>的工作</t>
    </r>
  </si>
  <si>
    <r>
      <rPr>
        <sz val="12"/>
        <color theme="1"/>
        <rFont val="Calibri"/>
        <family val="2"/>
      </rPr>
      <t>包括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說話考試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英文科</t>
    </r>
    <r>
      <rPr>
        <sz val="12"/>
        <color theme="1"/>
        <rFont val="Times New Roman"/>
        <family val="1"/>
      </rPr>
      <t>/</t>
    </r>
    <r>
      <rPr>
        <sz val="12"/>
        <color theme="1"/>
        <rFont val="新細明體"/>
        <family val="1"/>
        <charset val="136"/>
      </rPr>
      <t>每人</t>
    </r>
    <r>
      <rPr>
        <sz val="12"/>
        <color theme="1"/>
        <rFont val="Times New Roman"/>
        <family val="1"/>
      </rPr>
      <t>6.75</t>
    </r>
    <r>
      <rPr>
        <sz val="12"/>
        <color theme="1"/>
        <rFont val="新細明體"/>
        <family val="1"/>
        <charset val="136"/>
      </rPr>
      <t>小時</t>
    </r>
    <r>
      <rPr>
        <sz val="12"/>
        <color theme="1"/>
        <rFont val="Times New Roman"/>
        <family val="1"/>
      </rPr>
      <t xml:space="preserve">) </t>
    </r>
    <r>
      <rPr>
        <sz val="12"/>
        <color theme="1"/>
        <rFont val="新細明體"/>
        <family val="1"/>
        <charset val="136"/>
      </rPr>
      <t>及</t>
    </r>
  </si>
  <si>
    <r>
      <rPr>
        <sz val="12"/>
        <color theme="1"/>
        <rFont val="Calibri"/>
        <family val="2"/>
      </rPr>
      <t>當中亦包括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說話考試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中文科</t>
    </r>
    <r>
      <rPr>
        <sz val="12"/>
        <color theme="1"/>
        <rFont val="Times New Roman"/>
        <family val="1"/>
      </rPr>
      <t>/</t>
    </r>
    <r>
      <rPr>
        <sz val="12"/>
        <color theme="1"/>
        <rFont val="新細明體"/>
        <family val="1"/>
        <charset val="136"/>
      </rPr>
      <t>每人</t>
    </r>
    <r>
      <rPr>
        <sz val="12"/>
        <color theme="1"/>
        <rFont val="Times New Roman"/>
        <family val="1"/>
      </rPr>
      <t>6.75</t>
    </r>
    <r>
      <rPr>
        <sz val="12"/>
        <color theme="1"/>
        <rFont val="新細明體"/>
        <family val="1"/>
        <charset val="136"/>
      </rPr>
      <t>小時</t>
    </r>
    <r>
      <rPr>
        <sz val="12"/>
        <color theme="1"/>
        <rFont val="Times New Roman"/>
        <family val="1"/>
      </rPr>
      <t xml:space="preserve"> - </t>
    </r>
    <r>
      <rPr>
        <sz val="12"/>
        <color theme="1"/>
        <rFont val="新細明體"/>
        <family val="1"/>
        <charset val="136"/>
      </rPr>
      <t>假設全部中文老師參與</t>
    </r>
    <r>
      <rPr>
        <sz val="12"/>
        <color theme="1"/>
        <rFont val="Times New Roman"/>
        <family val="1"/>
      </rPr>
      <t xml:space="preserve">) </t>
    </r>
    <r>
      <rPr>
        <sz val="12"/>
        <color theme="1"/>
        <rFont val="新細明體"/>
        <family val="1"/>
        <charset val="136"/>
      </rPr>
      <t>及</t>
    </r>
  </si>
  <si>
    <t>監考工作時數的偏差，將會累積至下一次考試</t>
  </si>
  <si>
    <t>(B)</t>
  </si>
  <si>
    <r>
      <rPr>
        <sz val="12"/>
        <color rgb="FFFF0000"/>
        <rFont val="PMingLiU"/>
        <family val="1"/>
        <charset val="136"/>
      </rPr>
      <t>教學助理</t>
    </r>
    <r>
      <rPr>
        <sz val="12"/>
        <color rgb="FFFF0000"/>
        <rFont val="Times New Roman"/>
        <family val="1"/>
      </rPr>
      <t xml:space="preserve">(TAC, TAE, TAE1, </t>
    </r>
    <r>
      <rPr>
        <sz val="12"/>
        <color rgb="FFFF0000"/>
        <rFont val="新細明體"/>
        <family val="1"/>
        <charset val="136"/>
      </rPr>
      <t>除</t>
    </r>
    <r>
      <rPr>
        <sz val="12"/>
        <color rgb="FFFF0000"/>
        <rFont val="Times New Roman"/>
        <family val="1"/>
      </rPr>
      <t xml:space="preserve">TAP </t>
    </r>
    <r>
      <rPr>
        <sz val="12"/>
        <color rgb="FFFF0000"/>
        <rFont val="新細明體"/>
        <family val="1"/>
        <charset val="136"/>
      </rPr>
      <t>因負責</t>
    </r>
    <r>
      <rPr>
        <sz val="12"/>
        <color rgb="FFFF0000"/>
        <rFont val="Times New Roman"/>
        <family val="1"/>
      </rPr>
      <t xml:space="preserve">STANDBY </t>
    </r>
    <r>
      <rPr>
        <sz val="12"/>
        <color rgb="FFFF0000"/>
        <rFont val="新細明體"/>
        <family val="1"/>
        <charset val="136"/>
      </rPr>
      <t>及</t>
    </r>
    <r>
      <rPr>
        <sz val="12"/>
        <color rgb="FFFF0000"/>
        <rFont val="Times New Roman"/>
        <family val="1"/>
      </rPr>
      <t xml:space="preserve"> TAA </t>
    </r>
    <r>
      <rPr>
        <sz val="12"/>
        <color rgb="FFFF0000"/>
        <rFont val="新細明體"/>
        <family val="1"/>
        <charset val="136"/>
      </rPr>
      <t>因協助</t>
    </r>
    <r>
      <rPr>
        <sz val="12"/>
        <color rgb="FFFF0000"/>
        <rFont val="Times New Roman"/>
        <family val="1"/>
      </rPr>
      <t xml:space="preserve"> Kitty </t>
    </r>
    <r>
      <rPr>
        <sz val="12"/>
        <color rgb="FFFF0000"/>
        <rFont val="新細明體"/>
        <family val="1"/>
        <charset val="136"/>
      </rPr>
      <t>考試事宜</t>
    </r>
    <r>
      <rPr>
        <sz val="12"/>
        <color rgb="FFFF0000"/>
        <rFont val="Times New Roman"/>
        <family val="1"/>
      </rPr>
      <t xml:space="preserve"> )</t>
    </r>
  </si>
  <si>
    <r>
      <rPr>
        <sz val="12"/>
        <color theme="1"/>
        <rFont val="Calibri"/>
        <family val="2"/>
      </rPr>
      <t>平均約</t>
    </r>
    <r>
      <rPr>
        <sz val="12"/>
        <color theme="1"/>
        <rFont val="Times New Roman"/>
        <family val="1"/>
      </rPr>
      <t xml:space="preserve">  13.5 </t>
    </r>
    <r>
      <rPr>
        <sz val="12"/>
        <color theme="1"/>
        <rFont val="新細明體"/>
        <family val="1"/>
        <charset val="136"/>
      </rPr>
      <t>小時</t>
    </r>
  </si>
  <si>
    <t>(C)</t>
  </si>
  <si>
    <r>
      <rPr>
        <sz val="12"/>
        <color theme="1"/>
        <rFont val="Calibri"/>
        <family val="2"/>
      </rPr>
      <t>其他</t>
    </r>
    <r>
      <rPr>
        <sz val="12"/>
        <color theme="1"/>
        <rFont val="Times New Roman"/>
        <family val="1"/>
      </rPr>
      <t xml:space="preserve">(88, 123, 154, TSS, </t>
    </r>
    <r>
      <rPr>
        <sz val="12"/>
        <color theme="1"/>
        <rFont val="新細明體"/>
        <family val="1"/>
        <charset val="136"/>
      </rPr>
      <t>除</t>
    </r>
    <r>
      <rPr>
        <sz val="12"/>
        <color theme="1"/>
        <rFont val="Times New Roman"/>
        <family val="1"/>
      </rPr>
      <t xml:space="preserve">116 </t>
    </r>
    <r>
      <rPr>
        <sz val="12"/>
        <color theme="1"/>
        <rFont val="新細明體"/>
        <family val="1"/>
        <charset val="136"/>
      </rPr>
      <t>因負責改</t>
    </r>
    <r>
      <rPr>
        <sz val="12"/>
        <color theme="1"/>
        <rFont val="Times New Roman"/>
        <family val="1"/>
      </rPr>
      <t>MC)</t>
    </r>
  </si>
  <si>
    <r>
      <rPr>
        <sz val="12"/>
        <color theme="1"/>
        <rFont val="Calibri"/>
        <family val="2"/>
      </rPr>
      <t>平均約</t>
    </r>
    <r>
      <rPr>
        <sz val="12"/>
        <color theme="1"/>
        <rFont val="Times New Roman"/>
        <family val="1"/>
      </rPr>
      <t xml:space="preserve">  15 </t>
    </r>
    <r>
      <rPr>
        <sz val="12"/>
        <color theme="1"/>
        <rFont val="新細明體"/>
        <family val="1"/>
        <charset val="136"/>
      </rPr>
      <t>小時</t>
    </r>
  </si>
  <si>
    <r>
      <rPr>
        <sz val="12"/>
        <color theme="1"/>
        <rFont val="Times New Roman"/>
        <family val="1"/>
      </rPr>
      <t xml:space="preserve">2.  </t>
    </r>
    <r>
      <rPr>
        <sz val="12"/>
        <color theme="1"/>
        <rFont val="新細明體"/>
        <family val="1"/>
        <charset val="136"/>
      </rPr>
      <t>上下監考</t>
    </r>
  </si>
  <si>
    <t>已盡量安排中一至三班主任監考下午、中四至六班主任監考上午</t>
  </si>
  <si>
    <r>
      <rPr>
        <sz val="12"/>
        <color theme="1"/>
        <rFont val="Times New Roman"/>
        <family val="1"/>
      </rPr>
      <t xml:space="preserve">3.   </t>
    </r>
    <r>
      <rPr>
        <sz val="12"/>
        <color theme="1"/>
        <rFont val="新細明體"/>
        <family val="1"/>
        <charset val="136"/>
      </rPr>
      <t>監考教師缺席</t>
    </r>
  </si>
  <si>
    <r>
      <rPr>
        <sz val="12"/>
        <color rgb="FFFF0000"/>
        <rFont val="PMingLiU"/>
        <family val="1"/>
        <charset val="136"/>
      </rPr>
      <t>如有監考教師缺席，將由</t>
    </r>
    <r>
      <rPr>
        <sz val="12"/>
        <color rgb="FFFF0000"/>
        <rFont val="Times New Roman"/>
        <family val="1"/>
      </rPr>
      <t xml:space="preserve"> TAP </t>
    </r>
    <r>
      <rPr>
        <sz val="12"/>
        <color rgb="FFFF0000"/>
        <rFont val="新細明體"/>
        <family val="1"/>
        <charset val="136"/>
      </rPr>
      <t>或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新細明體"/>
        <family val="1"/>
        <charset val="136"/>
      </rPr>
      <t>由禮堂監考教師</t>
    </r>
    <r>
      <rPr>
        <sz val="12"/>
        <color rgb="FFFF0000"/>
        <rFont val="Times New Roman"/>
        <family val="1"/>
      </rPr>
      <t xml:space="preserve"> </t>
    </r>
    <r>
      <rPr>
        <sz val="12"/>
        <color rgb="FFFF0000"/>
        <rFont val="新細明體"/>
        <family val="1"/>
        <charset val="136"/>
      </rPr>
      <t>替代</t>
    </r>
  </si>
  <si>
    <t>監考教師缺席的工作時數，將會累積至下一次考試</t>
  </si>
  <si>
    <t>因参加校外會議或其他事宜，老師需自行安排調動監考</t>
  </si>
  <si>
    <r>
      <rPr>
        <sz val="12"/>
        <color theme="1"/>
        <rFont val="Calibri"/>
        <family val="2"/>
      </rPr>
      <t>工作、填寫有關表格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及得校長批准。惟參加者將不獲</t>
    </r>
  </si>
  <si>
    <t>扣減監考時數</t>
  </si>
  <si>
    <r>
      <rPr>
        <sz val="12"/>
        <color theme="1"/>
        <rFont val="Times New Roman"/>
        <family val="1"/>
      </rPr>
      <t xml:space="preserve">4.   T154 </t>
    </r>
    <r>
      <rPr>
        <sz val="12"/>
        <color theme="1"/>
        <rFont val="細明體"/>
        <family val="3"/>
        <charset val="136"/>
      </rPr>
      <t>逢星期五</t>
    </r>
    <r>
      <rPr>
        <sz val="12"/>
        <color theme="1"/>
        <rFont val="Times New Roman"/>
        <family val="1"/>
      </rPr>
      <t>OFF</t>
    </r>
  </si>
  <si>
    <t xml:space="preserve"> Ng Wah Catholic Secondary School</t>
  </si>
  <si>
    <t>HALL</t>
  </si>
  <si>
    <t>2/F</t>
  </si>
  <si>
    <t>3/F</t>
  </si>
  <si>
    <t>Art Room</t>
  </si>
  <si>
    <t>1A</t>
  </si>
  <si>
    <t>1B</t>
  </si>
  <si>
    <t>1C</t>
  </si>
  <si>
    <t>1D</t>
  </si>
  <si>
    <t>Support</t>
  </si>
  <si>
    <t>Time</t>
  </si>
  <si>
    <t>2A</t>
  </si>
  <si>
    <t>2B</t>
  </si>
  <si>
    <t>2C</t>
  </si>
  <si>
    <t>2D</t>
  </si>
  <si>
    <t>3A</t>
  </si>
  <si>
    <t>3B</t>
  </si>
  <si>
    <t>3C</t>
  </si>
  <si>
    <t>3D</t>
  </si>
  <si>
    <t>Date</t>
  </si>
  <si>
    <t>i/c</t>
  </si>
  <si>
    <t>CHECK</t>
  </si>
  <si>
    <t>STANDBY</t>
  </si>
  <si>
    <t>Discipline</t>
  </si>
  <si>
    <t>Total</t>
  </si>
  <si>
    <t>IES2</t>
  </si>
  <si>
    <r>
      <rPr>
        <i/>
        <sz val="22"/>
        <color theme="1"/>
        <rFont val="Times New Roman"/>
        <family val="1"/>
      </rPr>
      <t xml:space="preserve">VERSION  </t>
    </r>
    <r>
      <rPr>
        <i/>
        <sz val="22"/>
        <color theme="1"/>
        <rFont val="Times New Roman"/>
        <family val="1"/>
      </rPr>
      <t>7</t>
    </r>
    <r>
      <rPr>
        <i/>
        <sz val="22"/>
        <color theme="1"/>
        <rFont val="Times New Roman"/>
        <family val="1"/>
      </rPr>
      <t>.6.2024</t>
    </r>
  </si>
  <si>
    <t>FINAL EXAM</t>
  </si>
  <si>
    <t>SECOND TERM 
TEST</t>
  </si>
  <si>
    <t>FIRST TERM 
EXAM</t>
  </si>
  <si>
    <t>FIRST TERM 
TEST</t>
  </si>
  <si>
    <t xml:space="preserve">23-24 FINAL </t>
  </si>
  <si>
    <t>Weight (S2-5)</t>
  </si>
  <si>
    <t>TEACHERS</t>
  </si>
  <si>
    <t>Code</t>
  </si>
  <si>
    <t>Inv. Time 
(Standard)</t>
  </si>
  <si>
    <t>SEN 
Invigilation</t>
  </si>
  <si>
    <t>OTHER 
DUTIES</t>
  </si>
  <si>
    <t>Chi/Eng/Pu Speaking</t>
  </si>
  <si>
    <t>TOTAL INVIL. TIME</t>
  </si>
  <si>
    <t>INV. RATIO</t>
  </si>
  <si>
    <t>INVIL. DUTY TO BE FULFILLED</t>
  </si>
  <si>
    <t>BALANCE</t>
  </si>
  <si>
    <t>Teachers' Name</t>
  </si>
  <si>
    <t>English Panel</t>
  </si>
  <si>
    <t>E1</t>
  </si>
  <si>
    <t>E2</t>
  </si>
  <si>
    <t>E3</t>
  </si>
  <si>
    <t>E4</t>
  </si>
  <si>
    <t>E5</t>
  </si>
  <si>
    <t>E6</t>
  </si>
  <si>
    <t>LYY</t>
  </si>
  <si>
    <t>LMT</t>
  </si>
  <si>
    <t>LWH</t>
  </si>
  <si>
    <t>LWT</t>
  </si>
  <si>
    <t>突</t>
  </si>
  <si>
    <t>WWY</t>
  </si>
  <si>
    <t>LCS</t>
  </si>
  <si>
    <t>LPK</t>
  </si>
  <si>
    <t>WLP</t>
  </si>
  <si>
    <t>CML</t>
  </si>
  <si>
    <t>TCH</t>
  </si>
  <si>
    <t>LTN</t>
  </si>
  <si>
    <t>LPC</t>
  </si>
  <si>
    <t>LHK</t>
  </si>
  <si>
    <t>S67</t>
  </si>
  <si>
    <t>LKC</t>
  </si>
  <si>
    <t>KKW</t>
  </si>
  <si>
    <t>AT</t>
  </si>
  <si>
    <t>KSC</t>
  </si>
  <si>
    <t>LKL</t>
  </si>
  <si>
    <t>Duration</t>
  </si>
  <si>
    <t>KLH</t>
  </si>
  <si>
    <t>CKS</t>
  </si>
  <si>
    <t>CKM</t>
  </si>
  <si>
    <t>Chinese Panel</t>
  </si>
  <si>
    <t>C1</t>
  </si>
  <si>
    <t>C2</t>
  </si>
  <si>
    <t>C3</t>
  </si>
  <si>
    <t>LKF</t>
  </si>
  <si>
    <t>CKW</t>
  </si>
  <si>
    <t>LWK</t>
  </si>
  <si>
    <t>CYP</t>
  </si>
  <si>
    <t>LWC</t>
  </si>
  <si>
    <t>WYC</t>
  </si>
  <si>
    <t>LHY</t>
  </si>
  <si>
    <t>HNY</t>
  </si>
  <si>
    <t>HBL</t>
  </si>
  <si>
    <t>WWS</t>
  </si>
  <si>
    <t>CHB</t>
  </si>
  <si>
    <t>LWY</t>
  </si>
  <si>
    <t>LCM</t>
  </si>
  <si>
    <t>LSY</t>
  </si>
  <si>
    <t>WKW</t>
  </si>
  <si>
    <t>CTY</t>
  </si>
  <si>
    <t>CKY</t>
  </si>
  <si>
    <t>建議</t>
  </si>
  <si>
    <t>NWY</t>
  </si>
  <si>
    <t>每日兩位訓導，每位計1.5小時</t>
  </si>
  <si>
    <t>HPY</t>
  </si>
  <si>
    <t>DWL</t>
  </si>
  <si>
    <t>Dallas</t>
  </si>
  <si>
    <t>HLW</t>
  </si>
  <si>
    <t>YLS</t>
  </si>
  <si>
    <t>WKY</t>
  </si>
  <si>
    <t>WSY</t>
  </si>
  <si>
    <t>CCH</t>
  </si>
  <si>
    <t>WWM</t>
  </si>
  <si>
    <t>CSC</t>
  </si>
  <si>
    <t>TFC</t>
  </si>
  <si>
    <t>CST</t>
  </si>
  <si>
    <t>CHL</t>
  </si>
  <si>
    <t>LCK</t>
  </si>
  <si>
    <t>CYC</t>
  </si>
  <si>
    <t>CPK</t>
  </si>
  <si>
    <t>LZJ</t>
  </si>
  <si>
    <t>CKH</t>
  </si>
  <si>
    <t>Waterlily</t>
  </si>
  <si>
    <t>YSM</t>
  </si>
  <si>
    <t>YKF</t>
  </si>
  <si>
    <t>-</t>
  </si>
  <si>
    <t>/</t>
  </si>
  <si>
    <t>TAP</t>
  </si>
  <si>
    <t>IEC3</t>
  </si>
  <si>
    <t>PTC</t>
  </si>
  <si>
    <t>Lun</t>
  </si>
  <si>
    <t>Ann</t>
  </si>
  <si>
    <t>William</t>
  </si>
  <si>
    <t>Joslyn</t>
  </si>
  <si>
    <t>Average Non-Speaking Duty(Non-language Teachers)</t>
  </si>
  <si>
    <t>S1</t>
  </si>
  <si>
    <t>S2</t>
  </si>
  <si>
    <t>S3</t>
  </si>
  <si>
    <t>S4</t>
  </si>
  <si>
    <t>S5</t>
  </si>
  <si>
    <t>VA</t>
  </si>
  <si>
    <t>S5(SST) phy lab</t>
  </si>
  <si>
    <t>S5(SST) IS lab</t>
  </si>
  <si>
    <t>INVIL</t>
  </si>
  <si>
    <t>Supp</t>
  </si>
  <si>
    <t>LEAVE</t>
  </si>
  <si>
    <t>Teacher</t>
  </si>
  <si>
    <t>hrs:mins</t>
  </si>
  <si>
    <t>decimal</t>
  </si>
  <si>
    <t>11/6/2024
 TUE</t>
  </si>
  <si>
    <t>8:05 - 9:17</t>
  </si>
  <si>
    <t>8:05 - 10:03</t>
  </si>
  <si>
    <t>8:05 - 10:08</t>
  </si>
  <si>
    <t>(198)</t>
  </si>
  <si>
    <t>9:50 - 10:44</t>
  </si>
  <si>
    <t>10:35 - 12:33</t>
  </si>
  <si>
    <t>10:40 - 13:44</t>
  </si>
  <si>
    <t>(103)</t>
  </si>
  <si>
    <t>(IES2)</t>
  </si>
  <si>
    <t>12/6/2024
 WED</t>
  </si>
  <si>
    <t>8:05 - 8:41</t>
  </si>
  <si>
    <t>8:05 - 9:45</t>
  </si>
  <si>
    <t>(TAP)</t>
  </si>
  <si>
    <t>9:50 - 11:02</t>
  </si>
  <si>
    <t>8:45 - 9:15</t>
  </si>
  <si>
    <t>10:40 - 14:08</t>
  </si>
  <si>
    <t>9:45 - 10:20</t>
  </si>
  <si>
    <t>13/6/2024
 THUR</t>
  </si>
  <si>
    <t>8:05 - 9:35</t>
  </si>
  <si>
    <t>8:05 - 10:50</t>
  </si>
  <si>
    <t>（113）</t>
  </si>
  <si>
    <t>10:35 - 13:32</t>
  </si>
  <si>
    <t>11:20 - 14:05</t>
  </si>
  <si>
    <r>
      <rPr>
        <sz val="12"/>
        <color rgb="FF000000"/>
        <rFont val="細明體"/>
        <family val="3"/>
        <charset val="136"/>
      </rPr>
      <t>（</t>
    </r>
    <r>
      <rPr>
        <sz val="12"/>
        <color rgb="FF000000"/>
        <rFont val="&quot;Times New Roman&quot;"/>
        <family val="1"/>
      </rPr>
      <t>IEC3</t>
    </r>
    <r>
      <rPr>
        <sz val="12"/>
        <color rgb="FF000000"/>
        <rFont val="細明體"/>
        <family val="3"/>
        <charset val="136"/>
      </rPr>
      <t>）</t>
    </r>
  </si>
  <si>
    <t>(IEC3)</t>
  </si>
  <si>
    <t>14/6/2024
 FRI</t>
  </si>
  <si>
    <t>8:15 - 12:57 (S4)</t>
  </si>
  <si>
    <t>10:05 - 10:35</t>
  </si>
  <si>
    <t>8:15 - 12:57 (S5)</t>
  </si>
  <si>
    <t>17/6/2024
 MON</t>
  </si>
  <si>
    <t>8:15 - 9:09</t>
  </si>
  <si>
    <t>8:15 - 9:45</t>
  </si>
  <si>
    <t>8:15 - 9:27</t>
  </si>
  <si>
    <t>8:15 - 11:43</t>
  </si>
  <si>
    <t>（147）</t>
  </si>
  <si>
    <t>9:40 - 10:10</t>
  </si>
  <si>
    <t>10:15 - 10:45</t>
  </si>
  <si>
    <t>10:00 - 11:12</t>
  </si>
  <si>
    <t>10:00 - 11:58</t>
  </si>
  <si>
    <t>18/6/2024
 TUE</t>
  </si>
  <si>
    <t>(113)</t>
  </si>
  <si>
    <t>9:50 - 10:26</t>
  </si>
  <si>
    <t>9:50 - 10:14</t>
  </si>
  <si>
    <t>10:20 - 10:56</t>
  </si>
  <si>
    <t>19/6/2024
 S3 TSA
 WED</t>
  </si>
  <si>
    <t>Home Study</t>
  </si>
  <si>
    <t>8:05 - 8:59</t>
  </si>
  <si>
    <t>8:45 - 10:15</t>
  </si>
  <si>
    <t>8:05 - 10:34</t>
  </si>
  <si>
    <t>9:30 - 10:24</t>
  </si>
  <si>
    <t>10:35 - 11:11</t>
  </si>
  <si>
    <t>11:30 - 11:45</t>
  </si>
  <si>
    <t>11:50 - 12:10</t>
  </si>
  <si>
    <t>20/6/2024
 S3 TSA
 THUR</t>
  </si>
  <si>
    <t>8:05 - 8:40</t>
  </si>
  <si>
    <t>8:45 - 9:33</t>
  </si>
  <si>
    <t>8:05 - 11:33</t>
  </si>
  <si>
    <t>8:45 - 9:09</t>
  </si>
  <si>
    <t>9:55 - 10:37</t>
  </si>
  <si>
    <t>10:45 - 11:20</t>
  </si>
  <si>
    <t>11:40 - 12:58</t>
  </si>
  <si>
    <t>21/6/2024
 FRI</t>
  </si>
  <si>
    <t>(20)</t>
  </si>
  <si>
    <t>9:30 - 10:00</t>
  </si>
  <si>
    <t>9:50 - 10:20</t>
  </si>
  <si>
    <t>9:50 - 10:25</t>
  </si>
  <si>
    <t>10:35 - 11:47</t>
  </si>
  <si>
    <t>11:20 - 14:48</t>
  </si>
  <si>
    <t>24/6/2024
 MON</t>
  </si>
  <si>
    <t>8:15 - 11:00</t>
  </si>
  <si>
    <t>10:00 - 10:30</t>
  </si>
  <si>
    <t>11:30 - 12:45</t>
  </si>
  <si>
    <t>TOTAL</t>
  </si>
  <si>
    <r>
      <rPr>
        <sz val="12"/>
        <color rgb="FF000000"/>
        <rFont val="Calibri"/>
        <family val="2"/>
      </rPr>
      <t>N</t>
    </r>
    <r>
      <rPr>
        <sz val="12"/>
        <color rgb="FF000000"/>
        <rFont val="Calibri"/>
        <family val="2"/>
      </rPr>
      <t>O S6</t>
    </r>
  </si>
  <si>
    <r>
      <rPr>
        <sz val="12"/>
        <color rgb="FF000000"/>
        <rFont val="Calibri"/>
        <family val="2"/>
      </rPr>
      <t>H</t>
    </r>
    <r>
      <rPr>
        <sz val="12"/>
        <color rgb="FF000000"/>
        <rFont val="Calibri"/>
        <family val="2"/>
      </rPr>
      <t>AVE S6</t>
    </r>
  </si>
  <si>
    <t>RATIO</t>
  </si>
  <si>
    <t>WKH</t>
  </si>
  <si>
    <t>PKH</t>
  </si>
  <si>
    <t>Fung YW</t>
  </si>
  <si>
    <t>Lo SM Judy</t>
  </si>
  <si>
    <t>Chan TK</t>
  </si>
  <si>
    <t>Ng YM</t>
  </si>
  <si>
    <t>Chow KC</t>
  </si>
  <si>
    <t>Lo YM Elisa</t>
  </si>
  <si>
    <t>Carstens (Net)</t>
  </si>
  <si>
    <t>Ho PY</t>
  </si>
  <si>
    <t>Janitors</t>
  </si>
  <si>
    <t>J</t>
  </si>
  <si>
    <t>Tse Pui Yuen(ChiTA)</t>
  </si>
  <si>
    <t>Ng Yin To (BioLab)</t>
  </si>
  <si>
    <t>SEN - INV (1st Term EXAM 25-26)</t>
  </si>
  <si>
    <t>Rm 206 S1</t>
  </si>
  <si>
    <t>INV.</t>
  </si>
  <si>
    <t>Rm 203 S2</t>
  </si>
  <si>
    <t>Rm 303 S3</t>
  </si>
  <si>
    <t>Rm 403 S4</t>
  </si>
  <si>
    <t>Rm 406 S5</t>
  </si>
  <si>
    <t>Rm 407 S6</t>
  </si>
  <si>
    <t>S6</t>
  </si>
  <si>
    <t>Phy Lab S6 (STT)</t>
  </si>
  <si>
    <t>SEN 407
HOURS(S6)</t>
  </si>
  <si>
    <t>SEN PHY LAB (S6)</t>
  </si>
  <si>
    <t>SEN 
HOURS(S1)</t>
  </si>
  <si>
    <t>SEN 
HOURS(S2)</t>
  </si>
  <si>
    <t>SEN 
HOURS(S3)</t>
  </si>
  <si>
    <t>SEN 
HOURS(S4)</t>
  </si>
  <si>
    <t>SEN 
HOURS(S5)</t>
  </si>
  <si>
    <t>12/1/26
Mon</t>
  </si>
  <si>
    <t>中國語文 1 (閱讀能力)</t>
  </si>
  <si>
    <t>8:15</t>
  </si>
  <si>
    <t>9:30</t>
  </si>
  <si>
    <t>English Language (Reading)</t>
  </si>
  <si>
    <t>English Language 1 Reading</t>
  </si>
  <si>
    <t>中國語文 1 閱讀能力</t>
  </si>
  <si>
    <t>10:18</t>
  </si>
  <si>
    <t>English Language (Writing)</t>
  </si>
  <si>
    <t>10:00</t>
  </si>
  <si>
    <t>11:15</t>
  </si>
  <si>
    <t>English Language 2 Writing</t>
  </si>
  <si>
    <t>中國語文 2 寫作能力</t>
  </si>
  <si>
    <t>10:50</t>
  </si>
  <si>
    <t>13:54</t>
  </si>
  <si>
    <t>English Language 4 Speaking</t>
  </si>
  <si>
    <t>13/1/26
Tue</t>
  </si>
  <si>
    <t>中國語文 2 (寫作能力)</t>
  </si>
  <si>
    <t>9:49</t>
  </si>
  <si>
    <t>公民、經濟與社會</t>
  </si>
  <si>
    <t>9:12</t>
  </si>
  <si>
    <t>數學 1</t>
  </si>
  <si>
    <t>中國語文 4 (說話能力)</t>
  </si>
  <si>
    <t>數學 2</t>
  </si>
  <si>
    <t>13:35</t>
  </si>
  <si>
    <t>14/1/26
Wed</t>
  </si>
  <si>
    <t>化學</t>
  </si>
  <si>
    <t>公民與社會發展</t>
  </si>
  <si>
    <t>English Language 3 (Listening and Integrated Skills)</t>
  </si>
  <si>
    <t>10:44</t>
  </si>
  <si>
    <t>English Language (Speaking)</t>
  </si>
  <si>
    <t>中國語文 3 (聆聽能力)</t>
  </si>
  <si>
    <t>10:20</t>
  </si>
  <si>
    <t>數學 延伸部份 (單元一)</t>
  </si>
  <si>
    <t>普通話</t>
  </si>
  <si>
    <t>11:25</t>
  </si>
  <si>
    <t>15/1/26
Thur</t>
  </si>
  <si>
    <t>物理</t>
  </si>
  <si>
    <t>數學 1 (必修部份)</t>
  </si>
  <si>
    <t>11:19</t>
  </si>
  <si>
    <r>
      <rPr>
        <sz val="12"/>
        <rFont val="Times New Roman"/>
        <family val="1"/>
      </rPr>
      <t>公民、經濟與社會</t>
    </r>
  </si>
  <si>
    <t>9:45</t>
  </si>
  <si>
    <t>10:42</t>
  </si>
  <si>
    <r>
      <rPr>
        <sz val="12"/>
        <rFont val="新細明體"/>
        <family val="1"/>
        <charset val="136"/>
      </rPr>
      <t>數學</t>
    </r>
    <r>
      <rPr>
        <sz val="12"/>
        <rFont val="Times New Roman"/>
        <family val="1"/>
      </rPr>
      <t xml:space="preserve"> 2 (</t>
    </r>
    <r>
      <rPr>
        <sz val="12"/>
        <rFont val="新細明體"/>
        <family val="1"/>
        <charset val="136"/>
      </rPr>
      <t>必修部份</t>
    </r>
    <r>
      <rPr>
        <sz val="12"/>
        <rFont val="Times New Roman"/>
        <family val="1"/>
      </rPr>
      <t>)</t>
    </r>
  </si>
  <si>
    <t>11:50</t>
  </si>
  <si>
    <t>13:34</t>
  </si>
  <si>
    <t>16/1/26
Fri</t>
  </si>
  <si>
    <r>
      <rPr>
        <sz val="12"/>
        <rFont val="Book Antiqua"/>
        <family val="1"/>
      </rPr>
      <t>地理</t>
    </r>
  </si>
  <si>
    <r>
      <rPr>
        <sz val="12"/>
        <rFont val="Book Antiqua"/>
        <family val="1"/>
      </rPr>
      <t>數學</t>
    </r>
    <r>
      <rPr>
        <sz val="12"/>
        <rFont val="Times New Roman"/>
        <family val="1"/>
      </rPr>
      <t xml:space="preserve"> 1</t>
    </r>
  </si>
  <si>
    <r>
      <rPr>
        <sz val="12"/>
        <rFont val="Book Antiqua"/>
        <family val="1"/>
      </rPr>
      <t>中國語文</t>
    </r>
    <r>
      <rPr>
        <sz val="12"/>
        <rFont val="Times New Roman"/>
        <family val="1"/>
      </rPr>
      <t xml:space="preserve"> 1 (</t>
    </r>
    <r>
      <rPr>
        <sz val="12"/>
        <rFont val="Book Antiqua"/>
        <family val="1"/>
      </rPr>
      <t>閱讀能力</t>
    </r>
    <r>
      <rPr>
        <sz val="12"/>
        <rFont val="Times New Roman"/>
        <family val="1"/>
      </rPr>
      <t>)</t>
    </r>
  </si>
  <si>
    <t>11:00</t>
  </si>
  <si>
    <t>歷史</t>
  </si>
  <si>
    <t>數學 2 (必修部份)</t>
  </si>
  <si>
    <t>12:05</t>
  </si>
  <si>
    <t>19/1/26
Mon</t>
  </si>
  <si>
    <r>
      <rPr>
        <sz val="12"/>
        <rFont val="細明體"/>
        <family val="3"/>
        <charset val="136"/>
      </rPr>
      <t>數學</t>
    </r>
    <r>
      <rPr>
        <sz val="12"/>
        <rFont val="Times New Roman"/>
        <family val="1"/>
      </rPr>
      <t xml:space="preserve"> 1</t>
    </r>
  </si>
  <si>
    <r>
      <rPr>
        <sz val="12"/>
        <rFont val="細明體"/>
        <family val="3"/>
        <charset val="136"/>
      </rPr>
      <t>地理</t>
    </r>
  </si>
  <si>
    <r>
      <rPr>
        <sz val="12"/>
        <rFont val="細明體"/>
        <family val="3"/>
        <charset val="136"/>
      </rPr>
      <t>化學</t>
    </r>
  </si>
  <si>
    <t>9:15</t>
  </si>
  <si>
    <t>地理</t>
  </si>
  <si>
    <r>
      <rPr>
        <sz val="12"/>
        <color theme="1"/>
        <rFont val="Times New Roman"/>
        <family val="1"/>
      </rPr>
      <t>(Rm 407)</t>
    </r>
    <r>
      <rPr>
        <sz val="12"/>
        <color theme="1"/>
        <rFont val="細明體"/>
        <family val="3"/>
        <charset val="136"/>
      </rPr>
      <t>企會、地理</t>
    </r>
  </si>
  <si>
    <t>14:19</t>
  </si>
  <si>
    <t>13:33</t>
  </si>
  <si>
    <t>倫理與宗教</t>
  </si>
  <si>
    <r>
      <rPr>
        <sz val="12"/>
        <color theme="1"/>
        <rFont val="Times New Roman"/>
        <family val="1"/>
      </rPr>
      <t>(STT)</t>
    </r>
    <r>
      <rPr>
        <sz val="12"/>
        <color theme="1"/>
        <rFont val="細明體"/>
        <family val="3"/>
        <charset val="136"/>
      </rPr>
      <t>倫宗、歷史</t>
    </r>
  </si>
  <si>
    <t>企業、會計與財務概論</t>
  </si>
  <si>
    <t>20/1/26
Tue</t>
  </si>
  <si>
    <r>
      <rPr>
        <sz val="12"/>
        <rFont val="Times New Roman"/>
        <family val="1"/>
      </rPr>
      <t>中國歷史</t>
    </r>
  </si>
  <si>
    <r>
      <rPr>
        <sz val="12"/>
        <rFont val="Times New Roman"/>
        <family val="1"/>
      </rPr>
      <t>中國語文</t>
    </r>
    <r>
      <rPr>
        <sz val="12"/>
        <rFont val="Times New Roman"/>
        <family val="1"/>
      </rPr>
      <t xml:space="preserve"> 3 (</t>
    </r>
    <r>
      <rPr>
        <sz val="12"/>
        <rFont val="Times New Roman"/>
        <family val="1"/>
      </rPr>
      <t>聆聽能力</t>
    </r>
    <r>
      <rPr>
        <sz val="12"/>
        <rFont val="Times New Roman"/>
        <family val="1"/>
      </rPr>
      <t>)</t>
    </r>
  </si>
  <si>
    <t>8:45</t>
  </si>
  <si>
    <r>
      <rPr>
        <sz val="12"/>
        <rFont val="Times New Roman"/>
        <family val="1"/>
      </rPr>
      <t>地理</t>
    </r>
  </si>
  <si>
    <t>生物</t>
  </si>
  <si>
    <t>視覺藝術 (Art Room)</t>
  </si>
  <si>
    <t>12:57</t>
  </si>
  <si>
    <r>
      <rPr>
        <sz val="12"/>
        <color theme="1"/>
        <rFont val="Times New Roman"/>
        <family val="1"/>
      </rPr>
      <t>(Rm 407)</t>
    </r>
    <r>
      <rPr>
        <sz val="12"/>
        <color theme="1"/>
        <rFont val="細明體"/>
        <family val="3"/>
        <charset val="136"/>
      </rPr>
      <t>中史</t>
    </r>
  </si>
  <si>
    <t>11:04</t>
  </si>
  <si>
    <t>13:41</t>
  </si>
  <si>
    <r>
      <rPr>
        <sz val="12"/>
        <rFont val="Times New Roman"/>
        <family val="1"/>
      </rPr>
      <t>體育</t>
    </r>
  </si>
  <si>
    <t>10:23</t>
  </si>
  <si>
    <r>
      <rPr>
        <sz val="12"/>
        <rFont val="Times New Roman"/>
        <family val="1"/>
      </rPr>
      <t>普通話</t>
    </r>
  </si>
  <si>
    <t>9:25</t>
  </si>
  <si>
    <r>
      <rPr>
        <sz val="12"/>
        <rFont val="Times New Roman"/>
        <family val="1"/>
      </rPr>
      <t>普通電腦</t>
    </r>
  </si>
  <si>
    <r>
      <rPr>
        <sz val="12"/>
        <color theme="1"/>
        <rFont val="Times New Roman"/>
        <family val="1"/>
      </rPr>
      <t>(STT)</t>
    </r>
    <r>
      <rPr>
        <sz val="12"/>
        <color theme="1"/>
        <rFont val="細明體"/>
        <family val="3"/>
        <charset val="136"/>
      </rPr>
      <t>中史、</t>
    </r>
    <r>
      <rPr>
        <sz val="12"/>
        <color theme="1"/>
        <rFont val="Times New Roman"/>
        <family val="1"/>
      </rPr>
      <t>VA</t>
    </r>
  </si>
  <si>
    <t>21/1/26
Wed</t>
  </si>
  <si>
    <t>綜合科學</t>
  </si>
  <si>
    <t>資訊及通訊科技</t>
  </si>
  <si>
    <r>
      <rPr>
        <sz val="12"/>
        <rFont val="新細明體"/>
        <family val="1"/>
        <charset val="136"/>
      </rPr>
      <t>化學</t>
    </r>
    <r>
      <rPr>
        <sz val="12"/>
        <rFont val="Times New Roman"/>
        <family val="1"/>
      </rPr>
      <t xml:space="preserve"> 1</t>
    </r>
  </si>
  <si>
    <t>11:43</t>
  </si>
  <si>
    <t>English Language (Listening)</t>
  </si>
  <si>
    <t>10:30</t>
  </si>
  <si>
    <t>中國歷史</t>
  </si>
  <si>
    <t>經濟</t>
  </si>
  <si>
    <r>
      <rPr>
        <sz val="12"/>
        <rFont val="新細明體"/>
        <family val="1"/>
        <charset val="136"/>
      </rPr>
      <t>化學</t>
    </r>
    <r>
      <rPr>
        <sz val="12"/>
        <rFont val="Times New Roman"/>
        <family val="1"/>
      </rPr>
      <t xml:space="preserve"> 2</t>
    </r>
  </si>
  <si>
    <t>12:15</t>
  </si>
  <si>
    <t>13:30</t>
  </si>
  <si>
    <t>體育</t>
  </si>
  <si>
    <t>22/1/26
Thur</t>
  </si>
  <si>
    <t>10:45</t>
  </si>
  <si>
    <r>
      <rPr>
        <sz val="12"/>
        <rFont val="Times New Roman"/>
        <family val="1"/>
      </rPr>
      <t>(Rm 407)</t>
    </r>
    <r>
      <rPr>
        <sz val="12"/>
        <rFont val="新細明體"/>
        <family val="1"/>
        <charset val="136"/>
      </rPr>
      <t>經濟、體育</t>
    </r>
  </si>
  <si>
    <t>13:28</t>
  </si>
  <si>
    <t>10:15</t>
  </si>
  <si>
    <t>23/1/26
Fri</t>
  </si>
  <si>
    <r>
      <rPr>
        <sz val="12"/>
        <rFont val="Times New Roman"/>
        <family val="1"/>
      </rPr>
      <t>綜合科學</t>
    </r>
  </si>
  <si>
    <r>
      <rPr>
        <sz val="12"/>
        <rFont val="Times New Roman"/>
        <family val="1"/>
      </rPr>
      <t>基本商業</t>
    </r>
  </si>
  <si>
    <r>
      <rPr>
        <sz val="12"/>
        <rFont val="新細明體"/>
        <family val="1"/>
        <charset val="136"/>
      </rPr>
      <t>生物</t>
    </r>
    <r>
      <rPr>
        <sz val="12"/>
        <rFont val="Times New Roman"/>
        <family val="1"/>
      </rPr>
      <t xml:space="preserve"> 1</t>
    </r>
  </si>
  <si>
    <t>8:55</t>
  </si>
  <si>
    <t>視覺藝術(Art Room)</t>
  </si>
  <si>
    <t>生物 2</t>
  </si>
  <si>
    <t>28/1/26
Wed
Day 1</t>
  </si>
  <si>
    <t>11:23</t>
  </si>
  <si>
    <t>VERSION  10.12.2024</t>
  </si>
  <si>
    <t>S6 FINAL 
EXAM</t>
  </si>
  <si>
    <t>S6
Inv. Time</t>
  </si>
  <si>
    <t>S6
SEN 
Invigilation</t>
  </si>
  <si>
    <t>PREVIOUS</t>
  </si>
  <si>
    <t>HCF</t>
  </si>
  <si>
    <r>
      <rPr>
        <sz val="12"/>
        <color rgb="FF000000"/>
        <rFont val="Calibri"/>
        <family val="2"/>
      </rPr>
      <t>T</t>
    </r>
    <r>
      <rPr>
        <sz val="12"/>
        <color rgb="FF000000"/>
        <rFont val="Calibri"/>
        <family val="2"/>
      </rPr>
      <t>UE</t>
    </r>
  </si>
  <si>
    <t>MON</t>
  </si>
  <si>
    <r>
      <rPr>
        <sz val="12"/>
        <color rgb="FF000000"/>
        <rFont val="Calibri"/>
        <family val="2"/>
      </rPr>
      <t>W</t>
    </r>
    <r>
      <rPr>
        <sz val="12"/>
        <color rgb="FF000000"/>
        <rFont val="Calibri"/>
        <family val="2"/>
      </rPr>
      <t>ED</t>
    </r>
  </si>
  <si>
    <t>THUR</t>
  </si>
  <si>
    <t>FRI</t>
  </si>
  <si>
    <t>上午 8:00
-上午 8:15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</si>
  <si>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8:00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8:15</t>
    </r>
  </si>
  <si>
    <t>上午 8:15
-上午 8:55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</si>
  <si>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8:15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8:50</t>
    </r>
  </si>
  <si>
    <t>90, 86, 102, 138, 152</t>
  </si>
  <si>
    <r>
      <rPr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02, 76, 103, 211, 206, 91, 78</t>
    </r>
  </si>
  <si>
    <t>128, 38, 76, 22, 135</t>
  </si>
  <si>
    <t>128, 39, 76, 91, 78</t>
  </si>
  <si>
    <t>128, 39, 76, 22, 208</t>
  </si>
  <si>
    <t>上午 8:55
-上午 9:35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</si>
  <si>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8:50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9:25</t>
    </r>
  </si>
  <si>
    <t>102, 86, 90, 22, 208</t>
  </si>
  <si>
    <t>上午 9:35
-上午 9:50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</si>
  <si>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9:25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9:40</t>
    </r>
  </si>
  <si>
    <t>上午 9:50
-上午 10:30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</si>
  <si>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9:40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10:15</t>
    </r>
  </si>
  <si>
    <t>206, 5, 91, 78</t>
  </si>
  <si>
    <t>128, 39, 76, 138, 135</t>
  </si>
  <si>
    <t>120, 84, 76, 103, 218, 73, 25, 196</t>
  </si>
  <si>
    <t>202, 76, 103, 211, 206, 153, 135</t>
  </si>
  <si>
    <t>上午 10:30
-上午 11:10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</si>
  <si>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10:15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10:50</t>
    </r>
  </si>
  <si>
    <t>102, 86, 90, 186, 135</t>
  </si>
  <si>
    <t>上午 11:10
-上午 11:25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</si>
  <si>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10:50
-</t>
    </r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11:05</t>
    </r>
  </si>
  <si>
    <t>上午 11:25
-下午 12:05</t>
  </si>
  <si>
    <r>
      <rPr>
        <b/>
        <sz val="10"/>
        <color theme="1"/>
        <rFont val="細明體"/>
        <family val="3"/>
        <charset val="136"/>
      </rPr>
      <t>上午</t>
    </r>
    <r>
      <rPr>
        <b/>
        <sz val="10"/>
        <color theme="1"/>
        <rFont val="Calibri"/>
        <family val="2"/>
      </rPr>
      <t xml:space="preserve"> 11:05
-</t>
    </r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11:40</t>
    </r>
  </si>
  <si>
    <t>161, 202, 4, 190, 186, 129, 205, 114</t>
  </si>
  <si>
    <t>102, 86, 90, 208, 186</t>
  </si>
  <si>
    <t>186, 117, 22, 152</t>
  </si>
  <si>
    <t>206, 5, 91, 32</t>
  </si>
  <si>
    <t>下午 12:05
-下午 12:45</t>
  </si>
  <si>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11:40
-</t>
    </r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12:15</t>
    </r>
  </si>
  <si>
    <t>102, 86, 90, 208, 32</t>
  </si>
  <si>
    <t>32, 186, 22, 152</t>
  </si>
  <si>
    <t>206, 5, 153, 78</t>
  </si>
  <si>
    <t>下午 12:45
-下午 1:55</t>
  </si>
  <si>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12:15
-</t>
    </r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1:30</t>
    </r>
  </si>
  <si>
    <t>下午 2:00
-下午 2:40</t>
  </si>
  <si>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1:30
-</t>
    </r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2:05</t>
    </r>
  </si>
  <si>
    <t>186, 112, 22, 32</t>
  </si>
  <si>
    <t>208, 5, 186, 152</t>
  </si>
  <si>
    <t>206, 5, 138, 152</t>
  </si>
  <si>
    <t>32, 117, 138, 135</t>
  </si>
  <si>
    <t>下午 2:40
-下午 3:20</t>
  </si>
  <si>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2:05
-</t>
    </r>
    <r>
      <rPr>
        <b/>
        <sz val="10"/>
        <color theme="1"/>
        <rFont val="細明體"/>
        <family val="3"/>
        <charset val="136"/>
      </rPr>
      <t>下午</t>
    </r>
    <r>
      <rPr>
        <b/>
        <sz val="10"/>
        <color theme="1"/>
        <rFont val="Calibri"/>
        <family val="2"/>
      </rPr>
      <t xml:space="preserve"> 2:40</t>
    </r>
  </si>
  <si>
    <t>32, 112, 22, 186</t>
  </si>
  <si>
    <t>208, 5, 91, 22, 120, 152</t>
  </si>
  <si>
    <r>
      <rPr>
        <sz val="12"/>
        <color rgb="FF000000"/>
        <rFont val="Calibri"/>
        <family val="2"/>
      </rPr>
      <t>2</t>
    </r>
    <r>
      <rPr>
        <sz val="12"/>
        <color rgb="FF000000"/>
        <rFont val="Calibri"/>
        <family val="2"/>
      </rPr>
      <t>06, 186, 138, 152</t>
    </r>
  </si>
  <si>
    <t>202, 76, 103, 206, 211, 153, 135</t>
  </si>
  <si>
    <t>下午 3:20
-下午 4:00</t>
  </si>
  <si>
    <t>CLASS T</t>
  </si>
  <si>
    <t>202, 76, 103, 206, 211</t>
  </si>
  <si>
    <t>CT</t>
  </si>
  <si>
    <t>Monday</t>
  </si>
  <si>
    <t>TUE</t>
  </si>
  <si>
    <t>WED</t>
  </si>
  <si>
    <t>Teacher's 
Name</t>
  </si>
  <si>
    <t>Teacher's 
Code</t>
  </si>
  <si>
    <t>KWW</t>
  </si>
  <si>
    <t>LNY</t>
  </si>
  <si>
    <t>Total (Teachers)</t>
  </si>
  <si>
    <t>VERSION  11/2021</t>
  </si>
  <si>
    <t xml:space="preserve">2020 FINAL </t>
  </si>
  <si>
    <t>Class</t>
  </si>
  <si>
    <t>Inv. Time</t>
  </si>
  <si>
    <t>S6 
Teaching
Time
(Approximate)</t>
  </si>
  <si>
    <t>Remark 1
(S6 Invigilation)</t>
  </si>
  <si>
    <t>NON-SPEAKING DUTY TO BE FULFILLED</t>
  </si>
  <si>
    <t>NON-SPEAKING DUTY</t>
  </si>
  <si>
    <t>INVIL. TIME</t>
  </si>
  <si>
    <t>Carry From Pervious</t>
  </si>
  <si>
    <t>Deviation/Carry Forward</t>
  </si>
  <si>
    <t>Putonghua Panel</t>
  </si>
  <si>
    <t>P1</t>
  </si>
  <si>
    <t>P2</t>
  </si>
  <si>
    <t>P3</t>
  </si>
  <si>
    <t>Lee Yuen Yung</t>
  </si>
  <si>
    <t>Lam Mei Tak</t>
  </si>
  <si>
    <t>Lam Wai Hung</t>
  </si>
  <si>
    <t>Wong Wei Yin</t>
  </si>
  <si>
    <t>Law Chak Sang</t>
  </si>
  <si>
    <t>Leung Pui Kuen</t>
  </si>
  <si>
    <t>Wong Lik Ping</t>
  </si>
  <si>
    <t>Chow Mung Lan</t>
  </si>
  <si>
    <t>Tsang Chiu Hap</t>
  </si>
  <si>
    <t>Har Boon Lap</t>
  </si>
  <si>
    <t>Leung Tsz Ngan</t>
  </si>
  <si>
    <t>Wong Wing Shan</t>
  </si>
  <si>
    <t>Lai Po Ching</t>
  </si>
  <si>
    <t>Lai Hung Kit</t>
  </si>
  <si>
    <t>Cheung Kit Shan</t>
  </si>
  <si>
    <t>Lon Kai Chiu</t>
  </si>
  <si>
    <t>Ho Nga Yan</t>
  </si>
  <si>
    <t>Keung Ka Wing</t>
  </si>
  <si>
    <t>Cheng Hoi Bun</t>
  </si>
  <si>
    <t xml:space="preserve">Annabella Tse </t>
  </si>
  <si>
    <t>Ko Siu Ching</t>
  </si>
  <si>
    <t>Yu Wang Chi</t>
  </si>
  <si>
    <t>Li Kit Ling</t>
  </si>
  <si>
    <t>Kung Lei Heung</t>
  </si>
  <si>
    <t>Chan Ka Man</t>
  </si>
  <si>
    <t>Leung Kwok Fai</t>
  </si>
  <si>
    <t>Chan Ka Wah</t>
  </si>
  <si>
    <t>Liu Wai Keung</t>
  </si>
  <si>
    <t>Chan Yat Ping</t>
  </si>
  <si>
    <t>Kwok Kin Pong</t>
  </si>
  <si>
    <t>Wong Yiu Cheong</t>
  </si>
  <si>
    <t>Leung Hoi Ying</t>
  </si>
  <si>
    <t>Li Wai Yiu</t>
  </si>
  <si>
    <t>Lam Chun Man</t>
  </si>
  <si>
    <t>Leung So Yam</t>
  </si>
  <si>
    <t>Wong Kar Wing</t>
  </si>
  <si>
    <t>Chung Tsz Yuen</t>
  </si>
  <si>
    <t>Chan Ka Yu</t>
  </si>
  <si>
    <t>Ng Wai Yee</t>
  </si>
  <si>
    <t>Ho Pui Yi</t>
  </si>
  <si>
    <t>Deng Wenli, Lily</t>
  </si>
  <si>
    <t>Tsang Chun Hung</t>
  </si>
  <si>
    <t>Rory Dallas</t>
  </si>
  <si>
    <t>Lee Hoi Yi</t>
  </si>
  <si>
    <t>Hui Long Wai</t>
  </si>
  <si>
    <t>Yu Li Shan</t>
  </si>
  <si>
    <t>Au Wing Ka</t>
  </si>
  <si>
    <t>Li Chun Yin</t>
  </si>
  <si>
    <t>Wei Kwan Yim</t>
  </si>
  <si>
    <t>Wong Wing Man</t>
  </si>
  <si>
    <t>Cheung Siu Chung</t>
  </si>
  <si>
    <t>Tong Fung Cheung</t>
  </si>
  <si>
    <t>Chan Sze Ting</t>
  </si>
  <si>
    <t>Cheng Pak Kiu</t>
  </si>
  <si>
    <t>Chung Lai Kwok</t>
  </si>
  <si>
    <t>Lam Chi Kin</t>
  </si>
  <si>
    <t>Chan Kwan Ho</t>
  </si>
  <si>
    <t>Leung Wai Tat</t>
  </si>
  <si>
    <t>Wai Wai Yeung(V.P.)</t>
  </si>
  <si>
    <t>Lam Wing Chor</t>
  </si>
  <si>
    <t>Total Duty</t>
  </si>
  <si>
    <t>Ms Lee Yuen Yung</t>
  </si>
  <si>
    <t>Mr Lam Mei Tak</t>
  </si>
  <si>
    <t>Mr Lam Wai Hung(disp)</t>
  </si>
  <si>
    <t>Ms Kwan Wai Sim</t>
  </si>
  <si>
    <t>Mr Leung Wai Tat</t>
  </si>
  <si>
    <t>Ms Wong Wei Yin</t>
  </si>
  <si>
    <t>Mr Ng Wai Keung</t>
  </si>
  <si>
    <t>Mr Law Chak Sang</t>
  </si>
  <si>
    <t>Ms Leung Pui Kuen</t>
  </si>
  <si>
    <t>Ms Cheng Wai Yee(AAC Head)</t>
  </si>
  <si>
    <t>Mr Wong Lik Ping</t>
  </si>
  <si>
    <t>Ms Chow Mung Lan</t>
  </si>
  <si>
    <t>Ms Choy Kwok Yee(V.P.)</t>
  </si>
  <si>
    <t>Ms Lillian Chan</t>
  </si>
  <si>
    <t>Mr Tsang Chiu Hap</t>
  </si>
  <si>
    <t>Mr Tai Sik Man</t>
  </si>
  <si>
    <t>Mr Tam Kai Hung</t>
  </si>
  <si>
    <t>Mr Chan Chi Wing</t>
  </si>
  <si>
    <t>Mr Ha Kwok Ho</t>
  </si>
  <si>
    <t>Mr Tse Ping Nam(V.P.)</t>
  </si>
  <si>
    <t>Mr Poon Kwok Yin</t>
  </si>
  <si>
    <t>Mr Chong Sze Lun</t>
  </si>
  <si>
    <t>Ms Leung Tsz Ngan</t>
  </si>
  <si>
    <t>Mr Chan Ching Fat</t>
  </si>
  <si>
    <t>Ms Lai Po Ching</t>
  </si>
  <si>
    <t>Mr Lai Hung Kit</t>
  </si>
  <si>
    <t>Ms Ma Kin Man</t>
  </si>
  <si>
    <t>Mr Wai Wai Yeung</t>
  </si>
  <si>
    <t>Mr Lee Po Wing</t>
  </si>
  <si>
    <t>Mr Lon Kai Chiu</t>
  </si>
  <si>
    <t>Ms Tse Kit Ying</t>
  </si>
  <si>
    <t>Mr Chan Fai Hung</t>
  </si>
  <si>
    <t>Ms Lee Siu Wai</t>
  </si>
  <si>
    <t>Mr Keung Ka Wing</t>
  </si>
  <si>
    <t>Ms Annabella Tse</t>
  </si>
  <si>
    <t>Ms Ko Siu Ching</t>
  </si>
  <si>
    <t>Mr Chan Hing Lun</t>
  </si>
  <si>
    <t>Ms Li Kit Ling</t>
  </si>
  <si>
    <t>Ms Kung Lei Heung</t>
  </si>
  <si>
    <t>Ms Cheung Kit Shan</t>
  </si>
  <si>
    <t>Mr Wan Choi Hing</t>
  </si>
  <si>
    <t>Ms Chan Ka Man</t>
  </si>
  <si>
    <t>Mr Leung Kwok Fai</t>
  </si>
  <si>
    <t>Mr Keung Ho Fai</t>
  </si>
  <si>
    <t>Mr Chan Ka Wah</t>
  </si>
  <si>
    <t>Mr Liu Wai Keung</t>
  </si>
  <si>
    <t>Mr Chan Yat Ping</t>
  </si>
  <si>
    <t>Mr Chik Wing Him</t>
  </si>
  <si>
    <t>Mr Lam Wing Chor(libr)</t>
  </si>
  <si>
    <t>Mr Kwok Kin Pong</t>
  </si>
  <si>
    <t>Mr Wong Yiu Cheong</t>
  </si>
  <si>
    <t>Mr Yu Wang Chi</t>
  </si>
  <si>
    <t>Mr Li Tat Hin</t>
  </si>
  <si>
    <t>Ms Noeleen Haney(net)</t>
  </si>
  <si>
    <t>Ms Leung Hoi Ying</t>
  </si>
  <si>
    <t>Ms Ho Nga Yan</t>
  </si>
  <si>
    <t>Mr Har Boon Lap</t>
  </si>
  <si>
    <t>Ms Wong Wing Shan</t>
  </si>
  <si>
    <t>Mr Cheng Hoi Bun</t>
  </si>
  <si>
    <t>Ms Li Wai Yiu</t>
  </si>
  <si>
    <t>Mr. Lam Chun Man</t>
  </si>
  <si>
    <t>Ms. Leung So Yam</t>
  </si>
  <si>
    <t>Ms Wong Kar Wing, Karen</t>
  </si>
  <si>
    <t>Mr Tse Sum Yeung</t>
  </si>
  <si>
    <t>Ms Chung Tsz Yuen</t>
  </si>
  <si>
    <t>Mr Chan Ka Yu</t>
  </si>
  <si>
    <t>Ms Lam Wai Yan</t>
  </si>
  <si>
    <t>Ms Leung Ka Lai</t>
  </si>
  <si>
    <t>Mr Yeung Wai Chung</t>
  </si>
  <si>
    <t>Mr Lo Ka Sau</t>
  </si>
  <si>
    <t>M. Chik Wing Him</t>
  </si>
  <si>
    <t>TSS</t>
  </si>
  <si>
    <t>Mr Leung Wai Shun, Wilson</t>
  </si>
  <si>
    <t>TAC</t>
  </si>
  <si>
    <t>Ms Li Hi Kuen</t>
  </si>
  <si>
    <t>TAE</t>
  </si>
  <si>
    <t>Ms Lau Shuk Yee, Rebecca</t>
  </si>
  <si>
    <t>TAE1</t>
  </si>
  <si>
    <t>Ms Leng Ni, Lily</t>
  </si>
  <si>
    <t>TAA</t>
  </si>
  <si>
    <t>Ms Choi Mei Lin</t>
  </si>
  <si>
    <t>Mr. Wong Lap Cheong, Anthony</t>
  </si>
  <si>
    <t>ST1</t>
  </si>
  <si>
    <t>ST2</t>
  </si>
  <si>
    <t>ST3</t>
  </si>
  <si>
    <t>Deviation</t>
  </si>
  <si>
    <t>No of Lesson for Subs.</t>
  </si>
  <si>
    <t>FORWARD</t>
  </si>
  <si>
    <t>Ms Chan Mei Po</t>
  </si>
  <si>
    <t>2E</t>
  </si>
  <si>
    <t>3E</t>
  </si>
  <si>
    <t>4A</t>
  </si>
  <si>
    <t>4B</t>
  </si>
  <si>
    <t>4C</t>
  </si>
  <si>
    <t>Ms Cheng Sze Sze</t>
  </si>
  <si>
    <t>4D</t>
  </si>
  <si>
    <t>Ms Tsui Wai Yee</t>
  </si>
  <si>
    <t>4E</t>
  </si>
  <si>
    <t>4F</t>
  </si>
  <si>
    <t>5A</t>
  </si>
  <si>
    <t>5B</t>
  </si>
  <si>
    <t>5C</t>
  </si>
  <si>
    <t>5D</t>
  </si>
  <si>
    <t>5E</t>
  </si>
  <si>
    <t>6A</t>
  </si>
  <si>
    <t>6B</t>
  </si>
  <si>
    <t>6C</t>
  </si>
  <si>
    <t>6D</t>
  </si>
  <si>
    <t>6E</t>
  </si>
  <si>
    <t>7A</t>
  </si>
  <si>
    <t>7B</t>
  </si>
  <si>
    <t>7C</t>
  </si>
  <si>
    <t>Ms Cheng Wai Yee</t>
  </si>
  <si>
    <t>STC1</t>
  </si>
  <si>
    <t>Mr.  Chan Hing Lun</t>
  </si>
  <si>
    <t>Mr. Li Tat Hin</t>
  </si>
  <si>
    <t>Mr. Chik Wing Him</t>
  </si>
  <si>
    <t>TAM</t>
  </si>
  <si>
    <t>Mr. Leung Kin Hang</t>
  </si>
  <si>
    <t>Mr. Li Man Him</t>
  </si>
  <si>
    <t>Ng Wah Catholic Secondary School</t>
  </si>
  <si>
    <r>
      <rPr>
        <b/>
        <sz val="12"/>
        <color theme="1"/>
        <rFont val="Times New Roman"/>
        <family val="1"/>
      </rPr>
      <t>First Term Examination Special Room Timetable and Invigilation Duty , 2022-2023 (</t>
    </r>
    <r>
      <rPr>
        <b/>
        <sz val="12"/>
        <color rgb="FF000000"/>
        <rFont val="Times New Roman"/>
        <family val="1"/>
      </rPr>
      <t>5/1/2023-18/1/2023</t>
    </r>
    <r>
      <rPr>
        <b/>
        <sz val="12"/>
        <color theme="1"/>
        <rFont val="Times New Roman"/>
        <family val="1"/>
      </rPr>
      <t>)</t>
    </r>
  </si>
  <si>
    <t>'=SUMIF('First Exam Invigilation'!$C$7:$AI$46,B3,Working_Hours!$C$7:$AI$46)</t>
  </si>
  <si>
    <t>SAR(S1, S2, S3)</t>
  </si>
  <si>
    <t>N3(S4, S5)</t>
  </si>
  <si>
    <t>IE
Supporting
Staff</t>
  </si>
  <si>
    <t>RR2(S1)</t>
  </si>
  <si>
    <t>RR3(S3)</t>
  </si>
  <si>
    <t xml:space="preserve">S2 </t>
  </si>
  <si>
    <t xml:space="preserve">S4 </t>
  </si>
  <si>
    <t xml:space="preserve">18/2/2012 </t>
  </si>
  <si>
    <t>Saturday</t>
  </si>
  <si>
    <t>i.c.</t>
  </si>
  <si>
    <t>Invigilator</t>
  </si>
  <si>
    <t>8:00-8:30</t>
  </si>
  <si>
    <t>8:05-9:17</t>
  </si>
  <si>
    <t>8:05-11:00</t>
  </si>
  <si>
    <t>8:30-11:00</t>
  </si>
  <si>
    <t>9:45-10:15</t>
  </si>
  <si>
    <r>
      <rPr>
        <sz val="12"/>
        <color theme="1"/>
        <rFont val="PMingLiU"/>
        <family val="1"/>
        <charset val="136"/>
      </rPr>
      <t>I</t>
    </r>
    <r>
      <rPr>
        <sz val="12"/>
        <color theme="1"/>
        <rFont val="新細明體"/>
        <family val="1"/>
        <charset val="136"/>
      </rPr>
      <t>NVIL TIME</t>
    </r>
  </si>
  <si>
    <t>輔導員返工時間如下</t>
  </si>
  <si>
    <t>Thursday</t>
  </si>
  <si>
    <t>11:00-13:26</t>
  </si>
  <si>
    <t>11:20-13:26</t>
  </si>
  <si>
    <t>Kenneth IEC 3: Mon,Tue,Wed,Fri - 8:30-17:30</t>
  </si>
  <si>
    <t>Thur - 9:30-17:30</t>
  </si>
  <si>
    <t>9:45-11:00</t>
  </si>
  <si>
    <t>9:45-11:15</t>
  </si>
  <si>
    <t>9:45-10:57</t>
  </si>
  <si>
    <t>9:45-11:20</t>
  </si>
  <si>
    <t>Candy IES2 - Tue,Wed,Thur,Fri - 8:30-17:30</t>
  </si>
  <si>
    <t>Friday</t>
  </si>
  <si>
    <t>11:00-12:30</t>
  </si>
  <si>
    <t>11:30-12:30</t>
  </si>
  <si>
    <t>Mon- 9:30-17:30</t>
  </si>
  <si>
    <t>8:30-10:30</t>
  </si>
  <si>
    <t>8:15-9:27</t>
  </si>
  <si>
    <t>8:15-10:13</t>
  </si>
  <si>
    <t>8:15-11:08</t>
  </si>
  <si>
    <t xml:space="preserve">Ms Law PTC - </t>
  </si>
  <si>
    <t>10:30-12:15</t>
  </si>
  <si>
    <t>10:00-11:12</t>
  </si>
  <si>
    <t>10:40-12:15</t>
  </si>
  <si>
    <t>Tue, Thur- 9:30-17:30</t>
  </si>
  <si>
    <t>Fri - 11:30-17:30</t>
  </si>
  <si>
    <t>8:05-10:03</t>
  </si>
  <si>
    <t>8:05-11:55</t>
  </si>
  <si>
    <t>11:00-13:27</t>
  </si>
  <si>
    <t>Tuesday</t>
  </si>
  <si>
    <t>10:30-13:27</t>
  </si>
  <si>
    <t>8:05-10:44</t>
  </si>
  <si>
    <t>Wednesday</t>
  </si>
  <si>
    <t>8:30-10:44</t>
  </si>
  <si>
    <t>8:05-8:41</t>
  </si>
  <si>
    <t>8:05-8:59</t>
  </si>
  <si>
    <t>9:20-11:30</t>
  </si>
  <si>
    <t>8:50-9:20</t>
  </si>
  <si>
    <t>9:30-10:06</t>
  </si>
  <si>
    <t>9:45-12:07</t>
  </si>
  <si>
    <t>XXXX</t>
  </si>
  <si>
    <t>11:30-14:30</t>
  </si>
  <si>
    <t>12:35-14:30</t>
  </si>
  <si>
    <t>9:30-11:28</t>
  </si>
  <si>
    <t>8:05-10:58</t>
  </si>
  <si>
    <t>8:30-11:30</t>
  </si>
  <si>
    <t>9:30-11:00</t>
  </si>
  <si>
    <t>11:30-14:45</t>
  </si>
  <si>
    <t>8:30-10:45</t>
  </si>
  <si>
    <t>8:15-9:09</t>
  </si>
  <si>
    <t>8:15-10:45</t>
  </si>
  <si>
    <t>8:30-10:00</t>
  </si>
  <si>
    <t>8:05-9:40</t>
  </si>
  <si>
    <t>10:00-11:24</t>
  </si>
  <si>
    <t>10:30-11:24</t>
  </si>
  <si>
    <t>9:10-9:40</t>
  </si>
  <si>
    <t>10:00-13:15</t>
  </si>
  <si>
    <t>11:00-11:15</t>
  </si>
  <si>
    <t>11:50-13:02</t>
  </si>
  <si>
    <t>listening</t>
  </si>
  <si>
    <t>SEN COUNT</t>
  </si>
  <si>
    <t>25 8:00-9:00</t>
  </si>
  <si>
    <t>IES2 9:00-11:00</t>
  </si>
  <si>
    <t>INV Time</t>
  </si>
  <si>
    <t>COUNT NO</t>
  </si>
  <si>
    <t>Total Time</t>
  </si>
  <si>
    <t>201 8:00-9:00</t>
  </si>
  <si>
    <t xml:space="preserve">Total </t>
  </si>
  <si>
    <t>2021 - 2022 Teachers' Invigilation Duty Summary</t>
  </si>
  <si>
    <t>First Term</t>
  </si>
  <si>
    <t>SECOND TERM</t>
  </si>
  <si>
    <t>Carry To Next Term</t>
  </si>
  <si>
    <t>Chi/Eng 
Speaking</t>
  </si>
  <si>
    <t>Carry To Next Year</t>
  </si>
  <si>
    <t>#REF!</t>
  </si>
  <si>
    <t>Average Non-Speaking Duty</t>
  </si>
  <si>
    <t>S1 - 5 Second Term Test -  Invigilation Duty List(Hall Classrooms) 10.4.2024 -  17.4.2024</t>
  </si>
  <si>
    <t xml:space="preserve">Classroom  </t>
  </si>
  <si>
    <t>7</t>
  </si>
  <si>
    <t>8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</si>
  <si>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</si>
  <si>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</si>
  <si>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</si>
  <si>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</si>
  <si>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</si>
  <si>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</si>
  <si>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</si>
  <si>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</si>
  <si>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</si>
  <si>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</si>
  <si>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22</t>
  </si>
  <si>
    <t>23</t>
  </si>
  <si>
    <t>24</t>
  </si>
  <si>
    <t xml:space="preserve">4/F </t>
  </si>
  <si>
    <t>N3(5A)</t>
  </si>
  <si>
    <t>Subject</t>
  </si>
  <si>
    <t>10/4/24
Wed</t>
  </si>
  <si>
    <t>S1 - 4 NORMAL LESSONS</t>
  </si>
  <si>
    <t>8:00 - 9:45</t>
  </si>
  <si>
    <t>S5 CSD</t>
  </si>
  <si>
    <t>10:00 - 11:45</t>
  </si>
  <si>
    <t>S5 Econ (X1, X3)</t>
  </si>
  <si>
    <t>11/4/24
Thu</t>
  </si>
  <si>
    <t>DSE CHI 
7:45 - 13:00</t>
  </si>
  <si>
    <t>S4 8:00-9:15
S5 8:00-9:45</t>
  </si>
  <si>
    <t>S4 Eng 1
S5 Eng 1</t>
  </si>
  <si>
    <t>S4 9:30-10:45
S5 10:00-11:45</t>
  </si>
  <si>
    <t>S4 Eng 2
S5 Eng 2</t>
  </si>
  <si>
    <t>S1 Chi 1</t>
  </si>
  <si>
    <t>S1 13:15-14:30</t>
  </si>
  <si>
    <t>S2 13:15-14:30
S3 13:15-14:30</t>
  </si>
  <si>
    <t>S2 Eng 1
S3 Chi 1</t>
  </si>
  <si>
    <t>S1 Chi 2</t>
  </si>
  <si>
    <t>S1 14:35-15:50</t>
  </si>
  <si>
    <t>S2 14:35-15:50
S3 14:35-15:20</t>
  </si>
  <si>
    <t>S2 Eng 2
S3 C Hist</t>
  </si>
  <si>
    <t>12/4/24
Fri</t>
  </si>
  <si>
    <t>DSE ENG  
7:45 - 13:00</t>
  </si>
  <si>
    <t>S4 X1
S5 Chi 1</t>
  </si>
  <si>
    <t>S4 Phy
S5 Chi 2</t>
  </si>
  <si>
    <t>S4 11:00-12:15</t>
  </si>
  <si>
    <t>S4 Chem</t>
  </si>
  <si>
    <t>S1 Eng 1</t>
  </si>
  <si>
    <t>S2 Chi 1
S3 Chi 2</t>
  </si>
  <si>
    <t>S1 Math</t>
  </si>
  <si>
    <t>S2 14:35-15:20
S3 14:35-15:20</t>
  </si>
  <si>
    <t>S2 CES
S3 Geog</t>
  </si>
  <si>
    <t>15/4/24
Mon</t>
  </si>
  <si>
    <t>DSE MATHS  
7:45 - 12:45</t>
  </si>
  <si>
    <t>S4 Chi 1
S5 X2</t>
  </si>
  <si>
    <t>S4 Chi 2
S5 Bio</t>
  </si>
  <si>
    <t xml:space="preserve"> </t>
  </si>
  <si>
    <t>S5 12:00-13:45</t>
  </si>
  <si>
    <t>S5 M1</t>
  </si>
  <si>
    <t>S1 Eng 2</t>
  </si>
  <si>
    <t>S2 Chi 2
S3 Eng 1</t>
  </si>
  <si>
    <t>S1 IS</t>
  </si>
  <si>
    <t>S1 14:35-15:20</t>
  </si>
  <si>
    <t>S2 Maths
S3 Bio</t>
  </si>
  <si>
    <t>16/4/24
Tue</t>
  </si>
  <si>
    <t>DSE CSD  
7:45 - 10:30</t>
  </si>
  <si>
    <t>S4 X2
S5 Maths</t>
  </si>
  <si>
    <t>S4 Bio
S5 X1</t>
  </si>
  <si>
    <t>S4 M1</t>
  </si>
  <si>
    <t>S1 C Hist</t>
  </si>
  <si>
    <t>S1 13:15-14:00</t>
  </si>
  <si>
    <t>S2 13:15-14:00
S3 13:15-14:30</t>
  </si>
  <si>
    <t>S2 IS
S3 Eng 2</t>
  </si>
  <si>
    <t>S1 CL &amp; CES</t>
  </si>
  <si>
    <t>S1 14:05-15:25</t>
  </si>
  <si>
    <t>S2 14:05-15:25
S3 14:35-15:20</t>
  </si>
  <si>
    <t>S2 CL &amp; C Hist
S3 Phy</t>
  </si>
  <si>
    <t>17/4/24
Wed</t>
  </si>
  <si>
    <t>S1 &amp; S2 NORMAL LESSONS</t>
  </si>
  <si>
    <t>S3 8:00-9:15
S4 8:00-9:15
S5 8:00-9:45</t>
  </si>
  <si>
    <t>S3 Maths
S4 CSD
S5 CHEM</t>
  </si>
  <si>
    <t>S3 9:20-10:40
S4 9:30-10:45
S5 10:00-11:45</t>
  </si>
  <si>
    <t>S3 Chem &amp; LS
S4 Maths
S5 Phy</t>
  </si>
  <si>
    <t>Notes:</t>
  </si>
  <si>
    <t>1.   Invigilators MUST be in your respective examination venues punctually.</t>
  </si>
  <si>
    <t>2.   Please seek the Principal's approval if you wish to make any changes in your invigilation duties.</t>
  </si>
  <si>
    <t>3.   Invigilators are reminded to start the exam according to the time stated in the time-table. NO EARLY START.</t>
  </si>
  <si>
    <t>Date :   3/4/2024</t>
  </si>
  <si>
    <t>日期</t>
  </si>
  <si>
    <t>到場</t>
  </si>
  <si>
    <t>結束</t>
  </si>
  <si>
    <t>級號</t>
  </si>
  <si>
    <t>科目</t>
  </si>
  <si>
    <t>班/組別</t>
  </si>
  <si>
    <t>地點</t>
  </si>
  <si>
    <t>監考老師</t>
  </si>
  <si>
    <t>崗位</t>
  </si>
  <si>
    <t>監考員</t>
  </si>
  <si>
    <t>公民與社會</t>
  </si>
  <si>
    <t>後備</t>
  </si>
  <si>
    <t>選修</t>
  </si>
  <si>
    <t>經濟卷二</t>
  </si>
  <si>
    <t>SEN</t>
  </si>
  <si>
    <t>中國語文卷一</t>
  </si>
  <si>
    <t>數學卷二</t>
  </si>
  <si>
    <t>中史</t>
  </si>
  <si>
    <t>全級</t>
  </si>
  <si>
    <t>試場主任</t>
  </si>
  <si>
    <t>S86</t>
  </si>
  <si>
    <t>CHI 1</t>
  </si>
  <si>
    <t>禮堂 (HALL)</t>
  </si>
  <si>
    <t>CHI 2</t>
  </si>
  <si>
    <t>ENG 1</t>
  </si>
  <si>
    <t>S22</t>
  </si>
  <si>
    <t>ENG 3 (LIST)</t>
  </si>
  <si>
    <t>ENG 2</t>
  </si>
  <si>
    <t>G.T./G.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</si>
</sst>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"/>
    <numFmt numFmtId="177" formatCode="0.0_ "/>
    <numFmt numFmtId="178" formatCode="0.00_ "/>
    <numFmt numFmtId="179" formatCode="0_);[Red]\(0\)"/>
    <numFmt numFmtId="180" formatCode="0.0_);[Red]\(0.0\)"/>
    <numFmt numFmtId="181" formatCode="0.00_);[Red]\(0.00\)"/>
  </numFmts>
  <fonts count="71">
    <font>
      <sz val="12"/>
      <color rgb="FF000000"/>
      <name val="Calibri"/>
      <charset val="134"/>
      <scheme val="minor"/>
    </font>
    <font>
      <sz val="12"/>
      <color theme="1"/>
      <name val="Times New Roman"/>
      <family val="1"/>
    </font>
    <font>
      <sz val="12"/>
      <name val="Calibri"/>
      <family val="2"/>
    </font>
    <font>
      <b/>
      <sz val="2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18"/>
      <color theme="1"/>
      <name val="Times New Roman"/>
      <family val="1"/>
    </font>
    <font>
      <b/>
      <strike/>
      <sz val="14"/>
      <color theme="1"/>
      <name val="Times New Roman"/>
      <family val="1"/>
    </font>
    <font>
      <sz val="11"/>
      <color theme="1"/>
      <name val="Times New Roman"/>
      <family val="1"/>
    </font>
    <font>
      <b/>
      <i/>
      <strike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6"/>
      <color theme="1"/>
      <name val="MingLiU"/>
      <family val="1"/>
      <charset val="136"/>
    </font>
    <font>
      <b/>
      <sz val="10"/>
      <color theme="1"/>
      <name val="Times New Roman"/>
      <family val="1"/>
    </font>
    <font>
      <sz val="14"/>
      <color theme="1"/>
      <name val="Times New Roman"/>
      <family val="1"/>
    </font>
    <font>
      <sz val="30"/>
      <color theme="1"/>
      <name val="Calibri"/>
      <family val="2"/>
    </font>
    <font>
      <b/>
      <i/>
      <sz val="18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0"/>
      <color theme="1"/>
      <name val="Times New Roman"/>
      <family val="1"/>
    </font>
    <font>
      <sz val="12"/>
      <color theme="1"/>
      <name val="PMingLiU"/>
      <family val="1"/>
      <charset val="136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0"/>
      <color theme="1"/>
      <name val="MingLiU"/>
      <family val="1"/>
      <charset val="136"/>
    </font>
    <font>
      <sz val="10"/>
      <color theme="1"/>
      <name val="PMingLiU"/>
      <family val="1"/>
      <charset val="136"/>
    </font>
    <font>
      <b/>
      <sz val="10"/>
      <color rgb="FF000000"/>
      <name val="Times New Roman"/>
      <family val="1"/>
    </font>
    <font>
      <sz val="8"/>
      <color theme="1"/>
      <name val="Times New Roman"/>
      <family val="1"/>
    </font>
    <font>
      <i/>
      <sz val="2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rgb="FFD99594"/>
      <name val="Times New Roman"/>
      <family val="1"/>
    </font>
    <font>
      <b/>
      <sz val="9"/>
      <color rgb="FFD99594"/>
      <name val="Times New Roman"/>
      <family val="1"/>
    </font>
    <font>
      <b/>
      <strike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i/>
      <sz val="24"/>
      <color theme="1"/>
      <name val="Times New Roman"/>
      <family val="1"/>
    </font>
    <font>
      <sz val="25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6"/>
      <name val="Times New Roman"/>
      <family val="1"/>
    </font>
    <font>
      <b/>
      <sz val="16"/>
      <color rgb="FFFF0000"/>
      <name val="Times New Roman"/>
      <family val="1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</font>
    <font>
      <sz val="20"/>
      <color rgb="FF000000"/>
      <name val="Calibri"/>
      <family val="2"/>
    </font>
    <font>
      <b/>
      <i/>
      <sz val="2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sz val="18"/>
      <color rgb="FFFF0000"/>
      <name val="Times New Roman"/>
      <family val="1"/>
    </font>
    <font>
      <b/>
      <sz val="18"/>
      <color theme="1"/>
      <name val="Calibri"/>
      <family val="2"/>
    </font>
    <font>
      <b/>
      <sz val="18"/>
      <color rgb="FFD99594"/>
      <name val="Times New Roman"/>
      <family val="1"/>
    </font>
    <font>
      <sz val="12"/>
      <color rgb="FFFF0000"/>
      <name val="Times New Roman"/>
      <family val="1"/>
    </font>
    <font>
      <sz val="12"/>
      <color rgb="FFFF0000"/>
      <name val="PMingLiU"/>
      <family val="1"/>
      <charset val="136"/>
    </font>
    <font>
      <sz val="12"/>
      <name val="Book Antiqua"/>
      <family val="1"/>
    </font>
    <font>
      <sz val="12"/>
      <color rgb="FF000000"/>
      <name val="&quot;Times New Roman&quot;"/>
      <family val="1"/>
    </font>
    <font>
      <sz val="12"/>
      <color rgb="FFFF0000"/>
      <name val="新細明體"/>
      <family val="1"/>
      <charset val="136"/>
    </font>
    <font>
      <sz val="12"/>
      <color theme="1"/>
      <name val="細明體"/>
      <family val="3"/>
      <charset val="136"/>
    </font>
    <font>
      <sz val="12"/>
      <color rgb="FF000000"/>
      <name val="細明體"/>
      <family val="3"/>
      <charset val="136"/>
    </font>
    <font>
      <sz val="12"/>
      <name val="細明體"/>
      <family val="3"/>
      <charset val="136"/>
    </font>
    <font>
      <b/>
      <sz val="10"/>
      <color theme="1"/>
      <name val="細明體"/>
      <family val="3"/>
      <charset val="136"/>
    </font>
    <font>
      <sz val="12"/>
      <color rgb="FF000000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theme="1"/>
      <name val="Calibri"/>
      <family val="2"/>
      <charset val="136"/>
      <scheme val="minor"/>
    </font>
    <font>
      <sz val="12"/>
      <color rgb="FF000000"/>
      <name val="新細明體"/>
      <family val="1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新細明體"/>
      <family val="2"/>
      <charset val="136"/>
    </font>
    <font>
      <sz val="12"/>
      <color rgb="FF000000"/>
      <name val="Calibri"/>
      <family val="3"/>
      <charset val="136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99CC00"/>
        <bgColor rgb="FF99CC0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00B050"/>
        <bgColor rgb="FF00B050"/>
      </patternFill>
    </fill>
    <fill>
      <patternFill patternType="solid">
        <fgColor rgb="FFB749B7"/>
        <bgColor rgb="FFB749B7"/>
      </patternFill>
    </fill>
    <fill>
      <patternFill patternType="solid">
        <fgColor rgb="FFE5B8B7"/>
        <bgColor rgb="FFE5B8B7"/>
      </patternFill>
    </fill>
    <fill>
      <patternFill patternType="solid">
        <fgColor rgb="FFCCFFCC"/>
        <bgColor rgb="FFCCFFCC"/>
      </patternFill>
    </fill>
    <fill>
      <patternFill patternType="solid">
        <fgColor rgb="FFE36C09"/>
        <bgColor rgb="FFE36C09"/>
      </patternFill>
    </fill>
    <fill>
      <patternFill patternType="solid">
        <fgColor rgb="FFD99594"/>
        <bgColor rgb="FFD99594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92D050"/>
        <bgColor rgb="FF92D050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D8D8D8"/>
        <bgColor rgb="FFD8D8D8"/>
      </patternFill>
    </fill>
    <fill>
      <patternFill patternType="solid">
        <fgColor rgb="FF8DB3E2"/>
        <bgColor rgb="FF8DB3E2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B7E1CD"/>
        <bgColor rgb="FFB7E1CD"/>
      </patternFill>
    </fill>
    <fill>
      <patternFill patternType="solid">
        <fgColor rgb="FFA4C2F4"/>
        <bgColor rgb="FFA4C2F4"/>
      </patternFill>
    </fill>
    <fill>
      <patternFill patternType="solid">
        <fgColor rgb="FFF2DBDB"/>
        <bgColor rgb="FFF2DBDB"/>
      </patternFill>
    </fill>
    <fill>
      <patternFill patternType="solid">
        <fgColor rgb="FFDBE5F1"/>
        <bgColor rgb="FFDBE5F1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rgb="FFFBD4B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88402966399123"/>
        <bgColor rgb="FFFBD4B4"/>
      </patternFill>
    </fill>
    <fill>
      <patternFill patternType="solid">
        <fgColor rgb="FFFF0000"/>
        <bgColor indexed="64"/>
      </patternFill>
    </fill>
    <fill>
      <patternFill patternType="solid">
        <fgColor rgb="FFB2A1C7"/>
        <bgColor rgb="FFB2A1C7"/>
      </patternFill>
    </fill>
    <fill>
      <patternFill patternType="solid">
        <fgColor rgb="FFB4C6E7"/>
        <bgColor rgb="FFB4C6E7"/>
      </patternFill>
    </fill>
    <fill>
      <patternFill patternType="solid">
        <fgColor rgb="FFA6A6A6"/>
        <bgColor rgb="FFA6A6A6"/>
      </patternFill>
    </fill>
    <fill>
      <patternFill patternType="solid">
        <fgColor rgb="FFF8CBAD"/>
        <bgColor rgb="FFF8CBAD"/>
      </patternFill>
    </fill>
    <fill>
      <patternFill patternType="solid">
        <fgColor rgb="FF66FF66"/>
        <bgColor rgb="FF66FF66"/>
      </patternFill>
    </fill>
  </fills>
  <borders count="10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0" fillId="0" borderId="0"/>
    <xf numFmtId="0" fontId="4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</cellStyleXfs>
  <cellXfs count="1032">
    <xf numFmtId="0" fontId="0" fillId="0" borderId="0" xfId="0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5" fillId="0" borderId="12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49" fontId="5" fillId="0" borderId="23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49" fontId="5" fillId="0" borderId="20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40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37" xfId="0" applyNumberFormat="1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/>
    </xf>
    <xf numFmtId="49" fontId="5" fillId="0" borderId="38" xfId="0" applyNumberFormat="1" applyFont="1" applyBorder="1" applyAlignment="1">
      <alignment horizontal="center" vertical="center" wrapText="1"/>
    </xf>
    <xf numFmtId="49" fontId="5" fillId="0" borderId="41" xfId="0" applyNumberFormat="1" applyFont="1" applyBorder="1" applyAlignment="1">
      <alignment horizontal="center" vertical="center"/>
    </xf>
    <xf numFmtId="49" fontId="5" fillId="0" borderId="42" xfId="0" applyNumberFormat="1" applyFont="1" applyBorder="1" applyAlignment="1">
      <alignment horizontal="center" vertical="center"/>
    </xf>
    <xf numFmtId="49" fontId="5" fillId="0" borderId="43" xfId="0" applyNumberFormat="1" applyFont="1" applyBorder="1" applyAlignment="1">
      <alignment horizontal="center" vertical="center"/>
    </xf>
    <xf numFmtId="49" fontId="5" fillId="0" borderId="44" xfId="0" applyNumberFormat="1" applyFont="1" applyBorder="1" applyAlignment="1">
      <alignment horizontal="center" vertical="center"/>
    </xf>
    <xf numFmtId="49" fontId="5" fillId="0" borderId="45" xfId="0" applyNumberFormat="1" applyFont="1" applyBorder="1" applyAlignment="1">
      <alignment horizontal="center" vertical="center"/>
    </xf>
    <xf numFmtId="49" fontId="5" fillId="0" borderId="46" xfId="0" applyNumberFormat="1" applyFont="1" applyBorder="1" applyAlignment="1">
      <alignment horizontal="center" vertical="center"/>
    </xf>
    <xf numFmtId="49" fontId="5" fillId="0" borderId="47" xfId="0" applyNumberFormat="1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5" fillId="0" borderId="59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 wrapText="1"/>
    </xf>
    <xf numFmtId="0" fontId="10" fillId="0" borderId="62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49" fontId="5" fillId="0" borderId="63" xfId="0" applyNumberFormat="1" applyFont="1" applyBorder="1" applyAlignment="1">
      <alignment horizontal="center" vertical="center"/>
    </xf>
    <xf numFmtId="49" fontId="5" fillId="0" borderId="64" xfId="0" applyNumberFormat="1" applyFont="1" applyBorder="1" applyAlignment="1">
      <alignment horizontal="center" vertical="center"/>
    </xf>
    <xf numFmtId="49" fontId="5" fillId="0" borderId="65" xfId="0" applyNumberFormat="1" applyFont="1" applyBorder="1" applyAlignment="1">
      <alignment horizontal="center" vertical="center"/>
    </xf>
    <xf numFmtId="49" fontId="5" fillId="0" borderId="66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4" borderId="44" xfId="0" applyNumberFormat="1" applyFont="1" applyFill="1" applyBorder="1" applyAlignment="1">
      <alignment horizontal="center" vertical="center"/>
    </xf>
    <xf numFmtId="49" fontId="5" fillId="4" borderId="45" xfId="0" applyNumberFormat="1" applyFont="1" applyFill="1" applyBorder="1" applyAlignment="1">
      <alignment horizontal="center" vertical="center"/>
    </xf>
    <xf numFmtId="49" fontId="5" fillId="4" borderId="46" xfId="0" applyNumberFormat="1" applyFont="1" applyFill="1" applyBorder="1" applyAlignment="1">
      <alignment horizontal="center" vertical="center"/>
    </xf>
    <xf numFmtId="49" fontId="5" fillId="4" borderId="14" xfId="0" applyNumberFormat="1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4" borderId="49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5" fillId="4" borderId="68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69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5" fillId="4" borderId="5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40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64" xfId="0" applyFont="1" applyFill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52" xfId="0" applyFont="1" applyFill="1" applyBorder="1" applyAlignment="1">
      <alignment horizontal="center" vertical="center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69" xfId="0" applyFont="1" applyFill="1" applyBorder="1" applyAlignment="1">
      <alignment horizontal="center" vertical="center" wrapText="1"/>
    </xf>
    <xf numFmtId="0" fontId="5" fillId="0" borderId="70" xfId="0" applyFont="1" applyBorder="1" applyAlignment="1">
      <alignment horizontal="center" vertical="center" wrapText="1"/>
    </xf>
    <xf numFmtId="0" fontId="5" fillId="0" borderId="71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 wrapText="1"/>
    </xf>
    <xf numFmtId="0" fontId="5" fillId="0" borderId="69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  <xf numFmtId="49" fontId="12" fillId="0" borderId="62" xfId="0" applyNumberFormat="1" applyFont="1" applyBorder="1" applyAlignment="1">
      <alignment vertical="center" wrapText="1"/>
    </xf>
    <xf numFmtId="49" fontId="12" fillId="0" borderId="71" xfId="0" applyNumberFormat="1" applyFont="1" applyBorder="1" applyAlignment="1">
      <alignment vertical="center" wrapText="1"/>
    </xf>
    <xf numFmtId="0" fontId="5" fillId="0" borderId="73" xfId="0" applyFont="1" applyBorder="1" applyAlignment="1">
      <alignment horizontal="center" vertical="center" wrapText="1"/>
    </xf>
    <xf numFmtId="49" fontId="13" fillId="0" borderId="61" xfId="0" applyNumberFormat="1" applyFont="1" applyBorder="1" applyAlignment="1">
      <alignment vertical="center" wrapText="1"/>
    </xf>
    <xf numFmtId="49" fontId="13" fillId="0" borderId="73" xfId="0" applyNumberFormat="1" applyFont="1" applyBorder="1" applyAlignment="1">
      <alignment vertical="center" wrapText="1"/>
    </xf>
    <xf numFmtId="0" fontId="14" fillId="0" borderId="0" xfId="0" applyFont="1" applyAlignment="1">
      <alignment horizontal="left" vertical="center"/>
    </xf>
    <xf numFmtId="49" fontId="5" fillId="0" borderId="67" xfId="0" applyNumberFormat="1" applyFont="1" applyBorder="1" applyAlignment="1">
      <alignment horizontal="center" vertical="center"/>
    </xf>
    <xf numFmtId="49" fontId="5" fillId="0" borderId="51" xfId="0" applyNumberFormat="1" applyFont="1" applyBorder="1" applyAlignment="1">
      <alignment horizontal="center"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56" xfId="0" applyNumberFormat="1" applyFont="1" applyBorder="1" applyAlignment="1">
      <alignment horizontal="center" vertical="center"/>
    </xf>
    <xf numFmtId="49" fontId="12" fillId="0" borderId="33" xfId="0" applyNumberFormat="1" applyFont="1" applyBorder="1" applyAlignment="1">
      <alignment vertical="center" wrapText="1"/>
    </xf>
    <xf numFmtId="49" fontId="12" fillId="0" borderId="70" xfId="0" applyNumberFormat="1" applyFont="1" applyBorder="1" applyAlignment="1">
      <alignment vertical="center" wrapText="1"/>
    </xf>
    <xf numFmtId="49" fontId="13" fillId="0" borderId="39" xfId="0" applyNumberFormat="1" applyFont="1" applyBorder="1" applyAlignment="1">
      <alignment vertical="center" wrapText="1"/>
    </xf>
    <xf numFmtId="49" fontId="13" fillId="0" borderId="29" xfId="0" applyNumberFormat="1" applyFont="1" applyBorder="1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 wrapText="1"/>
    </xf>
    <xf numFmtId="49" fontId="8" fillId="0" borderId="0" xfId="0" applyNumberFormat="1" applyFont="1" applyAlignment="1">
      <alignment vertical="top" wrapText="1"/>
    </xf>
    <xf numFmtId="0" fontId="17" fillId="0" borderId="0" xfId="0" applyFont="1"/>
    <xf numFmtId="0" fontId="1" fillId="0" borderId="0" xfId="0" applyFont="1"/>
    <xf numFmtId="0" fontId="13" fillId="0" borderId="9" xfId="0" applyFont="1" applyBorder="1" applyAlignment="1">
      <alignment vertical="center"/>
    </xf>
    <xf numFmtId="0" fontId="19" fillId="0" borderId="18" xfId="0" applyFont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/>
    </xf>
    <xf numFmtId="177" fontId="11" fillId="0" borderId="18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center" vertical="center"/>
    </xf>
    <xf numFmtId="176" fontId="11" fillId="0" borderId="5" xfId="0" applyNumberFormat="1" applyFont="1" applyBorder="1" applyAlignment="1">
      <alignment horizontal="center" vertical="center"/>
    </xf>
    <xf numFmtId="180" fontId="19" fillId="7" borderId="4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177" fontId="11" fillId="0" borderId="3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77" fontId="11" fillId="0" borderId="16" xfId="0" applyNumberFormat="1" applyFont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180" fontId="19" fillId="7" borderId="0" xfId="0" applyNumberFormat="1" applyFont="1" applyFill="1" applyAlignment="1">
      <alignment horizontal="center" vertical="center"/>
    </xf>
    <xf numFmtId="0" fontId="6" fillId="0" borderId="7" xfId="0" applyFont="1" applyBorder="1" applyAlignment="1">
      <alignment horizontal="center"/>
    </xf>
    <xf numFmtId="177" fontId="11" fillId="0" borderId="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177" fontId="11" fillId="0" borderId="17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176" fontId="11" fillId="0" borderId="2" xfId="0" applyNumberFormat="1" applyFont="1" applyBorder="1" applyAlignment="1">
      <alignment horizontal="center" vertical="center"/>
    </xf>
    <xf numFmtId="180" fontId="19" fillId="7" borderId="1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177" fontId="11" fillId="0" borderId="6" xfId="0" applyNumberFormat="1" applyFont="1" applyBorder="1" applyAlignment="1">
      <alignment horizontal="center" vertical="center"/>
    </xf>
    <xf numFmtId="0" fontId="6" fillId="8" borderId="16" xfId="0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/>
    </xf>
    <xf numFmtId="176" fontId="11" fillId="0" borderId="1" xfId="0" applyNumberFormat="1" applyFont="1" applyBorder="1" applyAlignment="1">
      <alignment horizontal="center" vertical="center"/>
    </xf>
    <xf numFmtId="180" fontId="19" fillId="7" borderId="17" xfId="0" applyNumberFormat="1" applyFont="1" applyFill="1" applyBorder="1" applyAlignment="1">
      <alignment horizontal="center" vertical="center"/>
    </xf>
    <xf numFmtId="176" fontId="11" fillId="0" borderId="0" xfId="0" applyNumberFormat="1" applyFont="1" applyAlignment="1">
      <alignment horizontal="center" vertical="center"/>
    </xf>
    <xf numFmtId="180" fontId="19" fillId="7" borderId="16" xfId="0" applyNumberFormat="1" applyFont="1" applyFill="1" applyBorder="1" applyAlignment="1">
      <alignment horizontal="center" vertical="center"/>
    </xf>
    <xf numFmtId="176" fontId="11" fillId="0" borderId="4" xfId="0" applyNumberFormat="1" applyFont="1" applyBorder="1" applyAlignment="1">
      <alignment horizontal="center" vertical="center"/>
    </xf>
    <xf numFmtId="180" fontId="19" fillId="7" borderId="18" xfId="0" applyNumberFormat="1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6" fillId="10" borderId="1" xfId="0" applyFont="1" applyFill="1" applyBorder="1" applyAlignment="1">
      <alignment horizontal="center"/>
    </xf>
    <xf numFmtId="180" fontId="19" fillId="7" borderId="2" xfId="0" applyNumberFormat="1" applyFont="1" applyFill="1" applyBorder="1" applyAlignment="1">
      <alignment horizontal="center" vertical="center"/>
    </xf>
    <xf numFmtId="180" fontId="19" fillId="7" borderId="8" xfId="0" applyNumberFormat="1" applyFont="1" applyFill="1" applyBorder="1" applyAlignment="1">
      <alignment horizontal="center" vertical="center"/>
    </xf>
    <xf numFmtId="180" fontId="19" fillId="7" borderId="5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77" fontId="11" fillId="7" borderId="4" xfId="0" applyNumberFormat="1" applyFont="1" applyFill="1" applyBorder="1" applyAlignment="1">
      <alignment horizontal="center" vertical="center"/>
    </xf>
    <xf numFmtId="177" fontId="11" fillId="7" borderId="0" xfId="0" applyNumberFormat="1" applyFont="1" applyFill="1" applyAlignment="1">
      <alignment horizontal="center" vertical="center"/>
    </xf>
    <xf numFmtId="177" fontId="11" fillId="7" borderId="1" xfId="0" applyNumberFormat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76" fontId="11" fillId="5" borderId="8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19" fillId="11" borderId="8" xfId="0" applyNumberFormat="1" applyFont="1" applyFill="1" applyBorder="1" applyAlignment="1">
      <alignment horizontal="center" vertical="center"/>
    </xf>
    <xf numFmtId="176" fontId="19" fillId="11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176" fontId="11" fillId="5" borderId="0" xfId="0" applyNumberFormat="1" applyFont="1" applyFill="1" applyAlignment="1">
      <alignment horizontal="center" vertical="center"/>
    </xf>
    <xf numFmtId="0" fontId="19" fillId="11" borderId="16" xfId="0" applyFont="1" applyFill="1" applyBorder="1" applyAlignment="1">
      <alignment horizontal="center" vertical="center"/>
    </xf>
    <xf numFmtId="0" fontId="19" fillId="11" borderId="17" xfId="0" applyFont="1" applyFill="1" applyBorder="1" applyAlignment="1">
      <alignment horizontal="center" vertical="center"/>
    </xf>
    <xf numFmtId="177" fontId="21" fillId="0" borderId="0" xfId="0" applyNumberFormat="1" applyFont="1" applyAlignment="1">
      <alignment vertical="center"/>
    </xf>
    <xf numFmtId="176" fontId="6" fillId="0" borderId="0" xfId="0" applyNumberFormat="1" applyFont="1" applyAlignment="1">
      <alignment horizontal="center" vertical="center"/>
    </xf>
    <xf numFmtId="0" fontId="1" fillId="12" borderId="0" xfId="0" applyFont="1" applyFill="1"/>
    <xf numFmtId="0" fontId="1" fillId="12" borderId="1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shrinkToFit="1"/>
    </xf>
    <xf numFmtId="0" fontId="1" fillId="0" borderId="63" xfId="0" applyFont="1" applyBorder="1" applyAlignment="1">
      <alignment horizontal="center" vertical="center" shrinkToFit="1"/>
    </xf>
    <xf numFmtId="0" fontId="1" fillId="2" borderId="19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shrinkToFit="1"/>
    </xf>
    <xf numFmtId="0" fontId="1" fillId="0" borderId="28" xfId="0" applyFont="1" applyBorder="1" applyAlignment="1">
      <alignment horizontal="center" vertical="center" shrinkToFit="1"/>
    </xf>
    <xf numFmtId="0" fontId="1" fillId="2" borderId="24" xfId="0" applyFont="1" applyFill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 shrinkToFit="1"/>
    </xf>
    <xf numFmtId="0" fontId="1" fillId="0" borderId="29" xfId="0" applyFont="1" applyBorder="1" applyAlignment="1">
      <alignment horizontal="center" vertical="center" shrinkToFit="1"/>
    </xf>
    <xf numFmtId="0" fontId="1" fillId="2" borderId="36" xfId="0" applyFont="1" applyFill="1" applyBorder="1" applyAlignment="1">
      <alignment horizontal="center" vertical="center" shrinkToFit="1"/>
    </xf>
    <xf numFmtId="0" fontId="6" fillId="0" borderId="83" xfId="0" applyFont="1" applyBorder="1" applyAlignment="1">
      <alignment horizontal="center" vertical="center"/>
    </xf>
    <xf numFmtId="0" fontId="22" fillId="0" borderId="83" xfId="0" applyFont="1" applyBorder="1" applyAlignment="1">
      <alignment horizontal="center" vertical="center"/>
    </xf>
    <xf numFmtId="0" fontId="22" fillId="2" borderId="83" xfId="0" applyFont="1" applyFill="1" applyBorder="1" applyAlignment="1">
      <alignment horizontal="center" vertical="center" shrinkToFit="1"/>
    </xf>
    <xf numFmtId="181" fontId="6" fillId="13" borderId="20" xfId="0" applyNumberFormat="1" applyFont="1" applyFill="1" applyBorder="1" applyAlignment="1">
      <alignment horizontal="center" vertical="center"/>
    </xf>
    <xf numFmtId="181" fontId="6" fillId="13" borderId="63" xfId="0" applyNumberFormat="1" applyFont="1" applyFill="1" applyBorder="1" applyAlignment="1">
      <alignment horizontal="center" vertical="center"/>
    </xf>
    <xf numFmtId="20" fontId="23" fillId="4" borderId="63" xfId="0" applyNumberFormat="1" applyFont="1" applyFill="1" applyBorder="1" applyAlignment="1">
      <alignment horizontal="center" vertical="center" shrinkToFit="1"/>
    </xf>
    <xf numFmtId="49" fontId="23" fillId="4" borderId="64" xfId="0" applyNumberFormat="1" applyFont="1" applyFill="1" applyBorder="1" applyAlignment="1">
      <alignment horizontal="center" vertical="center" shrinkToFit="1"/>
    </xf>
    <xf numFmtId="20" fontId="23" fillId="4" borderId="84" xfId="0" applyNumberFormat="1" applyFont="1" applyFill="1" applyBorder="1" applyAlignment="1">
      <alignment horizontal="center" vertical="center" shrinkToFit="1"/>
    </xf>
    <xf numFmtId="20" fontId="23" fillId="2" borderId="19" xfId="0" applyNumberFormat="1" applyFont="1" applyFill="1" applyBorder="1" applyAlignment="1">
      <alignment horizontal="center" vertical="center" shrinkToFit="1"/>
    </xf>
    <xf numFmtId="181" fontId="6" fillId="13" borderId="65" xfId="0" applyNumberFormat="1" applyFont="1" applyFill="1" applyBorder="1" applyAlignment="1">
      <alignment horizontal="center" vertical="center"/>
    </xf>
    <xf numFmtId="181" fontId="6" fillId="4" borderId="7" xfId="0" applyNumberFormat="1" applyFont="1" applyFill="1" applyBorder="1" applyAlignment="1">
      <alignment horizontal="center" vertical="center"/>
    </xf>
    <xf numFmtId="20" fontId="23" fillId="14" borderId="70" xfId="0" applyNumberFormat="1" applyFont="1" applyFill="1" applyBorder="1" applyAlignment="1">
      <alignment horizontal="center" vertical="center" shrinkToFit="1"/>
    </xf>
    <xf numFmtId="49" fontId="23" fillId="14" borderId="71" xfId="0" applyNumberFormat="1" applyFont="1" applyFill="1" applyBorder="1" applyAlignment="1">
      <alignment horizontal="center" vertical="center" shrinkToFit="1"/>
    </xf>
    <xf numFmtId="20" fontId="23" fillId="14" borderId="82" xfId="0" applyNumberFormat="1" applyFont="1" applyFill="1" applyBorder="1" applyAlignment="1">
      <alignment horizontal="center" vertical="center" shrinkToFit="1"/>
    </xf>
    <xf numFmtId="0" fontId="6" fillId="0" borderId="17" xfId="0" applyFont="1" applyBorder="1" applyAlignment="1">
      <alignment horizontal="center" vertical="center"/>
    </xf>
    <xf numFmtId="181" fontId="6" fillId="4" borderId="31" xfId="0" applyNumberFormat="1" applyFont="1" applyFill="1" applyBorder="1" applyAlignment="1">
      <alignment horizontal="center" vertical="center"/>
    </xf>
    <xf numFmtId="181" fontId="6" fillId="4" borderId="70" xfId="0" applyNumberFormat="1" applyFont="1" applyFill="1" applyBorder="1" applyAlignment="1">
      <alignment horizontal="center" vertical="center"/>
    </xf>
    <xf numFmtId="20" fontId="23" fillId="0" borderId="70" xfId="0" applyNumberFormat="1" applyFont="1" applyBorder="1" applyAlignment="1">
      <alignment horizontal="center" vertical="center" shrinkToFit="1"/>
    </xf>
    <xf numFmtId="49" fontId="23" fillId="0" borderId="71" xfId="0" applyNumberFormat="1" applyFont="1" applyBorder="1" applyAlignment="1">
      <alignment horizontal="center" vertical="center" shrinkToFit="1"/>
    </xf>
    <xf numFmtId="20" fontId="23" fillId="0" borderId="82" xfId="0" applyNumberFormat="1" applyFont="1" applyBorder="1" applyAlignment="1">
      <alignment horizontal="center" vertical="center" shrinkToFit="1"/>
    </xf>
    <xf numFmtId="181" fontId="6" fillId="13" borderId="31" xfId="0" applyNumberFormat="1" applyFont="1" applyFill="1" applyBorder="1" applyAlignment="1">
      <alignment horizontal="center" vertical="center"/>
    </xf>
    <xf numFmtId="181" fontId="6" fillId="4" borderId="20" xfId="0" applyNumberFormat="1" applyFont="1" applyFill="1" applyBorder="1" applyAlignment="1">
      <alignment horizontal="center" vertical="center"/>
    </xf>
    <xf numFmtId="181" fontId="6" fillId="13" borderId="7" xfId="0" applyNumberFormat="1" applyFont="1" applyFill="1" applyBorder="1" applyAlignment="1">
      <alignment horizontal="center" vertical="center"/>
    </xf>
    <xf numFmtId="20" fontId="23" fillId="4" borderId="70" xfId="0" applyNumberFormat="1" applyFont="1" applyFill="1" applyBorder="1" applyAlignment="1">
      <alignment horizontal="center" vertical="center" shrinkToFit="1"/>
    </xf>
    <xf numFmtId="49" fontId="23" fillId="4" borderId="71" xfId="0" applyNumberFormat="1" applyFont="1" applyFill="1" applyBorder="1" applyAlignment="1">
      <alignment horizontal="center" vertical="center" shrinkToFit="1"/>
    </xf>
    <xf numFmtId="20" fontId="23" fillId="4" borderId="82" xfId="0" applyNumberFormat="1" applyFont="1" applyFill="1" applyBorder="1" applyAlignment="1">
      <alignment horizontal="center" vertical="center" shrinkToFit="1"/>
    </xf>
    <xf numFmtId="181" fontId="6" fillId="4" borderId="53" xfId="0" applyNumberFormat="1" applyFont="1" applyFill="1" applyBorder="1" applyAlignment="1">
      <alignment horizontal="center" vertical="center"/>
    </xf>
    <xf numFmtId="181" fontId="6" fillId="4" borderId="6" xfId="0" applyNumberFormat="1" applyFont="1" applyFill="1" applyBorder="1" applyAlignment="1">
      <alignment horizontal="center" vertical="center"/>
    </xf>
    <xf numFmtId="181" fontId="6" fillId="4" borderId="63" xfId="0" applyNumberFormat="1" applyFont="1" applyFill="1" applyBorder="1" applyAlignment="1">
      <alignment horizontal="center" vertical="center"/>
    </xf>
    <xf numFmtId="181" fontId="6" fillId="4" borderId="65" xfId="0" applyNumberFormat="1" applyFont="1" applyFill="1" applyBorder="1" applyAlignment="1">
      <alignment horizontal="center" vertical="center"/>
    </xf>
    <xf numFmtId="20" fontId="23" fillId="4" borderId="7" xfId="0" applyNumberFormat="1" applyFont="1" applyFill="1" applyBorder="1" applyAlignment="1">
      <alignment horizontal="center" vertical="center" shrinkToFit="1"/>
    </xf>
    <xf numFmtId="49" fontId="23" fillId="4" borderId="0" xfId="0" applyNumberFormat="1" applyFont="1" applyFill="1" applyAlignment="1">
      <alignment horizontal="center" vertical="center" shrinkToFit="1"/>
    </xf>
    <xf numFmtId="20" fontId="23" fillId="4" borderId="8" xfId="0" applyNumberFormat="1" applyFont="1" applyFill="1" applyBorder="1" applyAlignment="1">
      <alignment horizontal="center" vertical="center" shrinkToFit="1"/>
    </xf>
    <xf numFmtId="20" fontId="23" fillId="15" borderId="84" xfId="0" applyNumberFormat="1" applyFont="1" applyFill="1" applyBorder="1" applyAlignment="1">
      <alignment horizontal="center" vertical="center" shrinkToFit="1"/>
    </xf>
    <xf numFmtId="20" fontId="23" fillId="16" borderId="63" xfId="0" applyNumberFormat="1" applyFont="1" applyFill="1" applyBorder="1" applyAlignment="1">
      <alignment horizontal="center" vertical="center" shrinkToFit="1"/>
    </xf>
    <xf numFmtId="49" fontId="23" fillId="16" borderId="64" xfId="0" applyNumberFormat="1" applyFont="1" applyFill="1" applyBorder="1" applyAlignment="1">
      <alignment horizontal="center" vertical="center" shrinkToFit="1"/>
    </xf>
    <xf numFmtId="20" fontId="23" fillId="16" borderId="84" xfId="0" applyNumberFormat="1" applyFont="1" applyFill="1" applyBorder="1" applyAlignment="1">
      <alignment horizontal="center" vertical="center" shrinkToFit="1"/>
    </xf>
    <xf numFmtId="181" fontId="6" fillId="13" borderId="25" xfId="0" applyNumberFormat="1" applyFont="1" applyFill="1" applyBorder="1" applyAlignment="1">
      <alignment horizontal="center" vertical="center"/>
    </xf>
    <xf numFmtId="181" fontId="6" fillId="4" borderId="28" xfId="0" applyNumberFormat="1" applyFont="1" applyFill="1" applyBorder="1" applyAlignment="1">
      <alignment horizontal="center" vertical="center"/>
    </xf>
    <xf numFmtId="181" fontId="6" fillId="0" borderId="70" xfId="0" applyNumberFormat="1" applyFont="1" applyBorder="1" applyAlignment="1">
      <alignment horizontal="center" vertical="center"/>
    </xf>
    <xf numFmtId="181" fontId="6" fillId="0" borderId="65" xfId="0" applyNumberFormat="1" applyFont="1" applyBorder="1" applyAlignment="1">
      <alignment horizontal="center" vertical="center"/>
    </xf>
    <xf numFmtId="181" fontId="6" fillId="0" borderId="7" xfId="0" applyNumberFormat="1" applyFont="1" applyBorder="1" applyAlignment="1">
      <alignment horizontal="center" vertical="center"/>
    </xf>
    <xf numFmtId="20" fontId="23" fillId="15" borderId="8" xfId="0" applyNumberFormat="1" applyFont="1" applyFill="1" applyBorder="1" applyAlignment="1">
      <alignment horizontal="center" vertical="center" shrinkToFit="1"/>
    </xf>
    <xf numFmtId="181" fontId="6" fillId="0" borderId="31" xfId="0" applyNumberFormat="1" applyFont="1" applyBorder="1" applyAlignment="1">
      <alignment horizontal="center" vertical="center"/>
    </xf>
    <xf numFmtId="20" fontId="23" fillId="0" borderId="63" xfId="0" applyNumberFormat="1" applyFont="1" applyBorder="1" applyAlignment="1">
      <alignment horizontal="center" vertical="center" shrinkToFit="1"/>
    </xf>
    <xf numFmtId="20" fontId="23" fillId="0" borderId="84" xfId="0" applyNumberFormat="1" applyFont="1" applyBorder="1" applyAlignment="1">
      <alignment horizontal="center" vertical="center" shrinkToFit="1"/>
    </xf>
    <xf numFmtId="20" fontId="23" fillId="2" borderId="30" xfId="0" applyNumberFormat="1" applyFont="1" applyFill="1" applyBorder="1" applyAlignment="1">
      <alignment horizontal="center" vertical="center" shrinkToFit="1"/>
    </xf>
    <xf numFmtId="181" fontId="6" fillId="13" borderId="19" xfId="0" applyNumberFormat="1" applyFont="1" applyFill="1" applyBorder="1" applyAlignment="1">
      <alignment horizontal="center" vertical="center"/>
    </xf>
    <xf numFmtId="181" fontId="6" fillId="4" borderId="17" xfId="0" applyNumberFormat="1" applyFont="1" applyFill="1" applyBorder="1" applyAlignment="1">
      <alignment horizontal="center" vertical="center"/>
    </xf>
    <xf numFmtId="181" fontId="6" fillId="4" borderId="1" xfId="0" applyNumberFormat="1" applyFont="1" applyFill="1" applyBorder="1" applyAlignment="1">
      <alignment horizontal="center" vertical="center"/>
    </xf>
    <xf numFmtId="20" fontId="23" fillId="4" borderId="1" xfId="0" applyNumberFormat="1" applyFont="1" applyFill="1" applyBorder="1" applyAlignment="1">
      <alignment horizontal="center" vertical="center" shrinkToFit="1"/>
    </xf>
    <xf numFmtId="49" fontId="23" fillId="4" borderId="1" xfId="0" applyNumberFormat="1" applyFont="1" applyFill="1" applyBorder="1" applyAlignment="1">
      <alignment horizontal="center" vertical="center" shrinkToFit="1"/>
    </xf>
    <xf numFmtId="20" fontId="23" fillId="4" borderId="2" xfId="0" applyNumberFormat="1" applyFont="1" applyFill="1" applyBorder="1" applyAlignment="1">
      <alignment horizontal="center" vertical="center" shrinkToFit="1"/>
    </xf>
    <xf numFmtId="20" fontId="23" fillId="2" borderId="17" xfId="0" applyNumberFormat="1" applyFont="1" applyFill="1" applyBorder="1" applyAlignment="1">
      <alignment horizontal="center" vertical="center" shrinkToFit="1"/>
    </xf>
    <xf numFmtId="181" fontId="6" fillId="13" borderId="17" xfId="0" applyNumberFormat="1" applyFont="1" applyFill="1" applyBorder="1" applyAlignment="1">
      <alignment horizontal="center" vertical="center"/>
    </xf>
    <xf numFmtId="181" fontId="6" fillId="4" borderId="19" xfId="0" applyNumberFormat="1" applyFont="1" applyFill="1" applyBorder="1" applyAlignment="1">
      <alignment horizontal="center" vertical="center"/>
    </xf>
    <xf numFmtId="181" fontId="6" fillId="13" borderId="70" xfId="0" applyNumberFormat="1" applyFont="1" applyFill="1" applyBorder="1" applyAlignment="1">
      <alignment horizontal="center" vertical="center"/>
    </xf>
    <xf numFmtId="181" fontId="6" fillId="13" borderId="30" xfId="0" applyNumberFormat="1" applyFont="1" applyFill="1" applyBorder="1" applyAlignment="1">
      <alignment horizontal="center" vertical="center"/>
    </xf>
    <xf numFmtId="0" fontId="21" fillId="0" borderId="0" xfId="0" applyFont="1"/>
    <xf numFmtId="0" fontId="24" fillId="0" borderId="0" xfId="0" applyFont="1"/>
    <xf numFmtId="181" fontId="1" fillId="13" borderId="0" xfId="0" applyNumberFormat="1" applyFont="1" applyFill="1" applyAlignment="1">
      <alignment horizontal="center" vertical="center"/>
    </xf>
    <xf numFmtId="0" fontId="21" fillId="14" borderId="0" xfId="0" applyFont="1" applyFill="1" applyAlignment="1">
      <alignment horizontal="center"/>
    </xf>
    <xf numFmtId="181" fontId="21" fillId="12" borderId="0" xfId="0" applyNumberFormat="1" applyFont="1" applyFill="1"/>
    <xf numFmtId="181" fontId="21" fillId="0" borderId="0" xfId="0" applyNumberFormat="1" applyFont="1"/>
    <xf numFmtId="179" fontId="24" fillId="12" borderId="0" xfId="0" applyNumberFormat="1" applyFont="1" applyFill="1"/>
    <xf numFmtId="0" fontId="25" fillId="12" borderId="0" xfId="0" applyFont="1" applyFill="1"/>
    <xf numFmtId="0" fontId="1" fillId="12" borderId="0" xfId="0" applyFont="1" applyFill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shrinkToFit="1"/>
    </xf>
    <xf numFmtId="0" fontId="11" fillId="2" borderId="17" xfId="0" applyFont="1" applyFill="1" applyBorder="1" applyAlignment="1">
      <alignment horizontal="center" vertical="center" shrinkToFit="1"/>
    </xf>
    <xf numFmtId="20" fontId="23" fillId="17" borderId="63" xfId="0" applyNumberFormat="1" applyFont="1" applyFill="1" applyBorder="1" applyAlignment="1">
      <alignment horizontal="center" vertical="center" shrinkToFit="1"/>
    </xf>
    <xf numFmtId="49" fontId="23" fillId="17" borderId="64" xfId="0" applyNumberFormat="1" applyFont="1" applyFill="1" applyBorder="1" applyAlignment="1">
      <alignment horizontal="center" vertical="center" shrinkToFit="1"/>
    </xf>
    <xf numFmtId="20" fontId="23" fillId="17" borderId="84" xfId="0" applyNumberFormat="1" applyFont="1" applyFill="1" applyBorder="1" applyAlignment="1">
      <alignment horizontal="center" vertical="center" shrinkToFit="1"/>
    </xf>
    <xf numFmtId="20" fontId="23" fillId="2" borderId="63" xfId="0" applyNumberFormat="1" applyFont="1" applyFill="1" applyBorder="1" applyAlignment="1">
      <alignment horizontal="center" vertical="center" shrinkToFit="1"/>
    </xf>
    <xf numFmtId="179" fontId="6" fillId="4" borderId="20" xfId="0" applyNumberFormat="1" applyFont="1" applyFill="1" applyBorder="1" applyAlignment="1">
      <alignment horizontal="center" vertical="center"/>
    </xf>
    <xf numFmtId="20" fontId="23" fillId="17" borderId="7" xfId="0" applyNumberFormat="1" applyFont="1" applyFill="1" applyBorder="1" applyAlignment="1">
      <alignment horizontal="center" vertical="center" shrinkToFit="1"/>
    </xf>
    <xf numFmtId="49" fontId="23" fillId="17" borderId="0" xfId="0" applyNumberFormat="1" applyFont="1" applyFill="1" applyAlignment="1">
      <alignment horizontal="center" vertical="center" shrinkToFit="1"/>
    </xf>
    <xf numFmtId="20" fontId="23" fillId="17" borderId="8" xfId="0" applyNumberFormat="1" applyFont="1" applyFill="1" applyBorder="1" applyAlignment="1">
      <alignment horizontal="center" vertical="center" shrinkToFit="1"/>
    </xf>
    <xf numFmtId="20" fontId="23" fillId="2" borderId="7" xfId="0" applyNumberFormat="1" applyFont="1" applyFill="1" applyBorder="1" applyAlignment="1">
      <alignment horizontal="center" vertical="center" shrinkToFit="1"/>
    </xf>
    <xf numFmtId="179" fontId="6" fillId="4" borderId="65" xfId="0" applyNumberFormat="1" applyFont="1" applyFill="1" applyBorder="1" applyAlignment="1">
      <alignment horizontal="center" vertical="center"/>
    </xf>
    <xf numFmtId="20" fontId="23" fillId="0" borderId="7" xfId="0" applyNumberFormat="1" applyFont="1" applyBorder="1" applyAlignment="1">
      <alignment horizontal="center" vertical="center" shrinkToFit="1"/>
    </xf>
    <xf numFmtId="179" fontId="6" fillId="4" borderId="31" xfId="0" applyNumberFormat="1" applyFont="1" applyFill="1" applyBorder="1" applyAlignment="1">
      <alignment horizontal="center" vertical="center"/>
    </xf>
    <xf numFmtId="179" fontId="6" fillId="4" borderId="57" xfId="0" applyNumberFormat="1" applyFont="1" applyFill="1" applyBorder="1" applyAlignment="1">
      <alignment horizontal="center" vertical="center"/>
    </xf>
    <xf numFmtId="20" fontId="23" fillId="0" borderId="35" xfId="0" applyNumberFormat="1" applyFont="1" applyBorder="1" applyAlignment="1">
      <alignment horizontal="center" vertical="center" shrinkToFit="1"/>
    </xf>
    <xf numFmtId="20" fontId="23" fillId="2" borderId="35" xfId="0" applyNumberFormat="1" applyFont="1" applyFill="1" applyBorder="1" applyAlignment="1">
      <alignment horizontal="center" vertical="center" shrinkToFit="1"/>
    </xf>
    <xf numFmtId="20" fontId="23" fillId="2" borderId="24" xfId="0" applyNumberFormat="1" applyFont="1" applyFill="1" applyBorder="1" applyAlignment="1">
      <alignment horizontal="center" vertical="center" shrinkToFit="1"/>
    </xf>
    <xf numFmtId="20" fontId="23" fillId="0" borderId="28" xfId="0" applyNumberFormat="1" applyFont="1" applyBorder="1" applyAlignment="1">
      <alignment horizontal="center" vertical="center" shrinkToFit="1"/>
    </xf>
    <xf numFmtId="20" fontId="23" fillId="2" borderId="28" xfId="0" applyNumberFormat="1" applyFont="1" applyFill="1" applyBorder="1" applyAlignment="1">
      <alignment horizontal="center" vertical="center" shrinkToFit="1"/>
    </xf>
    <xf numFmtId="179" fontId="6" fillId="4" borderId="25" xfId="0" applyNumberFormat="1" applyFont="1" applyFill="1" applyBorder="1" applyAlignment="1">
      <alignment horizontal="center" vertical="center"/>
    </xf>
    <xf numFmtId="20" fontId="23" fillId="2" borderId="70" xfId="0" applyNumberFormat="1" applyFont="1" applyFill="1" applyBorder="1" applyAlignment="1">
      <alignment horizontal="center" vertical="center" shrinkToFit="1"/>
    </xf>
    <xf numFmtId="20" fontId="23" fillId="4" borderId="28" xfId="0" applyNumberFormat="1" applyFont="1" applyFill="1" applyBorder="1" applyAlignment="1">
      <alignment horizontal="center" vertical="center" shrinkToFit="1"/>
    </xf>
    <xf numFmtId="49" fontId="23" fillId="4" borderId="69" xfId="0" applyNumberFormat="1" applyFont="1" applyFill="1" applyBorder="1" applyAlignment="1">
      <alignment horizontal="center" vertical="center" shrinkToFit="1"/>
    </xf>
    <xf numFmtId="20" fontId="23" fillId="4" borderId="85" xfId="0" applyNumberFormat="1" applyFont="1" applyFill="1" applyBorder="1" applyAlignment="1">
      <alignment horizontal="center" vertical="center" shrinkToFit="1"/>
    </xf>
    <xf numFmtId="20" fontId="23" fillId="4" borderId="3" xfId="0" applyNumberFormat="1" applyFont="1" applyFill="1" applyBorder="1" applyAlignment="1">
      <alignment horizontal="center" vertical="center" shrinkToFit="1"/>
    </xf>
    <xf numFmtId="179" fontId="6" fillId="0" borderId="31" xfId="0" applyNumberFormat="1" applyFont="1" applyBorder="1" applyAlignment="1">
      <alignment horizontal="center" vertical="center"/>
    </xf>
    <xf numFmtId="20" fontId="23" fillId="4" borderId="64" xfId="0" applyNumberFormat="1" applyFont="1" applyFill="1" applyBorder="1" applyAlignment="1">
      <alignment horizontal="center" vertical="center" shrinkToFit="1"/>
    </xf>
    <xf numFmtId="179" fontId="6" fillId="0" borderId="53" xfId="0" applyNumberFormat="1" applyFont="1" applyBorder="1" applyAlignment="1">
      <alignment horizontal="center" vertical="center"/>
    </xf>
    <xf numFmtId="20" fontId="23" fillId="0" borderId="6" xfId="0" applyNumberFormat="1" applyFont="1" applyBorder="1" applyAlignment="1">
      <alignment horizontal="center" vertical="center" shrinkToFit="1"/>
    </xf>
    <xf numFmtId="179" fontId="6" fillId="0" borderId="20" xfId="0" applyNumberFormat="1" applyFont="1" applyBorder="1" applyAlignment="1">
      <alignment horizontal="center" vertical="center"/>
    </xf>
    <xf numFmtId="20" fontId="23" fillId="0" borderId="3" xfId="0" applyNumberFormat="1" applyFont="1" applyBorder="1" applyAlignment="1">
      <alignment horizontal="center" vertical="center" shrinkToFit="1"/>
    </xf>
    <xf numFmtId="20" fontId="23" fillId="2" borderId="0" xfId="0" applyNumberFormat="1" applyFont="1" applyFill="1" applyAlignment="1">
      <alignment horizontal="center" vertical="center" shrinkToFit="1"/>
    </xf>
    <xf numFmtId="0" fontId="1" fillId="4" borderId="0" xfId="0" applyFont="1" applyFill="1" applyAlignment="1">
      <alignment horizontal="center" vertical="center"/>
    </xf>
    <xf numFmtId="0" fontId="21" fillId="12" borderId="0" xfId="0" applyFont="1" applyFill="1"/>
    <xf numFmtId="0" fontId="15" fillId="2" borderId="83" xfId="0" applyFont="1" applyFill="1" applyBorder="1" applyAlignment="1">
      <alignment horizontal="center" vertical="center" shrinkToFit="1"/>
    </xf>
    <xf numFmtId="49" fontId="23" fillId="0" borderId="64" xfId="0" applyNumberFormat="1" applyFont="1" applyBorder="1" applyAlignment="1">
      <alignment horizontal="center" vertical="center" shrinkToFit="1"/>
    </xf>
    <xf numFmtId="49" fontId="23" fillId="0" borderId="0" xfId="0" applyNumberFormat="1" applyFont="1" applyAlignment="1">
      <alignment horizontal="center" vertical="center" shrinkToFit="1"/>
    </xf>
    <xf numFmtId="20" fontId="23" fillId="0" borderId="0" xfId="0" applyNumberFormat="1" applyFont="1" applyAlignment="1">
      <alignment horizontal="center" vertical="center" shrinkToFit="1"/>
    </xf>
    <xf numFmtId="20" fontId="23" fillId="0" borderId="71" xfId="0" applyNumberFormat="1" applyFont="1" applyBorder="1" applyAlignment="1">
      <alignment horizontal="center" vertical="center" shrinkToFit="1"/>
    </xf>
    <xf numFmtId="49" fontId="23" fillId="0" borderId="72" xfId="0" applyNumberFormat="1" applyFont="1" applyBorder="1" applyAlignment="1">
      <alignment horizontal="center" vertical="center" shrinkToFit="1"/>
    </xf>
    <xf numFmtId="20" fontId="23" fillId="0" borderId="79" xfId="0" applyNumberFormat="1" applyFont="1" applyBorder="1" applyAlignment="1">
      <alignment horizontal="center" vertical="center" shrinkToFit="1"/>
    </xf>
    <xf numFmtId="20" fontId="23" fillId="2" borderId="23" xfId="0" applyNumberFormat="1" applyFont="1" applyFill="1" applyBorder="1" applyAlignment="1">
      <alignment horizontal="center" vertical="center" shrinkToFit="1"/>
    </xf>
    <xf numFmtId="20" fontId="23" fillId="0" borderId="72" xfId="0" applyNumberFormat="1" applyFont="1" applyBorder="1" applyAlignment="1">
      <alignment horizontal="center" vertical="center" shrinkToFit="1"/>
    </xf>
    <xf numFmtId="49" fontId="23" fillId="0" borderId="69" xfId="0" applyNumberFormat="1" applyFont="1" applyBorder="1" applyAlignment="1">
      <alignment horizontal="center" vertical="center" shrinkToFit="1"/>
    </xf>
    <xf numFmtId="20" fontId="23" fillId="0" borderId="69" xfId="0" applyNumberFormat="1" applyFont="1" applyBorder="1" applyAlignment="1">
      <alignment horizontal="center" vertical="center" shrinkToFit="1"/>
    </xf>
    <xf numFmtId="20" fontId="23" fillId="0" borderId="64" xfId="0" applyNumberFormat="1" applyFont="1" applyBorder="1" applyAlignment="1">
      <alignment horizontal="center" vertical="center" shrinkToFit="1"/>
    </xf>
    <xf numFmtId="20" fontId="23" fillId="0" borderId="85" xfId="0" applyNumberFormat="1" applyFont="1" applyBorder="1" applyAlignment="1">
      <alignment horizontal="center" vertical="center" shrinkToFit="1"/>
    </xf>
    <xf numFmtId="20" fontId="23" fillId="4" borderId="71" xfId="0" applyNumberFormat="1" applyFont="1" applyFill="1" applyBorder="1" applyAlignment="1">
      <alignment horizontal="center" vertical="center" shrinkToFit="1"/>
    </xf>
    <xf numFmtId="181" fontId="6" fillId="16" borderId="31" xfId="0" applyNumberFormat="1" applyFont="1" applyFill="1" applyBorder="1" applyAlignment="1">
      <alignment horizontal="center" vertical="center"/>
    </xf>
    <xf numFmtId="20" fontId="23" fillId="16" borderId="70" xfId="0" applyNumberFormat="1" applyFont="1" applyFill="1" applyBorder="1" applyAlignment="1">
      <alignment horizontal="center" vertical="center" shrinkToFit="1"/>
    </xf>
    <xf numFmtId="49" fontId="23" fillId="16" borderId="71" xfId="0" applyNumberFormat="1" applyFont="1" applyFill="1" applyBorder="1" applyAlignment="1">
      <alignment horizontal="center" vertical="center" shrinkToFit="1"/>
    </xf>
    <xf numFmtId="20" fontId="23" fillId="16" borderId="82" xfId="0" applyNumberFormat="1" applyFont="1" applyFill="1" applyBorder="1" applyAlignment="1">
      <alignment horizontal="center" vertical="center" shrinkToFit="1"/>
    </xf>
    <xf numFmtId="49" fontId="23" fillId="4" borderId="4" xfId="0" applyNumberFormat="1" applyFont="1" applyFill="1" applyBorder="1" applyAlignment="1">
      <alignment horizontal="center" vertical="center" shrinkToFit="1"/>
    </xf>
    <xf numFmtId="20" fontId="23" fillId="4" borderId="4" xfId="0" applyNumberFormat="1" applyFont="1" applyFill="1" applyBorder="1" applyAlignment="1">
      <alignment horizontal="center" vertical="center" shrinkToFit="1"/>
    </xf>
    <xf numFmtId="20" fontId="23" fillId="2" borderId="18" xfId="0" applyNumberFormat="1" applyFont="1" applyFill="1" applyBorder="1" applyAlignment="1">
      <alignment horizontal="center" vertical="center" shrinkToFit="1"/>
    </xf>
    <xf numFmtId="20" fontId="23" fillId="14" borderId="71" xfId="0" applyNumberFormat="1" applyFont="1" applyFill="1" applyBorder="1" applyAlignment="1">
      <alignment horizontal="center" vertical="center" shrinkToFit="1"/>
    </xf>
    <xf numFmtId="20" fontId="23" fillId="0" borderId="8" xfId="0" applyNumberFormat="1" applyFont="1" applyBorder="1" applyAlignment="1">
      <alignment horizontal="center" vertical="center" shrinkToFit="1"/>
    </xf>
    <xf numFmtId="20" fontId="23" fillId="4" borderId="0" xfId="0" applyNumberFormat="1" applyFont="1" applyFill="1" applyAlignment="1">
      <alignment horizontal="center" vertical="center" shrinkToFit="1"/>
    </xf>
    <xf numFmtId="20" fontId="23" fillId="4" borderId="5" xfId="0" applyNumberFormat="1" applyFont="1" applyFill="1" applyBorder="1" applyAlignment="1">
      <alignment horizontal="center" vertical="center" shrinkToFit="1"/>
    </xf>
    <xf numFmtId="20" fontId="23" fillId="2" borderId="4" xfId="0" applyNumberFormat="1" applyFont="1" applyFill="1" applyBorder="1" applyAlignment="1">
      <alignment horizontal="center" vertical="center" shrinkToFit="1"/>
    </xf>
    <xf numFmtId="20" fontId="23" fillId="2" borderId="82" xfId="0" applyNumberFormat="1" applyFont="1" applyFill="1" applyBorder="1" applyAlignment="1">
      <alignment horizontal="center" vertical="center" shrinkToFit="1"/>
    </xf>
    <xf numFmtId="20" fontId="23" fillId="2" borderId="36" xfId="0" applyNumberFormat="1" applyFont="1" applyFill="1" applyBorder="1" applyAlignment="1">
      <alignment horizontal="center" vertical="center" shrinkToFit="1"/>
    </xf>
    <xf numFmtId="49" fontId="23" fillId="0" borderId="1" xfId="0" applyNumberFormat="1" applyFont="1" applyBorder="1" applyAlignment="1">
      <alignment horizontal="center" vertical="center" shrinkToFit="1"/>
    </xf>
    <xf numFmtId="20" fontId="23" fillId="0" borderId="1" xfId="0" applyNumberFormat="1" applyFont="1" applyBorder="1" applyAlignment="1">
      <alignment horizontal="center" vertical="center" shrinkToFit="1"/>
    </xf>
    <xf numFmtId="20" fontId="23" fillId="2" borderId="6" xfId="0" applyNumberFormat="1" applyFont="1" applyFill="1" applyBorder="1" applyAlignment="1">
      <alignment horizontal="center" vertical="center" shrinkToFit="1"/>
    </xf>
    <xf numFmtId="179" fontId="6" fillId="4" borderId="53" xfId="0" applyNumberFormat="1" applyFont="1" applyFill="1" applyBorder="1" applyAlignment="1">
      <alignment horizontal="center" vertical="center"/>
    </xf>
    <xf numFmtId="20" fontId="23" fillId="2" borderId="85" xfId="0" applyNumberFormat="1" applyFont="1" applyFill="1" applyBorder="1" applyAlignment="1">
      <alignment horizontal="center" vertical="center" shrinkToFit="1"/>
    </xf>
    <xf numFmtId="49" fontId="23" fillId="0" borderId="4" xfId="0" applyNumberFormat="1" applyFont="1" applyBorder="1" applyAlignment="1">
      <alignment horizontal="center" vertical="center" shrinkToFit="1"/>
    </xf>
    <xf numFmtId="20" fontId="23" fillId="0" borderId="5" xfId="0" applyNumberFormat="1" applyFont="1" applyBorder="1" applyAlignment="1">
      <alignment horizontal="center" vertical="center" shrinkToFit="1"/>
    </xf>
    <xf numFmtId="0" fontId="21" fillId="4" borderId="0" xfId="0" applyFont="1" applyFill="1"/>
    <xf numFmtId="0" fontId="21" fillId="0" borderId="0" xfId="0" applyFont="1" applyAlignment="1">
      <alignment horizontal="center"/>
    </xf>
    <xf numFmtId="0" fontId="6" fillId="4" borderId="16" xfId="0" applyFont="1" applyFill="1" applyBorder="1" applyAlignment="1">
      <alignment horizontal="center" vertical="center" shrinkToFit="1"/>
    </xf>
    <xf numFmtId="0" fontId="6" fillId="4" borderId="17" xfId="0" applyFont="1" applyFill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 shrinkToFit="1"/>
    </xf>
    <xf numFmtId="0" fontId="23" fillId="0" borderId="19" xfId="0" applyFont="1" applyBorder="1" applyAlignment="1">
      <alignment horizontal="center" vertical="center"/>
    </xf>
    <xf numFmtId="0" fontId="23" fillId="14" borderId="30" xfId="0" applyFont="1" applyFill="1" applyBorder="1" applyAlignment="1">
      <alignment horizontal="center" vertical="center" shrinkToFit="1"/>
    </xf>
    <xf numFmtId="0" fontId="23" fillId="0" borderId="8" xfId="0" applyFont="1" applyBorder="1" applyAlignment="1">
      <alignment horizontal="center" vertical="center" shrinkToFit="1"/>
    </xf>
    <xf numFmtId="0" fontId="23" fillId="0" borderId="16" xfId="0" applyFont="1" applyBorder="1" applyAlignment="1">
      <alignment horizontal="center" vertical="center" shrinkToFit="1"/>
    </xf>
    <xf numFmtId="0" fontId="23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3" fillId="0" borderId="30" xfId="0" applyFont="1" applyBorder="1" applyAlignment="1">
      <alignment horizontal="center" vertical="center" shrinkToFit="1"/>
    </xf>
    <xf numFmtId="0" fontId="23" fillId="0" borderId="82" xfId="0" applyFont="1" applyBorder="1" applyAlignment="1">
      <alignment horizontal="center" vertical="center" shrinkToFit="1"/>
    </xf>
    <xf numFmtId="0" fontId="23" fillId="0" borderId="30" xfId="0" applyFont="1" applyBorder="1" applyAlignment="1">
      <alignment horizontal="center" vertical="center"/>
    </xf>
    <xf numFmtId="20" fontId="23" fillId="14" borderId="30" xfId="0" applyNumberFormat="1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3" fillId="14" borderId="30" xfId="0" applyFont="1" applyFill="1" applyBorder="1" applyAlignment="1">
      <alignment horizontal="center" vertical="center"/>
    </xf>
    <xf numFmtId="0" fontId="23" fillId="0" borderId="23" xfId="0" applyFont="1" applyBorder="1" applyAlignment="1">
      <alignment horizontal="center" vertical="center" shrinkToFit="1"/>
    </xf>
    <xf numFmtId="0" fontId="23" fillId="0" borderId="35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1" fillId="13" borderId="16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 shrinkToFit="1"/>
    </xf>
    <xf numFmtId="0" fontId="23" fillId="0" borderId="28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23" fillId="14" borderId="24" xfId="0" applyFont="1" applyFill="1" applyBorder="1" applyAlignment="1">
      <alignment horizontal="center" vertical="center" shrinkToFit="1"/>
    </xf>
    <xf numFmtId="0" fontId="23" fillId="0" borderId="63" xfId="0" applyFont="1" applyBorder="1" applyAlignment="1">
      <alignment horizontal="center" vertical="center" wrapText="1"/>
    </xf>
    <xf numFmtId="0" fontId="23" fillId="4" borderId="24" xfId="0" applyFont="1" applyFill="1" applyBorder="1" applyAlignment="1">
      <alignment horizontal="center" vertical="center" shrinkToFit="1"/>
    </xf>
    <xf numFmtId="0" fontId="23" fillId="16" borderId="28" xfId="0" applyFont="1" applyFill="1" applyBorder="1" applyAlignment="1">
      <alignment horizontal="center" vertical="center" shrinkToFit="1"/>
    </xf>
    <xf numFmtId="0" fontId="23" fillId="14" borderId="85" xfId="0" applyFont="1" applyFill="1" applyBorder="1" applyAlignment="1">
      <alignment horizontal="center" vertical="center" shrinkToFit="1"/>
    </xf>
    <xf numFmtId="0" fontId="23" fillId="4" borderId="28" xfId="0" applyFont="1" applyFill="1" applyBorder="1" applyAlignment="1">
      <alignment horizontal="center" vertical="center" shrinkToFit="1"/>
    </xf>
    <xf numFmtId="0" fontId="23" fillId="4" borderId="24" xfId="0" applyFont="1" applyFill="1" applyBorder="1" applyAlignment="1">
      <alignment horizontal="center" vertical="center"/>
    </xf>
    <xf numFmtId="0" fontId="23" fillId="4" borderId="19" xfId="0" applyFont="1" applyFill="1" applyBorder="1" applyAlignment="1">
      <alignment horizontal="center" vertical="center" shrinkToFit="1"/>
    </xf>
    <xf numFmtId="0" fontId="23" fillId="4" borderId="19" xfId="0" applyFont="1" applyFill="1" applyBorder="1" applyAlignment="1">
      <alignment horizontal="center" vertical="center"/>
    </xf>
    <xf numFmtId="0" fontId="23" fillId="14" borderId="23" xfId="0" applyFont="1" applyFill="1" applyBorder="1" applyAlignment="1">
      <alignment horizontal="center" vertical="center" shrinkToFit="1"/>
    </xf>
    <xf numFmtId="0" fontId="23" fillId="4" borderId="23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 shrinkToFit="1"/>
    </xf>
    <xf numFmtId="0" fontId="23" fillId="0" borderId="84" xfId="0" applyFont="1" applyBorder="1" applyAlignment="1">
      <alignment horizontal="center" vertical="center" shrinkToFit="1"/>
    </xf>
    <xf numFmtId="0" fontId="23" fillId="0" borderId="85" xfId="0" applyFont="1" applyBorder="1" applyAlignment="1">
      <alignment horizontal="center" vertical="center" shrinkToFit="1"/>
    </xf>
    <xf numFmtId="0" fontId="23" fillId="0" borderId="28" xfId="0" applyFont="1" applyBorder="1" applyAlignment="1">
      <alignment horizontal="center" vertical="center" wrapText="1"/>
    </xf>
    <xf numFmtId="20" fontId="23" fillId="0" borderId="24" xfId="0" applyNumberFormat="1" applyFont="1" applyBorder="1" applyAlignment="1">
      <alignment horizontal="center" vertical="center"/>
    </xf>
    <xf numFmtId="0" fontId="23" fillId="16" borderId="24" xfId="0" applyFont="1" applyFill="1" applyBorder="1" applyAlignment="1">
      <alignment horizontal="center" vertical="center"/>
    </xf>
    <xf numFmtId="0" fontId="1" fillId="18" borderId="16" xfId="0" applyFont="1" applyFill="1" applyBorder="1" applyAlignment="1">
      <alignment horizontal="center" vertical="center"/>
    </xf>
    <xf numFmtId="0" fontId="23" fillId="0" borderId="70" xfId="0" applyFont="1" applyBorder="1" applyAlignment="1">
      <alignment horizontal="center" vertical="center"/>
    </xf>
    <xf numFmtId="0" fontId="1" fillId="18" borderId="18" xfId="0" applyFont="1" applyFill="1" applyBorder="1" applyAlignment="1">
      <alignment horizontal="center" vertical="center"/>
    </xf>
    <xf numFmtId="0" fontId="1" fillId="18" borderId="1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/>
    </xf>
    <xf numFmtId="176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21" fillId="2" borderId="0" xfId="0" applyFont="1" applyFill="1"/>
    <xf numFmtId="0" fontId="23" fillId="2" borderId="0" xfId="0" applyFont="1" applyFill="1" applyAlignment="1">
      <alignment vertical="center"/>
    </xf>
    <xf numFmtId="0" fontId="27" fillId="2" borderId="0" xfId="0" applyFont="1" applyFill="1"/>
    <xf numFmtId="0" fontId="1" fillId="4" borderId="16" xfId="0" applyFont="1" applyFill="1" applyBorder="1" applyAlignment="1">
      <alignment horizontal="center" vertical="center"/>
    </xf>
    <xf numFmtId="0" fontId="6" fillId="19" borderId="7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6" fillId="19" borderId="6" xfId="0" applyFont="1" applyFill="1" applyBorder="1" applyAlignment="1">
      <alignment horizontal="center" vertical="center"/>
    </xf>
    <xf numFmtId="0" fontId="1" fillId="13" borderId="0" xfId="0" applyFont="1" applyFill="1" applyAlignment="1">
      <alignment vertical="center"/>
    </xf>
    <xf numFmtId="0" fontId="6" fillId="16" borderId="1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79" fontId="6" fillId="13" borderId="20" xfId="0" applyNumberFormat="1" applyFont="1" applyFill="1" applyBorder="1" applyAlignment="1">
      <alignment horizontal="center" vertical="center"/>
    </xf>
    <xf numFmtId="179" fontId="6" fillId="13" borderId="63" xfId="0" applyNumberFormat="1" applyFont="1" applyFill="1" applyBorder="1" applyAlignment="1">
      <alignment horizontal="center" vertical="center"/>
    </xf>
    <xf numFmtId="179" fontId="6" fillId="13" borderId="65" xfId="0" applyNumberFormat="1" applyFont="1" applyFill="1" applyBorder="1" applyAlignment="1">
      <alignment horizontal="center" vertical="center"/>
    </xf>
    <xf numFmtId="179" fontId="6" fillId="4" borderId="7" xfId="0" applyNumberFormat="1" applyFont="1" applyFill="1" applyBorder="1" applyAlignment="1">
      <alignment horizontal="center" vertical="center"/>
    </xf>
    <xf numFmtId="179" fontId="6" fillId="4" borderId="70" xfId="0" applyNumberFormat="1" applyFont="1" applyFill="1" applyBorder="1" applyAlignment="1">
      <alignment horizontal="center" vertical="center"/>
    </xf>
    <xf numFmtId="179" fontId="6" fillId="13" borderId="31" xfId="0" applyNumberFormat="1" applyFont="1" applyFill="1" applyBorder="1" applyAlignment="1">
      <alignment horizontal="center" vertical="center"/>
    </xf>
    <xf numFmtId="179" fontId="6" fillId="13" borderId="7" xfId="0" applyNumberFormat="1" applyFont="1" applyFill="1" applyBorder="1" applyAlignment="1">
      <alignment horizontal="center" vertical="center"/>
    </xf>
    <xf numFmtId="179" fontId="6" fillId="4" borderId="6" xfId="0" applyNumberFormat="1" applyFont="1" applyFill="1" applyBorder="1" applyAlignment="1">
      <alignment horizontal="center" vertical="center"/>
    </xf>
    <xf numFmtId="179" fontId="6" fillId="4" borderId="63" xfId="0" applyNumberFormat="1" applyFont="1" applyFill="1" applyBorder="1" applyAlignment="1">
      <alignment horizontal="center" vertical="center"/>
    </xf>
    <xf numFmtId="179" fontId="6" fillId="13" borderId="25" xfId="0" applyNumberFormat="1" applyFont="1" applyFill="1" applyBorder="1" applyAlignment="1">
      <alignment horizontal="center" vertical="center"/>
    </xf>
    <xf numFmtId="179" fontId="6" fillId="4" borderId="28" xfId="0" applyNumberFormat="1" applyFont="1" applyFill="1" applyBorder="1" applyAlignment="1">
      <alignment horizontal="center" vertical="center"/>
    </xf>
    <xf numFmtId="179" fontId="6" fillId="0" borderId="70" xfId="0" applyNumberFormat="1" applyFont="1" applyBorder="1" applyAlignment="1">
      <alignment horizontal="center" vertical="center"/>
    </xf>
    <xf numFmtId="179" fontId="6" fillId="0" borderId="65" xfId="0" applyNumberFormat="1" applyFont="1" applyBorder="1" applyAlignment="1">
      <alignment horizontal="center" vertical="center"/>
    </xf>
    <xf numFmtId="179" fontId="6" fillId="0" borderId="7" xfId="0" applyNumberFormat="1" applyFont="1" applyBorder="1" applyAlignment="1">
      <alignment horizontal="center" vertical="center"/>
    </xf>
    <xf numFmtId="179" fontId="6" fillId="13" borderId="19" xfId="0" applyNumberFormat="1" applyFont="1" applyFill="1" applyBorder="1" applyAlignment="1">
      <alignment horizontal="center" vertical="center"/>
    </xf>
    <xf numFmtId="179" fontId="6" fillId="4" borderId="17" xfId="0" applyNumberFormat="1" applyFont="1" applyFill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179" fontId="6" fillId="13" borderId="17" xfId="0" applyNumberFormat="1" applyFont="1" applyFill="1" applyBorder="1" applyAlignment="1">
      <alignment horizontal="center" vertical="center"/>
    </xf>
    <xf numFmtId="179" fontId="6" fillId="4" borderId="19" xfId="0" applyNumberFormat="1" applyFont="1" applyFill="1" applyBorder="1" applyAlignment="1">
      <alignment horizontal="center" vertical="center"/>
    </xf>
    <xf numFmtId="179" fontId="6" fillId="13" borderId="70" xfId="0" applyNumberFormat="1" applyFont="1" applyFill="1" applyBorder="1" applyAlignment="1">
      <alignment horizontal="center" vertical="center"/>
    </xf>
    <xf numFmtId="179" fontId="6" fillId="13" borderId="30" xfId="0" applyNumberFormat="1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shrinkToFit="1"/>
    </xf>
    <xf numFmtId="0" fontId="23" fillId="2" borderId="63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23" fillId="2" borderId="35" xfId="0" applyFont="1" applyFill="1" applyBorder="1" applyAlignment="1">
      <alignment horizontal="center" vertical="center" shrinkToFit="1"/>
    </xf>
    <xf numFmtId="0" fontId="23" fillId="2" borderId="28" xfId="0" applyFont="1" applyFill="1" applyBorder="1" applyAlignment="1">
      <alignment horizontal="center" vertical="center" shrinkToFit="1"/>
    </xf>
    <xf numFmtId="0" fontId="23" fillId="2" borderId="70" xfId="0" applyFont="1" applyFill="1" applyBorder="1" applyAlignment="1">
      <alignment horizontal="center" vertical="center" shrinkToFit="1"/>
    </xf>
    <xf numFmtId="0" fontId="23" fillId="2" borderId="0" xfId="0" applyFont="1" applyFill="1" applyAlignment="1">
      <alignment horizontal="center" vertical="center" shrinkToFit="1"/>
    </xf>
    <xf numFmtId="179" fontId="6" fillId="16" borderId="31" xfId="0" applyNumberFormat="1" applyFont="1" applyFill="1" applyBorder="1" applyAlignment="1">
      <alignment horizontal="center" vertical="center"/>
    </xf>
    <xf numFmtId="0" fontId="19" fillId="11" borderId="83" xfId="0" applyFont="1" applyFill="1" applyBorder="1" applyAlignment="1">
      <alignment horizontal="center" vertical="center" wrapText="1"/>
    </xf>
    <xf numFmtId="0" fontId="20" fillId="11" borderId="83" xfId="0" applyFont="1" applyFill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/>
    </xf>
    <xf numFmtId="181" fontId="19" fillId="11" borderId="18" xfId="0" applyNumberFormat="1" applyFont="1" applyFill="1" applyBorder="1" applyAlignment="1">
      <alignment horizontal="center" vertical="center"/>
    </xf>
    <xf numFmtId="179" fontId="19" fillId="11" borderId="18" xfId="0" applyNumberFormat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181" fontId="19" fillId="11" borderId="16" xfId="0" applyNumberFormat="1" applyFont="1" applyFill="1" applyBorder="1" applyAlignment="1">
      <alignment horizontal="center" vertical="center"/>
    </xf>
    <xf numFmtId="179" fontId="19" fillId="11" borderId="16" xfId="0" applyNumberFormat="1" applyFont="1" applyFill="1" applyBorder="1" applyAlignment="1">
      <alignment horizontal="center" vertical="center"/>
    </xf>
    <xf numFmtId="0" fontId="15" fillId="0" borderId="16" xfId="0" applyFont="1" applyBorder="1" applyAlignment="1">
      <alignment horizontal="left" vertical="center"/>
    </xf>
    <xf numFmtId="181" fontId="19" fillId="11" borderId="17" xfId="0" applyNumberFormat="1" applyFont="1" applyFill="1" applyBorder="1" applyAlignment="1">
      <alignment horizontal="center" vertical="center"/>
    </xf>
    <xf numFmtId="179" fontId="19" fillId="11" borderId="17" xfId="0" applyNumberFormat="1" applyFont="1" applyFill="1" applyBorder="1" applyAlignment="1">
      <alignment horizontal="center" vertical="center"/>
    </xf>
    <xf numFmtId="0" fontId="15" fillId="0" borderId="17" xfId="0" applyFont="1" applyBorder="1" applyAlignment="1">
      <alignment horizontal="left" vertical="center"/>
    </xf>
    <xf numFmtId="181" fontId="19" fillId="11" borderId="5" xfId="0" applyNumberFormat="1" applyFont="1" applyFill="1" applyBorder="1" applyAlignment="1">
      <alignment horizontal="center" vertical="center"/>
    </xf>
    <xf numFmtId="179" fontId="19" fillId="11" borderId="5" xfId="0" applyNumberFormat="1" applyFont="1" applyFill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181" fontId="19" fillId="11" borderId="8" xfId="0" applyNumberFormat="1" applyFont="1" applyFill="1" applyBorder="1" applyAlignment="1">
      <alignment horizontal="center" vertical="center"/>
    </xf>
    <xf numFmtId="179" fontId="19" fillId="11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left" vertical="center"/>
    </xf>
    <xf numFmtId="0" fontId="23" fillId="0" borderId="0" xfId="0" applyFont="1"/>
    <xf numFmtId="180" fontId="19" fillId="11" borderId="2" xfId="0" applyNumberFormat="1" applyFont="1" applyFill="1" applyBorder="1" applyAlignment="1">
      <alignment horizontal="center" vertical="center"/>
    </xf>
    <xf numFmtId="179" fontId="19" fillId="11" borderId="2" xfId="0" applyNumberFormat="1" applyFont="1" applyFill="1" applyBorder="1" applyAlignment="1">
      <alignment horizontal="center" vertical="center"/>
    </xf>
    <xf numFmtId="181" fontId="19" fillId="11" borderId="2" xfId="0" applyNumberFormat="1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177" fontId="19" fillId="11" borderId="16" xfId="0" applyNumberFormat="1" applyFont="1" applyFill="1" applyBorder="1" applyAlignment="1">
      <alignment horizontal="center" vertical="center"/>
    </xf>
    <xf numFmtId="177" fontId="19" fillId="11" borderId="17" xfId="0" applyNumberFormat="1" applyFont="1" applyFill="1" applyBorder="1" applyAlignment="1">
      <alignment horizontal="center" vertical="center"/>
    </xf>
    <xf numFmtId="177" fontId="19" fillId="11" borderId="18" xfId="0" applyNumberFormat="1" applyFont="1" applyFill="1" applyBorder="1" applyAlignment="1">
      <alignment horizontal="center" vertical="center"/>
    </xf>
    <xf numFmtId="0" fontId="15" fillId="0" borderId="18" xfId="0" applyFont="1" applyBorder="1" applyAlignment="1">
      <alignment horizontal="left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8" fillId="0" borderId="16" xfId="0" applyFont="1" applyBorder="1" applyAlignment="1">
      <alignment horizontal="left"/>
    </xf>
    <xf numFmtId="0" fontId="22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" fillId="0" borderId="2" xfId="0" applyFont="1" applyBorder="1"/>
    <xf numFmtId="0" fontId="11" fillId="2" borderId="11" xfId="0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177" fontId="11" fillId="20" borderId="18" xfId="0" applyNumberFormat="1" applyFont="1" applyFill="1" applyBorder="1" applyAlignment="1">
      <alignment horizontal="center" vertical="center"/>
    </xf>
    <xf numFmtId="177" fontId="11" fillId="20" borderId="16" xfId="0" applyNumberFormat="1" applyFont="1" applyFill="1" applyBorder="1" applyAlignment="1">
      <alignment horizontal="center" vertical="center"/>
    </xf>
    <xf numFmtId="177" fontId="11" fillId="20" borderId="17" xfId="0" applyNumberFormat="1" applyFont="1" applyFill="1" applyBorder="1" applyAlignment="1">
      <alignment horizontal="center" vertical="center"/>
    </xf>
    <xf numFmtId="0" fontId="28" fillId="0" borderId="8" xfId="0" applyFont="1" applyBorder="1" applyAlignment="1">
      <alignment horizontal="left"/>
    </xf>
    <xf numFmtId="0" fontId="22" fillId="0" borderId="2" xfId="0" applyFont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9" fillId="10" borderId="4" xfId="0" applyFont="1" applyFill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77" fontId="6" fillId="7" borderId="18" xfId="0" applyNumberFormat="1" applyFont="1" applyFill="1" applyBorder="1" applyAlignment="1">
      <alignment horizontal="center" vertical="center"/>
    </xf>
    <xf numFmtId="177" fontId="6" fillId="7" borderId="4" xfId="0" applyNumberFormat="1" applyFont="1" applyFill="1" applyBorder="1" applyAlignment="1">
      <alignment horizontal="center" vertical="center"/>
    </xf>
    <xf numFmtId="177" fontId="19" fillId="0" borderId="4" xfId="0" applyNumberFormat="1" applyFont="1" applyBorder="1" applyAlignment="1">
      <alignment horizontal="center" vertical="center"/>
    </xf>
    <xf numFmtId="180" fontId="16" fillId="0" borderId="4" xfId="0" applyNumberFormat="1" applyFont="1" applyBorder="1" applyAlignment="1">
      <alignment horizontal="center" vertical="center"/>
    </xf>
    <xf numFmtId="177" fontId="11" fillId="21" borderId="4" xfId="0" applyNumberFormat="1" applyFont="1" applyFill="1" applyBorder="1" applyAlignment="1">
      <alignment horizontal="center" vertical="center"/>
    </xf>
    <xf numFmtId="0" fontId="11" fillId="16" borderId="4" xfId="0" applyFont="1" applyFill="1" applyBorder="1" applyAlignment="1">
      <alignment horizontal="center" vertical="center"/>
    </xf>
    <xf numFmtId="177" fontId="6" fillId="7" borderId="16" xfId="0" applyNumberFormat="1" applyFont="1" applyFill="1" applyBorder="1" applyAlignment="1">
      <alignment horizontal="center" vertical="center"/>
    </xf>
    <xf numFmtId="177" fontId="6" fillId="7" borderId="0" xfId="0" applyNumberFormat="1" applyFont="1" applyFill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177" fontId="11" fillId="21" borderId="0" xfId="0" applyNumberFormat="1" applyFont="1" applyFill="1" applyAlignment="1">
      <alignment horizontal="center" vertical="center"/>
    </xf>
    <xf numFmtId="0" fontId="11" fillId="22" borderId="0" xfId="0" applyFont="1" applyFill="1" applyAlignment="1">
      <alignment horizontal="center" vertical="center"/>
    </xf>
    <xf numFmtId="177" fontId="6" fillId="7" borderId="17" xfId="0" applyNumberFormat="1" applyFont="1" applyFill="1" applyBorder="1" applyAlignment="1">
      <alignment horizontal="center" vertical="center"/>
    </xf>
    <xf numFmtId="177" fontId="6" fillId="7" borderId="1" xfId="0" applyNumberFormat="1" applyFont="1" applyFill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 vertical="center"/>
    </xf>
    <xf numFmtId="180" fontId="16" fillId="0" borderId="1" xfId="0" applyNumberFormat="1" applyFont="1" applyBorder="1" applyAlignment="1">
      <alignment horizontal="center" vertical="center"/>
    </xf>
    <xf numFmtId="177" fontId="11" fillId="21" borderId="1" xfId="0" applyNumberFormat="1" applyFont="1" applyFill="1" applyBorder="1" applyAlignment="1">
      <alignment horizontal="center" vertical="center"/>
    </xf>
    <xf numFmtId="0" fontId="11" fillId="16" borderId="1" xfId="0" applyFont="1" applyFill="1" applyBorder="1" applyAlignment="1">
      <alignment horizontal="center" vertical="center"/>
    </xf>
    <xf numFmtId="0" fontId="11" fillId="22" borderId="4" xfId="0" applyFont="1" applyFill="1" applyBorder="1" applyAlignment="1">
      <alignment horizontal="center" vertical="center"/>
    </xf>
    <xf numFmtId="177" fontId="6" fillId="7" borderId="3" xfId="0" applyNumberFormat="1" applyFont="1" applyFill="1" applyBorder="1" applyAlignment="1">
      <alignment horizontal="center" vertical="center"/>
    </xf>
    <xf numFmtId="177" fontId="19" fillId="0" borderId="3" xfId="0" applyNumberFormat="1" applyFont="1" applyBorder="1" applyAlignment="1">
      <alignment horizontal="center" vertical="center"/>
    </xf>
    <xf numFmtId="177" fontId="6" fillId="7" borderId="7" xfId="0" applyNumberFormat="1" applyFont="1" applyFill="1" applyBorder="1" applyAlignment="1">
      <alignment horizontal="center" vertical="center"/>
    </xf>
    <xf numFmtId="177" fontId="19" fillId="0" borderId="7" xfId="0" applyNumberFormat="1" applyFont="1" applyBorder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177" fontId="6" fillId="7" borderId="6" xfId="0" applyNumberFormat="1" applyFont="1" applyFill="1" applyBorder="1" applyAlignment="1">
      <alignment horizontal="center" vertical="center"/>
    </xf>
    <xf numFmtId="177" fontId="19" fillId="0" borderId="6" xfId="0" applyNumberFormat="1" applyFont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/>
    </xf>
    <xf numFmtId="177" fontId="6" fillId="23" borderId="16" xfId="0" applyNumberFormat="1" applyFont="1" applyFill="1" applyBorder="1" applyAlignment="1">
      <alignment horizontal="center" vertical="center"/>
    </xf>
    <xf numFmtId="177" fontId="6" fillId="23" borderId="0" xfId="0" applyNumberFormat="1" applyFont="1" applyFill="1" applyAlignment="1">
      <alignment horizontal="center" vertical="center"/>
    </xf>
    <xf numFmtId="177" fontId="11" fillId="10" borderId="0" xfId="0" applyNumberFormat="1" applyFont="1" applyFill="1" applyAlignment="1">
      <alignment horizontal="center" vertical="center"/>
    </xf>
    <xf numFmtId="177" fontId="19" fillId="23" borderId="1" xfId="0" applyNumberFormat="1" applyFont="1" applyFill="1" applyBorder="1" applyAlignment="1">
      <alignment horizontal="center" vertical="center"/>
    </xf>
    <xf numFmtId="180" fontId="13" fillId="0" borderId="0" xfId="0" applyNumberFormat="1" applyFont="1" applyAlignment="1">
      <alignment horizontal="center" vertical="center"/>
    </xf>
    <xf numFmtId="180" fontId="13" fillId="21" borderId="0" xfId="0" applyNumberFormat="1" applyFont="1" applyFill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77" fontId="6" fillId="10" borderId="7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11" borderId="9" xfId="0" applyFont="1" applyFill="1" applyBorder="1" applyAlignment="1">
      <alignment horizontal="center" vertical="center"/>
    </xf>
    <xf numFmtId="0" fontId="15" fillId="23" borderId="4" xfId="0" applyFont="1" applyFill="1" applyBorder="1" applyAlignment="1">
      <alignment horizontal="center" vertical="center" wrapText="1"/>
    </xf>
    <xf numFmtId="0" fontId="19" fillId="5" borderId="18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77" fontId="11" fillId="24" borderId="4" xfId="0" applyNumberFormat="1" applyFont="1" applyFill="1" applyBorder="1" applyAlignment="1">
      <alignment horizontal="center" vertical="center"/>
    </xf>
    <xf numFmtId="177" fontId="9" fillId="0" borderId="5" xfId="0" applyNumberFormat="1" applyFont="1" applyBorder="1" applyAlignment="1">
      <alignment horizontal="center" vertical="center"/>
    </xf>
    <xf numFmtId="180" fontId="19" fillId="11" borderId="18" xfId="0" applyNumberFormat="1" applyFont="1" applyFill="1" applyBorder="1" applyAlignment="1">
      <alignment horizontal="center" vertical="center"/>
    </xf>
    <xf numFmtId="177" fontId="11" fillId="24" borderId="0" xfId="0" applyNumberFormat="1" applyFont="1" applyFill="1" applyAlignment="1">
      <alignment horizontal="center" vertical="center"/>
    </xf>
    <xf numFmtId="177" fontId="9" fillId="0" borderId="8" xfId="0" applyNumberFormat="1" applyFont="1" applyBorder="1" applyAlignment="1">
      <alignment horizontal="center" vertical="center"/>
    </xf>
    <xf numFmtId="180" fontId="19" fillId="11" borderId="16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7" fontId="11" fillId="24" borderId="1" xfId="0" applyNumberFormat="1" applyFont="1" applyFill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80" fontId="19" fillId="11" borderId="17" xfId="0" applyNumberFormat="1" applyFont="1" applyFill="1" applyBorder="1" applyAlignment="1">
      <alignment horizontal="center" vertical="center"/>
    </xf>
    <xf numFmtId="177" fontId="11" fillId="19" borderId="1" xfId="0" applyNumberFormat="1" applyFont="1" applyFill="1" applyBorder="1" applyAlignment="1">
      <alignment horizontal="center" vertical="center"/>
    </xf>
    <xf numFmtId="177" fontId="11" fillId="9" borderId="4" xfId="0" applyNumberFormat="1" applyFont="1" applyFill="1" applyBorder="1" applyAlignment="1">
      <alignment horizontal="center" vertical="center"/>
    </xf>
    <xf numFmtId="180" fontId="19" fillId="11" borderId="0" xfId="0" applyNumberFormat="1" applyFont="1" applyFill="1" applyAlignment="1">
      <alignment horizontal="center" vertical="center"/>
    </xf>
    <xf numFmtId="177" fontId="11" fillId="9" borderId="0" xfId="0" applyNumberFormat="1" applyFont="1" applyFill="1" applyAlignment="1">
      <alignment horizontal="center" vertical="center"/>
    </xf>
    <xf numFmtId="177" fontId="11" fillId="9" borderId="1" xfId="0" applyNumberFormat="1" applyFont="1" applyFill="1" applyBorder="1" applyAlignment="1">
      <alignment horizontal="center" vertical="center"/>
    </xf>
    <xf numFmtId="0" fontId="30" fillId="11" borderId="1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6" fillId="19" borderId="18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6" fillId="19" borderId="17" xfId="0" applyFont="1" applyFill="1" applyBorder="1" applyAlignment="1">
      <alignment horizontal="center" vertical="center"/>
    </xf>
    <xf numFmtId="0" fontId="31" fillId="18" borderId="16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18" borderId="17" xfId="0" applyFont="1" applyFill="1" applyBorder="1" applyAlignment="1">
      <alignment horizontal="center" vertical="center"/>
    </xf>
    <xf numFmtId="0" fontId="6" fillId="18" borderId="18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178" fontId="11" fillId="0" borderId="0" xfId="0" applyNumberFormat="1" applyFont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1" fillId="25" borderId="7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2" borderId="83" xfId="0" applyFont="1" applyFill="1" applyBorder="1" applyAlignment="1">
      <alignment vertical="center"/>
    </xf>
    <xf numFmtId="0" fontId="22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" fillId="0" borderId="83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177" fontId="6" fillId="7" borderId="83" xfId="0" applyNumberFormat="1" applyFont="1" applyFill="1" applyBorder="1" applyAlignment="1">
      <alignment horizontal="center" vertical="center"/>
    </xf>
    <xf numFmtId="177" fontId="6" fillId="7" borderId="10" xfId="0" applyNumberFormat="1" applyFont="1" applyFill="1" applyBorder="1" applyAlignment="1">
      <alignment horizontal="center" vertical="center"/>
    </xf>
    <xf numFmtId="177" fontId="19" fillId="0" borderId="10" xfId="0" applyNumberFormat="1" applyFont="1" applyBorder="1" applyAlignment="1">
      <alignment horizontal="center" vertical="center"/>
    </xf>
    <xf numFmtId="180" fontId="16" fillId="0" borderId="10" xfId="0" applyNumberFormat="1" applyFont="1" applyBorder="1" applyAlignment="1">
      <alignment horizontal="center" vertical="center"/>
    </xf>
    <xf numFmtId="177" fontId="11" fillId="21" borderId="10" xfId="0" applyNumberFormat="1" applyFont="1" applyFill="1" applyBorder="1" applyAlignment="1">
      <alignment horizontal="center" vertical="center"/>
    </xf>
    <xf numFmtId="0" fontId="11" fillId="22" borderId="10" xfId="0" applyFont="1" applyFill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7" fontId="6" fillId="0" borderId="10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177" fontId="11" fillId="0" borderId="10" xfId="0" applyNumberFormat="1" applyFont="1" applyBorder="1" applyAlignment="1">
      <alignment horizontal="center" vertical="center"/>
    </xf>
    <xf numFmtId="177" fontId="11" fillId="24" borderId="10" xfId="0" applyNumberFormat="1" applyFont="1" applyFill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80" fontId="19" fillId="11" borderId="83" xfId="0" applyNumberFormat="1" applyFont="1" applyFill="1" applyBorder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2" fillId="0" borderId="0" xfId="0" applyFont="1"/>
    <xf numFmtId="0" fontId="33" fillId="0" borderId="0" xfId="0" applyFont="1"/>
    <xf numFmtId="0" fontId="34" fillId="0" borderId="24" xfId="0" applyFont="1" applyBorder="1" applyAlignment="1">
      <alignment horizontal="center" vertical="top" wrapText="1"/>
    </xf>
    <xf numFmtId="0" fontId="34" fillId="2" borderId="24" xfId="0" applyFont="1" applyFill="1" applyBorder="1" applyAlignment="1">
      <alignment horizontal="center" vertical="top" wrapText="1"/>
    </xf>
    <xf numFmtId="0" fontId="30" fillId="11" borderId="3" xfId="0" applyFont="1" applyFill="1" applyBorder="1" applyAlignment="1">
      <alignment horizontal="center" vertical="center"/>
    </xf>
    <xf numFmtId="0" fontId="19" fillId="0" borderId="83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1" fillId="26" borderId="10" xfId="0" applyFont="1" applyFill="1" applyBorder="1" applyAlignment="1">
      <alignment horizontal="center" vertical="center" wrapText="1"/>
    </xf>
    <xf numFmtId="0" fontId="11" fillId="27" borderId="10" xfId="0" applyFont="1" applyFill="1" applyBorder="1" applyAlignment="1">
      <alignment horizontal="center" vertical="center" wrapText="1"/>
    </xf>
    <xf numFmtId="176" fontId="6" fillId="28" borderId="5" xfId="0" applyNumberFormat="1" applyFont="1" applyFill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19" fillId="0" borderId="4" xfId="0" applyNumberFormat="1" applyFont="1" applyBorder="1" applyAlignment="1">
      <alignment horizontal="center" vertical="center"/>
    </xf>
    <xf numFmtId="176" fontId="16" fillId="0" borderId="4" xfId="0" applyNumberFormat="1" applyFont="1" applyBorder="1" applyAlignment="1">
      <alignment horizontal="center" vertical="center"/>
    </xf>
    <xf numFmtId="176" fontId="6" fillId="28" borderId="8" xfId="0" applyNumberFormat="1" applyFont="1" applyFill="1" applyBorder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6" fontId="6" fillId="28" borderId="2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6" fontId="13" fillId="0" borderId="0" xfId="0" applyNumberFormat="1" applyFont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3" fillId="0" borderId="10" xfId="0" applyFont="1" applyBorder="1"/>
    <xf numFmtId="0" fontId="11" fillId="0" borderId="10" xfId="0" applyFont="1" applyBorder="1" applyAlignment="1">
      <alignment horizontal="center" vertical="center" wrapText="1"/>
    </xf>
    <xf numFmtId="0" fontId="15" fillId="29" borderId="9" xfId="0" applyFont="1" applyFill="1" applyBorder="1" applyAlignment="1">
      <alignment horizontal="center" vertical="center" wrapText="1"/>
    </xf>
    <xf numFmtId="0" fontId="15" fillId="29" borderId="10" xfId="0" applyFont="1" applyFill="1" applyBorder="1" applyAlignment="1">
      <alignment horizontal="center" vertical="center" wrapText="1"/>
    </xf>
    <xf numFmtId="0" fontId="15" fillId="29" borderId="11" xfId="0" applyFont="1" applyFill="1" applyBorder="1" applyAlignment="1">
      <alignment horizontal="center" vertical="center" wrapText="1"/>
    </xf>
    <xf numFmtId="0" fontId="19" fillId="11" borderId="11" xfId="0" applyFont="1" applyFill="1" applyBorder="1" applyAlignment="1">
      <alignment horizontal="center" vertical="center" wrapText="1"/>
    </xf>
    <xf numFmtId="177" fontId="6" fillId="29" borderId="3" xfId="0" applyNumberFormat="1" applyFont="1" applyFill="1" applyBorder="1" applyAlignment="1">
      <alignment horizontal="center" vertical="center"/>
    </xf>
    <xf numFmtId="177" fontId="35" fillId="29" borderId="4" xfId="0" applyNumberFormat="1" applyFont="1" applyFill="1" applyBorder="1" applyAlignment="1">
      <alignment horizontal="center" vertical="center"/>
    </xf>
    <xf numFmtId="177" fontId="6" fillId="29" borderId="5" xfId="0" applyNumberFormat="1" applyFont="1" applyFill="1" applyBorder="1" applyAlignment="1">
      <alignment horizontal="center" vertical="center"/>
    </xf>
    <xf numFmtId="180" fontId="19" fillId="11" borderId="5" xfId="0" applyNumberFormat="1" applyFont="1" applyFill="1" applyBorder="1" applyAlignment="1">
      <alignment horizontal="center" vertical="center"/>
    </xf>
    <xf numFmtId="177" fontId="6" fillId="29" borderId="7" xfId="0" applyNumberFormat="1" applyFont="1" applyFill="1" applyBorder="1" applyAlignment="1">
      <alignment horizontal="center" vertical="center"/>
    </xf>
    <xf numFmtId="177" fontId="35" fillId="29" borderId="0" xfId="0" applyNumberFormat="1" applyFont="1" applyFill="1" applyAlignment="1">
      <alignment horizontal="center" vertical="center"/>
    </xf>
    <xf numFmtId="177" fontId="6" fillId="29" borderId="8" xfId="0" applyNumberFormat="1" applyFont="1" applyFill="1" applyBorder="1" applyAlignment="1">
      <alignment horizontal="center" vertical="center"/>
    </xf>
    <xf numFmtId="180" fontId="19" fillId="11" borderId="8" xfId="0" applyNumberFormat="1" applyFont="1" applyFill="1" applyBorder="1" applyAlignment="1">
      <alignment horizontal="center" vertical="center"/>
    </xf>
    <xf numFmtId="177" fontId="6" fillId="29" borderId="6" xfId="0" applyNumberFormat="1" applyFont="1" applyFill="1" applyBorder="1" applyAlignment="1">
      <alignment horizontal="center" vertical="center"/>
    </xf>
    <xf numFmtId="177" fontId="35" fillId="29" borderId="1" xfId="0" applyNumberFormat="1" applyFont="1" applyFill="1" applyBorder="1" applyAlignment="1">
      <alignment horizontal="center" vertical="center"/>
    </xf>
    <xf numFmtId="177" fontId="6" fillId="29" borderId="2" xfId="0" applyNumberFormat="1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177" fontId="6" fillId="29" borderId="0" xfId="0" applyNumberFormat="1" applyFont="1" applyFill="1" applyAlignment="1">
      <alignment horizontal="center" vertical="center"/>
    </xf>
    <xf numFmtId="177" fontId="6" fillId="29" borderId="1" xfId="0" applyNumberFormat="1" applyFont="1" applyFill="1" applyBorder="1" applyAlignment="1">
      <alignment horizontal="center" vertical="center"/>
    </xf>
    <xf numFmtId="177" fontId="4" fillId="29" borderId="83" xfId="0" applyNumberFormat="1" applyFont="1" applyFill="1" applyBorder="1" applyAlignment="1">
      <alignment horizontal="center" vertical="center"/>
    </xf>
    <xf numFmtId="177" fontId="36" fillId="29" borderId="83" xfId="0" applyNumberFormat="1" applyFont="1" applyFill="1" applyBorder="1" applyAlignment="1">
      <alignment horizontal="center" vertical="center"/>
    </xf>
    <xf numFmtId="177" fontId="36" fillId="29" borderId="8" xfId="0" applyNumberFormat="1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176" fontId="11" fillId="0" borderId="7" xfId="0" applyNumberFormat="1" applyFont="1" applyBorder="1" applyAlignment="1">
      <alignment horizontal="center" vertical="center"/>
    </xf>
    <xf numFmtId="176" fontId="11" fillId="0" borderId="66" xfId="0" applyNumberFormat="1" applyFont="1" applyBorder="1" applyAlignment="1">
      <alignment horizontal="center" vertical="center"/>
    </xf>
    <xf numFmtId="176" fontId="6" fillId="0" borderId="8" xfId="0" applyNumberFormat="1" applyFont="1" applyBorder="1" applyAlignment="1">
      <alignment vertical="center"/>
    </xf>
    <xf numFmtId="0" fontId="11" fillId="0" borderId="66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176" fontId="6" fillId="2" borderId="11" xfId="0" applyNumberFormat="1" applyFont="1" applyFill="1" applyBorder="1" applyAlignment="1">
      <alignment vertical="center"/>
    </xf>
    <xf numFmtId="0" fontId="6" fillId="16" borderId="7" xfId="0" applyFont="1" applyFill="1" applyBorder="1" applyAlignment="1">
      <alignment horizontal="center" vertical="center"/>
    </xf>
    <xf numFmtId="0" fontId="37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178" fontId="6" fillId="0" borderId="10" xfId="0" applyNumberFormat="1" applyFont="1" applyBorder="1" applyAlignment="1">
      <alignment horizontal="center" vertical="center"/>
    </xf>
    <xf numFmtId="0" fontId="6" fillId="31" borderId="9" xfId="0" applyFont="1" applyFill="1" applyBorder="1" applyAlignment="1">
      <alignment horizontal="center" vertical="center"/>
    </xf>
    <xf numFmtId="177" fontId="6" fillId="31" borderId="10" xfId="0" applyNumberFormat="1" applyFont="1" applyFill="1" applyBorder="1" applyAlignment="1">
      <alignment horizontal="center" vertical="center"/>
    </xf>
    <xf numFmtId="0" fontId="6" fillId="31" borderId="9" xfId="0" applyFont="1" applyFill="1" applyBorder="1" applyAlignment="1">
      <alignment horizontal="left" vertical="center"/>
    </xf>
    <xf numFmtId="0" fontId="11" fillId="31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1" fillId="31" borderId="11" xfId="0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177" fontId="6" fillId="0" borderId="4" xfId="0" applyNumberFormat="1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42" fillId="0" borderId="0" xfId="1">
      <alignment vertical="center"/>
    </xf>
    <xf numFmtId="0" fontId="39" fillId="0" borderId="93" xfId="1" applyFont="1" applyBorder="1">
      <alignment vertical="center"/>
    </xf>
    <xf numFmtId="0" fontId="39" fillId="0" borderId="92" xfId="1" applyFont="1" applyBorder="1" applyAlignment="1">
      <alignment horizontal="center" vertical="center"/>
    </xf>
    <xf numFmtId="49" fontId="43" fillId="0" borderId="96" xfId="1" applyNumberFormat="1" applyFont="1" applyBorder="1" applyAlignment="1" applyProtection="1">
      <alignment vertical="center" wrapText="1"/>
      <protection locked="0"/>
    </xf>
    <xf numFmtId="49" fontId="39" fillId="0" borderId="93" xfId="1" applyNumberFormat="1" applyFont="1" applyBorder="1" applyAlignment="1" applyProtection="1">
      <alignment horizontal="center" vertical="center" wrapText="1"/>
      <protection locked="0"/>
    </xf>
    <xf numFmtId="0" fontId="39" fillId="0" borderId="93" xfId="1" applyFont="1" applyBorder="1" applyAlignment="1">
      <alignment horizontal="center" vertical="center"/>
    </xf>
    <xf numFmtId="20" fontId="32" fillId="24" borderId="93" xfId="1" applyNumberFormat="1" applyFont="1" applyFill="1" applyBorder="1" applyAlignment="1">
      <alignment horizontal="center" vertical="center"/>
    </xf>
    <xf numFmtId="49" fontId="43" fillId="0" borderId="88" xfId="1" applyNumberFormat="1" applyFont="1" applyBorder="1" applyAlignment="1" applyProtection="1">
      <alignment vertical="center" wrapText="1"/>
      <protection locked="0"/>
    </xf>
    <xf numFmtId="0" fontId="32" fillId="24" borderId="93" xfId="1" applyFont="1" applyFill="1" applyBorder="1" applyAlignment="1">
      <alignment horizontal="center" vertical="center"/>
    </xf>
    <xf numFmtId="0" fontId="1" fillId="34" borderId="93" xfId="1" applyFont="1" applyFill="1" applyBorder="1" applyAlignment="1">
      <alignment horizontal="center" vertical="center"/>
    </xf>
    <xf numFmtId="20" fontId="1" fillId="34" borderId="93" xfId="1" applyNumberFormat="1" applyFont="1" applyFill="1" applyBorder="1">
      <alignment vertical="center"/>
    </xf>
    <xf numFmtId="0" fontId="1" fillId="34" borderId="93" xfId="1" applyFont="1" applyFill="1" applyBorder="1">
      <alignment vertical="center"/>
    </xf>
    <xf numFmtId="20" fontId="1" fillId="34" borderId="93" xfId="1" applyNumberFormat="1" applyFont="1" applyFill="1" applyBorder="1" applyAlignment="1">
      <alignment horizontal="center" vertical="center"/>
    </xf>
    <xf numFmtId="20" fontId="32" fillId="33" borderId="93" xfId="1" applyNumberFormat="1" applyFont="1" applyFill="1" applyBorder="1" applyAlignment="1">
      <alignment horizontal="center" vertical="center"/>
    </xf>
    <xf numFmtId="0" fontId="32" fillId="33" borderId="93" xfId="1" applyFont="1" applyFill="1" applyBorder="1" applyAlignment="1">
      <alignment horizontal="center" vertical="center"/>
    </xf>
    <xf numFmtId="20" fontId="32" fillId="0" borderId="0" xfId="1" applyNumberFormat="1" applyFont="1" applyAlignment="1">
      <alignment horizontal="center" vertical="center"/>
    </xf>
    <xf numFmtId="0" fontId="32" fillId="0" borderId="0" xfId="1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1" fillId="32" borderId="97" xfId="1" applyFont="1" applyFill="1" applyBorder="1">
      <alignment vertical="center"/>
    </xf>
    <xf numFmtId="0" fontId="1" fillId="32" borderId="98" xfId="1" applyFont="1" applyFill="1" applyBorder="1">
      <alignment vertical="center"/>
    </xf>
    <xf numFmtId="181" fontId="32" fillId="24" borderId="93" xfId="1" applyNumberFormat="1" applyFont="1" applyFill="1" applyBorder="1" applyAlignment="1">
      <alignment horizontal="center" vertical="center"/>
    </xf>
    <xf numFmtId="0" fontId="32" fillId="35" borderId="93" xfId="1" applyFont="1" applyFill="1" applyBorder="1" applyAlignment="1">
      <alignment horizontal="center" vertical="center"/>
    </xf>
    <xf numFmtId="0" fontId="32" fillId="0" borderId="93" xfId="1" applyFont="1" applyBorder="1" applyAlignment="1">
      <alignment horizontal="center" vertical="center"/>
    </xf>
    <xf numFmtId="0" fontId="1" fillId="0" borderId="93" xfId="1" applyFont="1" applyBorder="1" applyAlignment="1">
      <alignment horizontal="center" vertical="center"/>
    </xf>
    <xf numFmtId="0" fontId="1" fillId="0" borderId="93" xfId="1" applyFont="1" applyBorder="1">
      <alignment vertical="center"/>
    </xf>
    <xf numFmtId="0" fontId="1" fillId="35" borderId="93" xfId="1" applyFont="1" applyFill="1" applyBorder="1" applyAlignment="1">
      <alignment horizontal="center" vertical="center"/>
    </xf>
    <xf numFmtId="20" fontId="39" fillId="0" borderId="93" xfId="1" applyNumberFormat="1" applyFont="1" applyBorder="1" applyAlignment="1">
      <alignment horizontal="center" vertical="center"/>
    </xf>
    <xf numFmtId="181" fontId="32" fillId="0" borderId="0" xfId="1" applyNumberFormat="1" applyFont="1" applyAlignment="1">
      <alignment horizontal="center" vertical="center"/>
    </xf>
    <xf numFmtId="20" fontId="39" fillId="36" borderId="93" xfId="1" applyNumberFormat="1" applyFont="1" applyFill="1" applyBorder="1" applyAlignment="1">
      <alignment horizontal="center" vertical="center"/>
    </xf>
    <xf numFmtId="0" fontId="1" fillId="32" borderId="95" xfId="1" applyFont="1" applyFill="1" applyBorder="1">
      <alignment vertical="center"/>
    </xf>
    <xf numFmtId="0" fontId="1" fillId="32" borderId="93" xfId="1" applyFont="1" applyFill="1" applyBorder="1" applyAlignment="1">
      <alignment horizontal="center" vertical="center"/>
    </xf>
    <xf numFmtId="49" fontId="45" fillId="32" borderId="93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92" xfId="1" applyFont="1" applyBorder="1" applyAlignment="1">
      <alignment horizontal="center" vertical="center"/>
    </xf>
    <xf numFmtId="0" fontId="1" fillId="32" borderId="92" xfId="1" applyFont="1" applyFill="1" applyBorder="1">
      <alignment vertical="center"/>
    </xf>
    <xf numFmtId="0" fontId="46" fillId="0" borderId="93" xfId="1" applyFont="1" applyBorder="1" applyAlignment="1">
      <alignment horizontal="center" vertical="center"/>
    </xf>
    <xf numFmtId="0" fontId="32" fillId="33" borderId="38" xfId="1" applyFont="1" applyFill="1" applyBorder="1" applyAlignment="1">
      <alignment horizontal="center" vertical="center"/>
    </xf>
    <xf numFmtId="0" fontId="32" fillId="0" borderId="39" xfId="1" applyFont="1" applyBorder="1" applyAlignment="1">
      <alignment horizontal="center" vertical="center"/>
    </xf>
    <xf numFmtId="49" fontId="39" fillId="32" borderId="93" xfId="1" applyNumberFormat="1" applyFont="1" applyFill="1" applyBorder="1" applyAlignment="1" applyProtection="1">
      <alignment horizontal="center" vertical="center" wrapText="1"/>
      <protection locked="0"/>
    </xf>
    <xf numFmtId="49" fontId="1" fillId="0" borderId="93" xfId="1" applyNumberFormat="1" applyFont="1" applyBorder="1" applyAlignment="1" applyProtection="1">
      <alignment horizontal="center" vertical="center" wrapText="1"/>
      <protection locked="0"/>
    </xf>
    <xf numFmtId="49" fontId="1" fillId="32" borderId="93" xfId="1" applyNumberFormat="1" applyFont="1" applyFill="1" applyBorder="1" applyAlignment="1" applyProtection="1">
      <alignment horizontal="center" vertical="center" wrapText="1"/>
      <protection locked="0"/>
    </xf>
    <xf numFmtId="0" fontId="32" fillId="37" borderId="38" xfId="1" applyFont="1" applyFill="1" applyBorder="1" applyAlignment="1">
      <alignment horizontal="center" vertical="center"/>
    </xf>
    <xf numFmtId="0" fontId="1" fillId="36" borderId="93" xfId="1" applyFont="1" applyFill="1" applyBorder="1" applyAlignment="1">
      <alignment horizontal="center" vertical="center"/>
    </xf>
    <xf numFmtId="0" fontId="1" fillId="36" borderId="93" xfId="1" applyFont="1" applyFill="1" applyBorder="1">
      <alignment vertical="center"/>
    </xf>
    <xf numFmtId="0" fontId="32" fillId="38" borderId="93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7" fillId="0" borderId="0" xfId="0" applyFont="1" applyAlignment="1">
      <alignment vertical="top"/>
    </xf>
    <xf numFmtId="20" fontId="32" fillId="39" borderId="26" xfId="1" applyNumberFormat="1" applyFont="1" applyFill="1" applyBorder="1" applyAlignment="1">
      <alignment horizontal="center" vertical="center"/>
    </xf>
    <xf numFmtId="0" fontId="32" fillId="39" borderId="26" xfId="1" applyFont="1" applyFill="1" applyBorder="1" applyAlignment="1">
      <alignment horizontal="center" vertical="center"/>
    </xf>
    <xf numFmtId="0" fontId="32" fillId="0" borderId="27" xfId="1" applyFont="1" applyBorder="1" applyAlignment="1">
      <alignment horizontal="center" vertical="center"/>
    </xf>
    <xf numFmtId="20" fontId="32" fillId="39" borderId="58" xfId="1" applyNumberFormat="1" applyFont="1" applyFill="1" applyBorder="1" applyAlignment="1">
      <alignment horizontal="center" vertical="center"/>
    </xf>
    <xf numFmtId="0" fontId="32" fillId="39" borderId="58" xfId="1" applyFont="1" applyFill="1" applyBorder="1" applyAlignment="1">
      <alignment horizontal="center" vertical="center"/>
    </xf>
    <xf numFmtId="0" fontId="32" fillId="0" borderId="60" xfId="1" applyFont="1" applyBorder="1" applyAlignment="1">
      <alignment horizontal="center" vertical="center"/>
    </xf>
    <xf numFmtId="20" fontId="32" fillId="39" borderId="38" xfId="1" applyNumberFormat="1" applyFont="1" applyFill="1" applyBorder="1" applyAlignment="1">
      <alignment horizontal="center" vertical="center"/>
    </xf>
    <xf numFmtId="0" fontId="32" fillId="39" borderId="38" xfId="1" applyFont="1" applyFill="1" applyBorder="1" applyAlignment="1">
      <alignment horizontal="center" vertical="center"/>
    </xf>
    <xf numFmtId="20" fontId="32" fillId="39" borderId="21" xfId="1" applyNumberFormat="1" applyFont="1" applyFill="1" applyBorder="1" applyAlignment="1">
      <alignment horizontal="center" vertical="center"/>
    </xf>
    <xf numFmtId="0" fontId="32" fillId="39" borderId="21" xfId="1" applyFont="1" applyFill="1" applyBorder="1" applyAlignment="1">
      <alignment horizontal="center" vertical="center"/>
    </xf>
    <xf numFmtId="0" fontId="32" fillId="0" borderId="2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9" fillId="0" borderId="83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32" fillId="0" borderId="0" xfId="1" applyFont="1" applyAlignment="1">
      <alignment horizontal="center" vertical="center" wrapText="1"/>
    </xf>
    <xf numFmtId="0" fontId="1" fillId="38" borderId="3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" fillId="38" borderId="0" xfId="1" applyFont="1" applyFill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4" borderId="6" xfId="1" applyFont="1" applyFill="1" applyBorder="1" applyAlignment="1">
      <alignment horizontal="center" vertical="center"/>
    </xf>
    <xf numFmtId="0" fontId="1" fillId="4" borderId="3" xfId="1" applyFont="1" applyFill="1" applyBorder="1" applyAlignment="1">
      <alignment horizontal="center" vertical="center"/>
    </xf>
    <xf numFmtId="0" fontId="1" fillId="4" borderId="7" xfId="1" applyFont="1" applyFill="1" applyBorder="1" applyAlignment="1">
      <alignment horizontal="center" vertical="center"/>
    </xf>
    <xf numFmtId="0" fontId="32" fillId="0" borderId="0" xfId="1" applyFont="1">
      <alignment vertical="center"/>
    </xf>
    <xf numFmtId="0" fontId="47" fillId="0" borderId="0" xfId="0" applyFont="1" applyAlignment="1">
      <alignment vertical="center"/>
    </xf>
    <xf numFmtId="0" fontId="47" fillId="0" borderId="0" xfId="1" applyFont="1">
      <alignment vertical="center"/>
    </xf>
    <xf numFmtId="0" fontId="32" fillId="0" borderId="3" xfId="0" applyFont="1" applyBorder="1"/>
    <xf numFmtId="0" fontId="32" fillId="0" borderId="4" xfId="0" applyFont="1" applyBorder="1"/>
    <xf numFmtId="0" fontId="32" fillId="0" borderId="7" xfId="0" applyFont="1" applyBorder="1"/>
    <xf numFmtId="0" fontId="32" fillId="0" borderId="6" xfId="0" applyFont="1" applyBorder="1"/>
    <xf numFmtId="0" fontId="32" fillId="0" borderId="1" xfId="0" applyFont="1" applyBorder="1"/>
    <xf numFmtId="0" fontId="32" fillId="0" borderId="5" xfId="0" applyFont="1" applyBorder="1"/>
    <xf numFmtId="0" fontId="32" fillId="0" borderId="8" xfId="0" applyFont="1" applyBorder="1"/>
    <xf numFmtId="0" fontId="32" fillId="0" borderId="2" xfId="0" applyFont="1" applyBorder="1"/>
    <xf numFmtId="0" fontId="38" fillId="0" borderId="0" xfId="0" applyFont="1"/>
    <xf numFmtId="0" fontId="38" fillId="0" borderId="26" xfId="0" applyFont="1" applyBorder="1" applyAlignment="1">
      <alignment horizontal="center"/>
    </xf>
    <xf numFmtId="0" fontId="38" fillId="0" borderId="90" xfId="0" applyFont="1" applyBorder="1" applyAlignment="1">
      <alignment horizontal="center"/>
    </xf>
    <xf numFmtId="0" fontId="38" fillId="19" borderId="58" xfId="0" applyFont="1" applyFill="1" applyBorder="1" applyAlignment="1">
      <alignment horizontal="center"/>
    </xf>
    <xf numFmtId="0" fontId="38" fillId="19" borderId="89" xfId="0" applyFont="1" applyFill="1" applyBorder="1" applyAlignment="1">
      <alignment horizontal="center"/>
    </xf>
    <xf numFmtId="0" fontId="38" fillId="0" borderId="58" xfId="0" applyFont="1" applyBorder="1" applyAlignment="1">
      <alignment horizontal="center"/>
    </xf>
    <xf numFmtId="0" fontId="38" fillId="0" borderId="89" xfId="0" applyFont="1" applyBorder="1" applyAlignment="1">
      <alignment horizontal="center"/>
    </xf>
    <xf numFmtId="0" fontId="38" fillId="16" borderId="89" xfId="0" applyFont="1" applyFill="1" applyBorder="1" applyAlignment="1">
      <alignment horizontal="center"/>
    </xf>
    <xf numFmtId="0" fontId="38" fillId="3" borderId="89" xfId="0" applyFont="1" applyFill="1" applyBorder="1" applyAlignment="1">
      <alignment horizontal="center"/>
    </xf>
    <xf numFmtId="0" fontId="38" fillId="40" borderId="89" xfId="0" applyFont="1" applyFill="1" applyBorder="1" applyAlignment="1">
      <alignment horizontal="center"/>
    </xf>
    <xf numFmtId="0" fontId="38" fillId="41" borderId="89" xfId="0" applyFont="1" applyFill="1" applyBorder="1" applyAlignment="1">
      <alignment horizontal="center"/>
    </xf>
    <xf numFmtId="0" fontId="38" fillId="42" borderId="89" xfId="0" applyFont="1" applyFill="1" applyBorder="1" applyAlignment="1">
      <alignment horizontal="center"/>
    </xf>
    <xf numFmtId="0" fontId="38" fillId="41" borderId="0" xfId="0" applyFont="1" applyFill="1" applyAlignment="1">
      <alignment horizontal="center"/>
    </xf>
    <xf numFmtId="0" fontId="38" fillId="42" borderId="58" xfId="0" applyFont="1" applyFill="1" applyBorder="1" applyAlignment="1">
      <alignment horizontal="center"/>
    </xf>
    <xf numFmtId="0" fontId="38" fillId="41" borderId="90" xfId="0" applyFont="1" applyFill="1" applyBorder="1" applyAlignment="1">
      <alignment horizontal="center"/>
    </xf>
    <xf numFmtId="0" fontId="38" fillId="42" borderId="0" xfId="0" applyFont="1" applyFill="1" applyAlignment="1">
      <alignment horizontal="center"/>
    </xf>
    <xf numFmtId="0" fontId="38" fillId="19" borderId="90" xfId="0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3" fontId="38" fillId="42" borderId="0" xfId="0" applyNumberFormat="1" applyFont="1" applyFill="1" applyAlignment="1">
      <alignment horizontal="center"/>
    </xf>
    <xf numFmtId="0" fontId="38" fillId="19" borderId="89" xfId="0" applyFont="1" applyFill="1" applyBorder="1"/>
    <xf numFmtId="20" fontId="38" fillId="19" borderId="0" xfId="0" applyNumberFormat="1" applyFont="1" applyFill="1" applyAlignment="1">
      <alignment horizontal="center"/>
    </xf>
    <xf numFmtId="0" fontId="38" fillId="19" borderId="0" xfId="0" applyFont="1" applyFill="1" applyAlignment="1">
      <alignment horizontal="center"/>
    </xf>
    <xf numFmtId="20" fontId="38" fillId="0" borderId="0" xfId="0" applyNumberFormat="1" applyFont="1" applyAlignment="1">
      <alignment horizontal="center"/>
    </xf>
    <xf numFmtId="0" fontId="38" fillId="0" borderId="89" xfId="0" applyFont="1" applyBorder="1"/>
    <xf numFmtId="3" fontId="50" fillId="42" borderId="0" xfId="0" applyNumberFormat="1" applyFont="1" applyFill="1" applyAlignment="1">
      <alignment horizontal="center"/>
    </xf>
    <xf numFmtId="0" fontId="50" fillId="42" borderId="0" xfId="0" applyFont="1" applyFill="1" applyAlignment="1">
      <alignment horizontal="center"/>
    </xf>
    <xf numFmtId="0" fontId="38" fillId="0" borderId="41" xfId="0" applyFont="1" applyBorder="1" applyAlignment="1">
      <alignment horizontal="center"/>
    </xf>
    <xf numFmtId="3" fontId="38" fillId="2" borderId="0" xfId="0" applyNumberFormat="1" applyFont="1" applyFill="1" applyAlignment="1">
      <alignment horizontal="center"/>
    </xf>
    <xf numFmtId="3" fontId="38" fillId="0" borderId="0" xfId="0" applyNumberFormat="1" applyFont="1" applyAlignment="1">
      <alignment horizontal="center"/>
    </xf>
    <xf numFmtId="3" fontId="38" fillId="42" borderId="0" xfId="0" applyNumberFormat="1" applyFont="1" applyFill="1"/>
    <xf numFmtId="3" fontId="38" fillId="0" borderId="0" xfId="0" applyNumberFormat="1" applyFont="1"/>
    <xf numFmtId="0" fontId="38" fillId="0" borderId="61" xfId="0" applyFont="1" applyBorder="1"/>
    <xf numFmtId="0" fontId="38" fillId="0" borderId="73" xfId="0" applyFont="1" applyBorder="1" applyAlignment="1">
      <alignment horizontal="right"/>
    </xf>
    <xf numFmtId="0" fontId="38" fillId="0" borderId="73" xfId="0" applyFont="1" applyBorder="1"/>
    <xf numFmtId="0" fontId="38" fillId="0" borderId="91" xfId="0" applyFont="1" applyBorder="1"/>
    <xf numFmtId="0" fontId="38" fillId="0" borderId="41" xfId="0" applyFont="1" applyBorder="1"/>
    <xf numFmtId="0" fontId="38" fillId="0" borderId="0" xfId="0" applyFont="1" applyAlignment="1">
      <alignment horizontal="right"/>
    </xf>
    <xf numFmtId="0" fontId="38" fillId="0" borderId="86" xfId="0" applyFont="1" applyBorder="1"/>
    <xf numFmtId="0" fontId="38" fillId="0" borderId="59" xfId="0" applyFont="1" applyBorder="1"/>
    <xf numFmtId="0" fontId="38" fillId="0" borderId="72" xfId="0" applyFont="1" applyBorder="1" applyAlignment="1">
      <alignment horizontal="right"/>
    </xf>
    <xf numFmtId="0" fontId="38" fillId="0" borderId="72" xfId="0" applyFont="1" applyBorder="1"/>
    <xf numFmtId="0" fontId="38" fillId="0" borderId="41" xfId="0" applyFont="1" applyBorder="1" applyAlignment="1">
      <alignment horizontal="right"/>
    </xf>
    <xf numFmtId="0" fontId="38" fillId="0" borderId="59" xfId="0" applyFont="1" applyBorder="1" applyAlignment="1">
      <alignment horizontal="right"/>
    </xf>
    <xf numFmtId="0" fontId="51" fillId="0" borderId="0" xfId="0" applyFont="1"/>
    <xf numFmtId="0" fontId="52" fillId="0" borderId="0" xfId="0" applyFont="1" applyAlignment="1">
      <alignment horizontal="center"/>
    </xf>
    <xf numFmtId="0" fontId="38" fillId="0" borderId="61" xfId="0" applyFont="1" applyBorder="1" applyAlignment="1">
      <alignment horizontal="center"/>
    </xf>
    <xf numFmtId="0" fontId="38" fillId="0" borderId="73" xfId="0" applyFont="1" applyBorder="1" applyAlignment="1">
      <alignment horizontal="center"/>
    </xf>
    <xf numFmtId="0" fontId="38" fillId="0" borderId="91" xfId="0" applyFont="1" applyBorder="1" applyAlignment="1">
      <alignment horizontal="center"/>
    </xf>
    <xf numFmtId="0" fontId="38" fillId="0" borderId="86" xfId="0" applyFont="1" applyBorder="1" applyAlignment="1">
      <alignment horizontal="center"/>
    </xf>
    <xf numFmtId="0" fontId="38" fillId="0" borderId="59" xfId="0" applyFont="1" applyBorder="1" applyAlignment="1">
      <alignment horizontal="center"/>
    </xf>
    <xf numFmtId="0" fontId="38" fillId="0" borderId="72" xfId="0" applyFont="1" applyBorder="1" applyAlignment="1">
      <alignment horizontal="center"/>
    </xf>
    <xf numFmtId="3" fontId="38" fillId="0" borderId="61" xfId="0" applyNumberFormat="1" applyFont="1" applyBorder="1" applyAlignment="1">
      <alignment horizontal="center"/>
    </xf>
    <xf numFmtId="46" fontId="38" fillId="0" borderId="0" xfId="0" applyNumberFormat="1" applyFont="1" applyAlignment="1">
      <alignment horizontal="right"/>
    </xf>
    <xf numFmtId="46" fontId="38" fillId="0" borderId="86" xfId="0" applyNumberFormat="1" applyFont="1" applyBorder="1" applyAlignment="1">
      <alignment horizontal="right"/>
    </xf>
    <xf numFmtId="4" fontId="38" fillId="0" borderId="0" xfId="0" applyNumberFormat="1" applyFont="1" applyAlignment="1">
      <alignment horizontal="right"/>
    </xf>
    <xf numFmtId="3" fontId="33" fillId="42" borderId="0" xfId="0" applyNumberFormat="1" applyFont="1" applyFill="1"/>
    <xf numFmtId="3" fontId="53" fillId="42" borderId="0" xfId="0" applyNumberFormat="1" applyFont="1" applyFill="1"/>
    <xf numFmtId="3" fontId="33" fillId="0" borderId="0" xfId="0" applyNumberFormat="1" applyFont="1"/>
    <xf numFmtId="3" fontId="33" fillId="0" borderId="41" xfId="0" applyNumberFormat="1" applyFont="1" applyBorder="1"/>
    <xf numFmtId="0" fontId="33" fillId="0" borderId="86" xfId="0" applyFont="1" applyBorder="1"/>
    <xf numFmtId="0" fontId="1" fillId="0" borderId="83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3" borderId="9" xfId="0" applyFont="1" applyFill="1" applyBorder="1" applyAlignment="1">
      <alignment horizontal="center" vertical="center" wrapText="1"/>
    </xf>
    <xf numFmtId="0" fontId="15" fillId="23" borderId="10" xfId="0" applyFont="1" applyFill="1" applyBorder="1" applyAlignment="1">
      <alignment horizontal="center" vertical="center" wrapText="1"/>
    </xf>
    <xf numFmtId="0" fontId="15" fillId="23" borderId="11" xfId="0" applyFont="1" applyFill="1" applyBorder="1" applyAlignment="1">
      <alignment horizontal="center" vertical="center" wrapText="1"/>
    </xf>
    <xf numFmtId="177" fontId="35" fillId="0" borderId="4" xfId="0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177" fontId="6" fillId="43" borderId="4" xfId="0" applyNumberFormat="1" applyFont="1" applyFill="1" applyBorder="1" applyAlignment="1">
      <alignment horizontal="center" vertical="center"/>
    </xf>
    <xf numFmtId="177" fontId="35" fillId="43" borderId="4" xfId="0" applyNumberFormat="1" applyFont="1" applyFill="1" applyBorder="1" applyAlignment="1">
      <alignment horizontal="center" vertical="center"/>
    </xf>
    <xf numFmtId="177" fontId="35" fillId="0" borderId="0" xfId="0" applyNumberFormat="1" applyFont="1" applyAlignment="1">
      <alignment horizontal="center" vertical="center"/>
    </xf>
    <xf numFmtId="177" fontId="6" fillId="0" borderId="8" xfId="0" applyNumberFormat="1" applyFont="1" applyBorder="1" applyAlignment="1">
      <alignment horizontal="center" vertical="center"/>
    </xf>
    <xf numFmtId="177" fontId="6" fillId="43" borderId="0" xfId="0" applyNumberFormat="1" applyFont="1" applyFill="1" applyAlignment="1">
      <alignment horizontal="center" vertical="center"/>
    </xf>
    <xf numFmtId="177" fontId="35" fillId="43" borderId="0" xfId="0" applyNumberFormat="1" applyFont="1" applyFill="1" applyAlignment="1">
      <alignment horizontal="center" vertical="center"/>
    </xf>
    <xf numFmtId="177" fontId="35" fillId="0" borderId="1" xfId="0" applyNumberFormat="1" applyFont="1" applyBorder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77" fontId="6" fillId="43" borderId="1" xfId="0" applyNumberFormat="1" applyFont="1" applyFill="1" applyBorder="1" applyAlignment="1">
      <alignment horizontal="center" vertical="center"/>
    </xf>
    <xf numFmtId="177" fontId="35" fillId="43" borderId="1" xfId="0" applyNumberFormat="1" applyFont="1" applyFill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7" fontId="6" fillId="0" borderId="7" xfId="0" applyNumberFormat="1" applyFon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7" fontId="6" fillId="0" borderId="41" xfId="0" applyNumberFormat="1" applyFont="1" applyBorder="1" applyAlignment="1">
      <alignment horizontal="center" vertical="center"/>
    </xf>
    <xf numFmtId="177" fontId="6" fillId="0" borderId="55" xfId="0" applyNumberFormat="1" applyFont="1" applyBorder="1" applyAlignment="1">
      <alignment horizontal="center" vertical="center"/>
    </xf>
    <xf numFmtId="0" fontId="15" fillId="17" borderId="9" xfId="0" applyFont="1" applyFill="1" applyBorder="1" applyAlignment="1">
      <alignment horizontal="center" vertical="center" wrapText="1"/>
    </xf>
    <xf numFmtId="0" fontId="15" fillId="17" borderId="10" xfId="0" applyFont="1" applyFill="1" applyBorder="1" applyAlignment="1">
      <alignment horizontal="center" vertical="center" wrapText="1"/>
    </xf>
    <xf numFmtId="0" fontId="15" fillId="17" borderId="11" xfId="0" applyFont="1" applyFill="1" applyBorder="1" applyAlignment="1">
      <alignment horizontal="center" vertical="center" wrapText="1"/>
    </xf>
    <xf numFmtId="177" fontId="6" fillId="17" borderId="3" xfId="0" applyNumberFormat="1" applyFont="1" applyFill="1" applyBorder="1" applyAlignment="1">
      <alignment horizontal="center" vertical="center"/>
    </xf>
    <xf numFmtId="177" fontId="35" fillId="17" borderId="4" xfId="0" applyNumberFormat="1" applyFont="1" applyFill="1" applyBorder="1" applyAlignment="1">
      <alignment horizontal="center" vertical="center"/>
    </xf>
    <xf numFmtId="177" fontId="6" fillId="17" borderId="5" xfId="0" applyNumberFormat="1" applyFont="1" applyFill="1" applyBorder="1" applyAlignment="1">
      <alignment horizontal="center" vertical="center"/>
    </xf>
    <xf numFmtId="177" fontId="6" fillId="17" borderId="7" xfId="0" applyNumberFormat="1" applyFont="1" applyFill="1" applyBorder="1" applyAlignment="1">
      <alignment horizontal="center" vertical="center"/>
    </xf>
    <xf numFmtId="177" fontId="35" fillId="17" borderId="0" xfId="0" applyNumberFormat="1" applyFont="1" applyFill="1" applyAlignment="1">
      <alignment horizontal="center" vertical="center"/>
    </xf>
    <xf numFmtId="177" fontId="6" fillId="17" borderId="8" xfId="0" applyNumberFormat="1" applyFont="1" applyFill="1" applyBorder="1" applyAlignment="1">
      <alignment horizontal="center" vertical="center"/>
    </xf>
    <xf numFmtId="177" fontId="6" fillId="17" borderId="6" xfId="0" applyNumberFormat="1" applyFont="1" applyFill="1" applyBorder="1" applyAlignment="1">
      <alignment horizontal="center" vertical="center"/>
    </xf>
    <xf numFmtId="177" fontId="35" fillId="17" borderId="1" xfId="0" applyNumberFormat="1" applyFont="1" applyFill="1" applyBorder="1" applyAlignment="1">
      <alignment horizontal="center" vertical="center"/>
    </xf>
    <xf numFmtId="177" fontId="6" fillId="17" borderId="2" xfId="0" applyNumberFormat="1" applyFont="1" applyFill="1" applyBorder="1" applyAlignment="1">
      <alignment horizontal="center" vertical="center"/>
    </xf>
    <xf numFmtId="177" fontId="6" fillId="17" borderId="0" xfId="0" applyNumberFormat="1" applyFont="1" applyFill="1" applyAlignment="1">
      <alignment horizontal="center" vertical="center"/>
    </xf>
    <xf numFmtId="177" fontId="6" fillId="17" borderId="1" xfId="0" applyNumberFormat="1" applyFont="1" applyFill="1" applyBorder="1" applyAlignment="1">
      <alignment horizontal="center" vertical="center"/>
    </xf>
    <xf numFmtId="177" fontId="4" fillId="25" borderId="102" xfId="0" applyNumberFormat="1" applyFont="1" applyFill="1" applyBorder="1" applyAlignment="1">
      <alignment horizontal="center" vertical="center"/>
    </xf>
    <xf numFmtId="177" fontId="54" fillId="25" borderId="83" xfId="0" applyNumberFormat="1" applyFont="1" applyFill="1" applyBorder="1" applyAlignment="1">
      <alignment horizontal="center" vertical="center"/>
    </xf>
    <xf numFmtId="177" fontId="4" fillId="25" borderId="83" xfId="0" applyNumberFormat="1" applyFont="1" applyFill="1" applyBorder="1" applyAlignment="1">
      <alignment horizontal="center" vertical="center"/>
    </xf>
    <xf numFmtId="177" fontId="4" fillId="43" borderId="83" xfId="0" applyNumberFormat="1" applyFont="1" applyFill="1" applyBorder="1" applyAlignment="1">
      <alignment horizontal="center" vertical="center"/>
    </xf>
    <xf numFmtId="177" fontId="54" fillId="43" borderId="83" xfId="0" applyNumberFormat="1" applyFont="1" applyFill="1" applyBorder="1" applyAlignment="1">
      <alignment horizontal="center" vertical="center"/>
    </xf>
    <xf numFmtId="177" fontId="11" fillId="0" borderId="55" xfId="0" applyNumberFormat="1" applyFont="1" applyBorder="1" applyAlignment="1">
      <alignment horizontal="center" vertical="center"/>
    </xf>
    <xf numFmtId="177" fontId="4" fillId="17" borderId="83" xfId="0" applyNumberFormat="1" applyFont="1" applyFill="1" applyBorder="1" applyAlignment="1">
      <alignment horizontal="center" vertical="center"/>
    </xf>
    <xf numFmtId="177" fontId="36" fillId="17" borderId="8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55" fillId="0" borderId="0" xfId="0" applyFont="1"/>
    <xf numFmtId="0" fontId="56" fillId="0" borderId="0" xfId="0" applyFont="1"/>
    <xf numFmtId="0" fontId="15" fillId="30" borderId="11" xfId="0" quotePrefix="1" applyFont="1" applyFill="1" applyBorder="1" applyAlignment="1">
      <alignment horizontal="center" vertical="center" wrapText="1"/>
    </xf>
    <xf numFmtId="180" fontId="19" fillId="11" borderId="17" xfId="0" quotePrefix="1" applyNumberFormat="1" applyFont="1" applyFill="1" applyBorder="1" applyAlignment="1">
      <alignment horizontal="center" vertical="center"/>
    </xf>
    <xf numFmtId="0" fontId="38" fillId="42" borderId="0" xfId="0" quotePrefix="1" applyFont="1" applyFill="1" applyAlignment="1">
      <alignment horizontal="center"/>
    </xf>
    <xf numFmtId="0" fontId="50" fillId="42" borderId="0" xfId="0" quotePrefix="1" applyFont="1" applyFill="1" applyAlignment="1">
      <alignment horizontal="center"/>
    </xf>
    <xf numFmtId="3" fontId="50" fillId="42" borderId="0" xfId="0" quotePrefix="1" applyNumberFormat="1" applyFont="1" applyFill="1" applyAlignment="1">
      <alignment horizontal="center"/>
    </xf>
    <xf numFmtId="0" fontId="39" fillId="0" borderId="93" xfId="1" quotePrefix="1" applyFont="1" applyBorder="1" applyAlignment="1">
      <alignment horizontal="center" vertical="center"/>
    </xf>
    <xf numFmtId="0" fontId="1" fillId="0" borderId="93" xfId="1" quotePrefix="1" applyFont="1" applyBorder="1" applyAlignment="1">
      <alignment horizontal="center" vertical="center"/>
    </xf>
    <xf numFmtId="20" fontId="1" fillId="0" borderId="93" xfId="1" quotePrefix="1" applyNumberFormat="1" applyFont="1" applyBorder="1" applyAlignment="1">
      <alignment horizontal="center" vertical="center"/>
    </xf>
    <xf numFmtId="0" fontId="1" fillId="32" borderId="93" xfId="1" quotePrefix="1" applyFont="1" applyFill="1" applyBorder="1" applyAlignment="1">
      <alignment horizontal="center" vertical="center"/>
    </xf>
    <xf numFmtId="20" fontId="1" fillId="32" borderId="93" xfId="1" quotePrefix="1" applyNumberFormat="1" applyFont="1" applyFill="1" applyBorder="1" applyAlignment="1">
      <alignment horizontal="center" vertical="center"/>
    </xf>
    <xf numFmtId="0" fontId="32" fillId="0" borderId="93" xfId="1" quotePrefix="1" applyFont="1" applyBorder="1" applyAlignment="1">
      <alignment horizontal="center" vertical="center"/>
    </xf>
    <xf numFmtId="0" fontId="32" fillId="0" borderId="0" xfId="0" quotePrefix="1" applyFont="1"/>
    <xf numFmtId="0" fontId="15" fillId="0" borderId="4" xfId="0" quotePrefix="1" applyFont="1" applyBorder="1" applyAlignment="1">
      <alignment horizontal="center" vertical="center" wrapText="1"/>
    </xf>
    <xf numFmtId="177" fontId="9" fillId="0" borderId="5" xfId="0" quotePrefix="1" applyNumberFormat="1" applyFont="1" applyBorder="1" applyAlignment="1">
      <alignment horizontal="center" vertical="center"/>
    </xf>
    <xf numFmtId="180" fontId="19" fillId="11" borderId="0" xfId="0" quotePrefix="1" applyNumberFormat="1" applyFont="1" applyFill="1" applyAlignment="1">
      <alignment horizontal="center" vertical="center"/>
    </xf>
    <xf numFmtId="180" fontId="19" fillId="11" borderId="18" xfId="0" quotePrefix="1" applyNumberFormat="1" applyFont="1" applyFill="1" applyBorder="1" applyAlignment="1">
      <alignment horizontal="center" vertical="center"/>
    </xf>
    <xf numFmtId="180" fontId="19" fillId="11" borderId="16" xfId="0" quotePrefix="1" applyNumberFormat="1" applyFont="1" applyFill="1" applyBorder="1" applyAlignment="1">
      <alignment horizontal="center" vertical="center"/>
    </xf>
    <xf numFmtId="0" fontId="15" fillId="5" borderId="5" xfId="0" quotePrefix="1" applyFont="1" applyFill="1" applyBorder="1" applyAlignment="1">
      <alignment horizontal="center" vertical="center" wrapText="1"/>
    </xf>
    <xf numFmtId="0" fontId="15" fillId="5" borderId="4" xfId="0" quotePrefix="1" applyFont="1" applyFill="1" applyBorder="1" applyAlignment="1">
      <alignment horizontal="center" vertical="center" wrapText="1"/>
    </xf>
    <xf numFmtId="177" fontId="11" fillId="0" borderId="16" xfId="0" quotePrefix="1" applyNumberFormat="1" applyFont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67" fillId="0" borderId="0" xfId="0" applyFont="1" applyAlignment="1">
      <alignment horizontal="center" vertical="top"/>
    </xf>
    <xf numFmtId="0" fontId="68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64" fillId="0" borderId="0" xfId="0" applyFont="1" applyAlignment="1">
      <alignment horizontal="center" vertical="top"/>
    </xf>
    <xf numFmtId="20" fontId="0" fillId="0" borderId="0" xfId="0" applyNumberFormat="1" applyAlignment="1">
      <alignment horizontal="center" vertical="top"/>
    </xf>
    <xf numFmtId="0" fontId="67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6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4" fillId="0" borderId="0" xfId="0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0" fillId="0" borderId="0" xfId="0" applyAlignment="1">
      <alignment vertical="top"/>
    </xf>
    <xf numFmtId="0" fontId="40" fillId="2" borderId="3" xfId="0" applyFont="1" applyFill="1" applyBorder="1" applyAlignment="1">
      <alignment horizontal="center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30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30" fillId="17" borderId="9" xfId="0" applyFont="1" applyFill="1" applyBorder="1" applyAlignment="1">
      <alignment horizontal="center" vertical="center" wrapText="1"/>
    </xf>
    <xf numFmtId="0" fontId="30" fillId="29" borderId="9" xfId="0" applyFont="1" applyFill="1" applyBorder="1" applyAlignment="1">
      <alignment horizontal="center" vertical="center" wrapText="1"/>
    </xf>
    <xf numFmtId="0" fontId="30" fillId="11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41" xfId="0" applyFont="1" applyBorder="1" applyAlignment="1">
      <alignment horizontal="center"/>
    </xf>
    <xf numFmtId="0" fontId="49" fillId="0" borderId="99" xfId="0" applyFont="1" applyBorder="1" applyAlignment="1">
      <alignment horizontal="center" wrapText="1"/>
    </xf>
    <xf numFmtId="0" fontId="2" fillId="0" borderId="41" xfId="0" applyFont="1" applyBorder="1" applyAlignment="1">
      <alignment vertical="top"/>
    </xf>
    <xf numFmtId="0" fontId="49" fillId="19" borderId="99" xfId="0" applyFont="1" applyFill="1" applyBorder="1" applyAlignment="1">
      <alignment horizontal="center" wrapText="1"/>
    </xf>
    <xf numFmtId="0" fontId="49" fillId="0" borderId="99" xfId="0" applyFont="1" applyBorder="1" applyAlignment="1">
      <alignment horizontal="center"/>
    </xf>
    <xf numFmtId="0" fontId="49" fillId="19" borderId="99" xfId="0" applyFont="1" applyFill="1" applyBorder="1" applyAlignment="1">
      <alignment horizontal="center"/>
    </xf>
    <xf numFmtId="0" fontId="49" fillId="0" borderId="100" xfId="0" applyFont="1" applyBorder="1" applyAlignment="1">
      <alignment horizontal="center"/>
    </xf>
    <xf numFmtId="0" fontId="2" fillId="0" borderId="66" xfId="0" applyFont="1" applyBorder="1" applyAlignment="1">
      <alignment vertical="top"/>
    </xf>
    <xf numFmtId="0" fontId="2" fillId="0" borderId="101" xfId="0" applyFont="1" applyBorder="1" applyAlignment="1">
      <alignment vertical="top"/>
    </xf>
    <xf numFmtId="0" fontId="41" fillId="0" borderId="0" xfId="1" applyFont="1" applyAlignment="1">
      <alignment horizontal="center" vertical="center"/>
    </xf>
    <xf numFmtId="0" fontId="39" fillId="0" borderId="94" xfId="1" applyFont="1" applyBorder="1" applyAlignment="1">
      <alignment horizontal="center" vertical="center"/>
    </xf>
    <xf numFmtId="0" fontId="39" fillId="0" borderId="95" xfId="1" applyFont="1" applyBorder="1" applyAlignment="1">
      <alignment horizontal="center" vertical="center"/>
    </xf>
    <xf numFmtId="0" fontId="39" fillId="0" borderId="92" xfId="1" applyFont="1" applyBorder="1" applyAlignment="1">
      <alignment horizontal="center" vertical="center"/>
    </xf>
    <xf numFmtId="0" fontId="32" fillId="33" borderId="61" xfId="1" applyFont="1" applyFill="1" applyBorder="1" applyAlignment="1">
      <alignment horizontal="center" vertical="center"/>
    </xf>
    <xf numFmtId="0" fontId="32" fillId="33" borderId="73" xfId="1" applyFont="1" applyFill="1" applyBorder="1" applyAlignment="1">
      <alignment horizontal="center" vertical="center"/>
    </xf>
    <xf numFmtId="0" fontId="32" fillId="33" borderId="91" xfId="1" applyFont="1" applyFill="1" applyBorder="1" applyAlignment="1">
      <alignment horizontal="center" vertical="center"/>
    </xf>
    <xf numFmtId="0" fontId="1" fillId="0" borderId="94" xfId="1" applyFont="1" applyBorder="1" applyAlignment="1">
      <alignment horizontal="center" vertical="center"/>
    </xf>
    <xf numFmtId="0" fontId="1" fillId="0" borderId="95" xfId="1" applyFont="1" applyBorder="1" applyAlignment="1">
      <alignment horizontal="center" vertical="center"/>
    </xf>
    <xf numFmtId="0" fontId="1" fillId="0" borderId="92" xfId="1" applyFont="1" applyBorder="1" applyAlignment="1">
      <alignment horizontal="center" vertical="center"/>
    </xf>
    <xf numFmtId="0" fontId="32" fillId="37" borderId="61" xfId="1" applyFont="1" applyFill="1" applyBorder="1" applyAlignment="1">
      <alignment horizontal="center" vertical="center"/>
    </xf>
    <xf numFmtId="0" fontId="32" fillId="37" borderId="73" xfId="1" applyFont="1" applyFill="1" applyBorder="1" applyAlignment="1">
      <alignment horizontal="center" vertical="center"/>
    </xf>
    <xf numFmtId="0" fontId="32" fillId="37" borderId="91" xfId="1" applyFont="1" applyFill="1" applyBorder="1" applyAlignment="1">
      <alignment horizontal="center" vertical="center"/>
    </xf>
    <xf numFmtId="49" fontId="44" fillId="0" borderId="96" xfId="1" applyNumberFormat="1" applyFont="1" applyBorder="1" applyAlignment="1" applyProtection="1">
      <alignment horizontal="center" vertical="center" wrapText="1"/>
      <protection locked="0"/>
    </xf>
    <xf numFmtId="49" fontId="44" fillId="0" borderId="88" xfId="1" applyNumberFormat="1" applyFont="1" applyBorder="1" applyAlignment="1" applyProtection="1">
      <alignment horizontal="center" vertical="center" wrapText="1"/>
      <protection locked="0"/>
    </xf>
    <xf numFmtId="49" fontId="44" fillId="0" borderId="87" xfId="1" applyNumberFormat="1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shrinkToFit="1"/>
    </xf>
    <xf numFmtId="0" fontId="2" fillId="0" borderId="16" xfId="0" applyFont="1" applyBorder="1" applyAlignment="1">
      <alignment vertical="top"/>
    </xf>
    <xf numFmtId="0" fontId="2" fillId="0" borderId="17" xfId="0" applyFont="1" applyBorder="1" applyAlignment="1">
      <alignment vertical="top"/>
    </xf>
    <xf numFmtId="0" fontId="6" fillId="4" borderId="3" xfId="0" applyFont="1" applyFill="1" applyBorder="1" applyAlignment="1">
      <alignment horizontal="center" vertical="center" shrinkToFit="1"/>
    </xf>
    <xf numFmtId="0" fontId="2" fillId="0" borderId="7" xfId="0" applyFont="1" applyBorder="1" applyAlignment="1">
      <alignment vertical="top"/>
    </xf>
    <xf numFmtId="0" fontId="22" fillId="4" borderId="9" xfId="0" applyFont="1" applyFill="1" applyBorder="1" applyAlignment="1">
      <alignment horizontal="center" vertical="center" shrinkToFit="1"/>
    </xf>
    <xf numFmtId="0" fontId="22" fillId="0" borderId="6" xfId="0" applyFont="1" applyBorder="1" applyAlignment="1">
      <alignment horizontal="center" vertical="center" shrinkToFit="1"/>
    </xf>
    <xf numFmtId="0" fontId="6" fillId="0" borderId="18" xfId="0" applyFont="1" applyBorder="1" applyAlignment="1">
      <alignment horizontal="center" vertical="center" shrinkToFit="1"/>
    </xf>
    <xf numFmtId="0" fontId="6" fillId="12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6" fillId="12" borderId="0" xfId="0" applyFont="1" applyFill="1" applyAlignment="1">
      <alignment horizontal="center"/>
    </xf>
    <xf numFmtId="9" fontId="18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/>
    </xf>
    <xf numFmtId="0" fontId="2" fillId="0" borderId="76" xfId="0" applyFont="1" applyBorder="1" applyAlignment="1">
      <alignment vertical="top"/>
    </xf>
    <xf numFmtId="0" fontId="5" fillId="0" borderId="16" xfId="0" applyFont="1" applyBorder="1" applyAlignment="1">
      <alignment horizontal="center" vertical="center" wrapText="1"/>
    </xf>
    <xf numFmtId="0" fontId="2" fillId="0" borderId="23" xfId="0" applyFont="1" applyBorder="1" applyAlignment="1">
      <alignment vertical="top"/>
    </xf>
    <xf numFmtId="0" fontId="5" fillId="0" borderId="36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77" xfId="0" applyFont="1" applyBorder="1" applyAlignment="1">
      <alignment horizontal="center" vertical="center"/>
    </xf>
    <xf numFmtId="0" fontId="2" fillId="0" borderId="57" xfId="0" applyFont="1" applyBorder="1" applyAlignment="1">
      <alignment vertical="top"/>
    </xf>
    <xf numFmtId="0" fontId="5" fillId="0" borderId="80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2" fillId="0" borderId="53" xfId="0" applyFont="1" applyBorder="1" applyAlignment="1">
      <alignment vertical="top"/>
    </xf>
    <xf numFmtId="0" fontId="2" fillId="0" borderId="65" xfId="0" applyFont="1" applyBorder="1" applyAlignment="1">
      <alignment vertical="top"/>
    </xf>
    <xf numFmtId="0" fontId="5" fillId="0" borderId="81" xfId="0" applyFont="1" applyBorder="1" applyAlignment="1">
      <alignment horizontal="center" vertical="center" wrapText="1"/>
    </xf>
    <xf numFmtId="0" fontId="2" fillId="0" borderId="60" xfId="0" applyFont="1" applyBorder="1" applyAlignment="1">
      <alignment vertical="top"/>
    </xf>
    <xf numFmtId="0" fontId="2" fillId="0" borderId="42" xfId="0" applyFont="1" applyBorder="1" applyAlignment="1">
      <alignment vertical="top"/>
    </xf>
    <xf numFmtId="0" fontId="5" fillId="0" borderId="39" xfId="0" applyFont="1" applyBorder="1" applyAlignment="1">
      <alignment horizontal="center" vertical="center" wrapText="1"/>
    </xf>
    <xf numFmtId="0" fontId="2" fillId="0" borderId="56" xfId="0" applyFont="1" applyBorder="1" applyAlignment="1">
      <alignment vertical="top"/>
    </xf>
    <xf numFmtId="49" fontId="5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74" xfId="0" applyFont="1" applyBorder="1" applyAlignment="1">
      <alignment vertical="top"/>
    </xf>
    <xf numFmtId="0" fontId="2" fillId="0" borderId="75" xfId="0" applyFont="1" applyBorder="1" applyAlignment="1">
      <alignment vertical="top"/>
    </xf>
    <xf numFmtId="49" fontId="4" fillId="0" borderId="3" xfId="0" applyNumberFormat="1" applyFont="1" applyBorder="1" applyAlignment="1">
      <alignment horizontal="center" vertical="center" wrapText="1"/>
    </xf>
  </cellXfs>
  <cellStyles count="5">
    <cellStyle name="Normal 2" xfId="1" xr:uid="{00000000-0005-0000-0000-000000000000}"/>
    <cellStyle name="Normal 3" xfId="3" xr:uid="{00000000-0005-0000-0000-000001000000}"/>
    <cellStyle name="一般" xfId="0" builtinId="0"/>
    <cellStyle name="一般 2" xfId="2" xr:uid="{00000000-0005-0000-0000-000003000000}"/>
    <cellStyle name="一般 2 2" xfId="4" xr:uid="{00000000-0005-0000-0000-000004000000}"/>
  </cellStyles>
  <dxfs count="35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6A6A6"/>
          <bgColor rgb="FFA6A6A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ont>
        <b/>
      </font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6A6A6"/>
          <bgColor rgb="FFA6A6A6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FF"/>
          <bgColor rgb="FFFF00FF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L%20EXA&#65325;%20S6%202425_Invigilation_(4.12.2024)T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6 FINAL EXAM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1.09765625" defaultRowHeight="15" customHeight="1"/>
  <cols>
    <col min="1" max="26" width="7" customWidth="1"/>
  </cols>
  <sheetData>
    <row r="1" spans="1:26" ht="16.2">
      <c r="A1" s="169" t="s">
        <v>0</v>
      </c>
      <c r="B1" s="169"/>
      <c r="C1" s="169"/>
      <c r="D1" s="169"/>
      <c r="E1" s="169"/>
      <c r="F1" s="169"/>
      <c r="G1" s="948">
        <v>41190</v>
      </c>
      <c r="H1" s="94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 spans="1:26" ht="16.2">
      <c r="A2" s="946" t="s">
        <v>1</v>
      </c>
      <c r="B2" s="947"/>
      <c r="C2" s="169"/>
      <c r="D2" s="169"/>
      <c r="E2" s="169"/>
      <c r="F2" s="169"/>
      <c r="G2" s="950"/>
      <c r="H2" s="951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 spans="1:26" ht="16.2">
      <c r="A3" s="907" t="s">
        <v>2</v>
      </c>
      <c r="B3" s="642" t="s">
        <v>3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spans="1:26" ht="16.2">
      <c r="A4" s="169"/>
      <c r="B4" s="642" t="s">
        <v>4</v>
      </c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 spans="1:26" ht="16.2">
      <c r="A5" s="908"/>
      <c r="B5" s="908" t="s">
        <v>5</v>
      </c>
      <c r="C5" s="908"/>
      <c r="D5" s="908"/>
      <c r="E5" s="908"/>
      <c r="F5" s="908"/>
      <c r="G5" s="908"/>
      <c r="H5" s="908"/>
      <c r="I5" s="908"/>
      <c r="J5" s="908"/>
      <c r="K5" s="908"/>
      <c r="L5" s="908"/>
      <c r="M5" s="908"/>
      <c r="N5" s="908"/>
      <c r="O5" s="908"/>
      <c r="P5" s="908"/>
      <c r="Q5" s="908"/>
      <c r="R5" s="908"/>
      <c r="S5" s="908"/>
      <c r="T5" s="908"/>
      <c r="U5" s="908"/>
      <c r="V5" s="908"/>
      <c r="W5" s="908"/>
      <c r="X5" s="908"/>
      <c r="Y5" s="908"/>
      <c r="Z5" s="908"/>
    </row>
    <row r="6" spans="1:26" ht="16.2">
      <c r="A6" s="169"/>
      <c r="B6" s="642" t="s">
        <v>6</v>
      </c>
      <c r="C6" s="169"/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 spans="1:26" ht="16.2">
      <c r="A7" s="907"/>
      <c r="B7" s="642" t="s">
        <v>7</v>
      </c>
      <c r="C7" s="169"/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 spans="1:26" ht="16.2">
      <c r="A8" s="907"/>
      <c r="B8" s="642" t="s">
        <v>8</v>
      </c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 spans="1:26" ht="15.6">
      <c r="A9" s="169"/>
      <c r="B9" s="642" t="s">
        <v>9</v>
      </c>
      <c r="C9" s="169"/>
      <c r="D9" s="169"/>
      <c r="E9" s="169"/>
      <c r="F9" s="169"/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 spans="1:26" ht="16.2">
      <c r="A10" s="907" t="s">
        <v>10</v>
      </c>
      <c r="B10" s="909" t="s">
        <v>11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 spans="1:26" ht="16.2">
      <c r="A11" s="169"/>
      <c r="B11" s="642" t="s">
        <v>12</v>
      </c>
      <c r="C11" s="169"/>
      <c r="D11" s="169"/>
      <c r="E11" s="169"/>
      <c r="F11" s="169"/>
      <c r="G11" s="169"/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 spans="1:26" ht="16.2">
      <c r="A12" s="907" t="s">
        <v>13</v>
      </c>
      <c r="B12" s="642" t="s">
        <v>14</v>
      </c>
      <c r="C12" s="169"/>
      <c r="D12" s="169"/>
      <c r="E12" s="169"/>
      <c r="F12" s="169"/>
      <c r="G12" s="169"/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 spans="1:26" ht="16.2">
      <c r="A13" s="169"/>
      <c r="B13" s="642" t="s">
        <v>15</v>
      </c>
      <c r="C13" s="169"/>
      <c r="D13" s="169"/>
      <c r="E13" s="169"/>
      <c r="F13" s="169"/>
      <c r="G13" s="169"/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 spans="1:26" ht="15.6">
      <c r="A14" s="907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 spans="1:26" ht="15.6">
      <c r="A15" s="907"/>
      <c r="B15" s="169"/>
      <c r="C15" s="169"/>
      <c r="D15" s="169"/>
      <c r="E15" s="169"/>
      <c r="F15" s="169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 spans="1:26" ht="16.2">
      <c r="A16" s="169" t="s">
        <v>16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 spans="1:26" ht="15.6">
      <c r="A17" s="169"/>
      <c r="B17" s="642" t="s">
        <v>17</v>
      </c>
      <c r="C17" s="169"/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 spans="1:26" ht="15.6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 spans="1:26" ht="16.2">
      <c r="A19" s="169" t="s">
        <v>18</v>
      </c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 spans="1:26" ht="16.2">
      <c r="A20" s="907" t="s">
        <v>2</v>
      </c>
      <c r="B20" s="909" t="s">
        <v>19</v>
      </c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 spans="1:26" ht="15.75" customHeight="1">
      <c r="A21" s="907" t="s">
        <v>10</v>
      </c>
      <c r="B21" s="642" t="s">
        <v>20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 spans="1:26" ht="15.75" customHeight="1">
      <c r="A22" s="907" t="s">
        <v>13</v>
      </c>
      <c r="B22" s="642" t="s">
        <v>21</v>
      </c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 spans="1:26" ht="15.75" customHeight="1">
      <c r="A23" s="169"/>
      <c r="B23" s="642" t="s">
        <v>22</v>
      </c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 spans="1:26" ht="15.75" customHeight="1">
      <c r="A24" s="169"/>
      <c r="B24" s="642" t="s">
        <v>23</v>
      </c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 spans="1:26" ht="15.75" customHeight="1">
      <c r="A25" s="169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 spans="1:26" ht="15.75" customHeight="1">
      <c r="A26" s="169" t="s">
        <v>24</v>
      </c>
      <c r="B26" s="169"/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  <row r="27" spans="1:26" ht="15.75" customHeight="1">
      <c r="A27" s="169"/>
      <c r="B27" s="169"/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</row>
    <row r="28" spans="1:26" ht="15.75" customHeight="1">
      <c r="A28" s="169"/>
      <c r="B28" s="169"/>
      <c r="C28" s="169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</row>
    <row r="29" spans="1:26" ht="15.75" customHeight="1">
      <c r="A29" s="169"/>
      <c r="B29" s="169"/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</row>
    <row r="30" spans="1:26" ht="15.75" customHeight="1">
      <c r="A30" s="169"/>
      <c r="B30" s="169"/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 spans="1:26" ht="15.75" customHeight="1">
      <c r="A31" s="169"/>
      <c r="B31" s="169"/>
      <c r="C31" s="169"/>
      <c r="D31" s="169"/>
      <c r="E31" s="169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 spans="1:26" ht="15.75" customHeight="1">
      <c r="A32" s="169"/>
      <c r="B32" s="169"/>
      <c r="C32" s="169"/>
      <c r="D32" s="169"/>
      <c r="E32" s="16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 spans="1:26" ht="15.75" customHeight="1">
      <c r="A33" s="169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 spans="1:26" ht="15.75" customHeight="1">
      <c r="A34" s="169"/>
      <c r="B34" s="169"/>
      <c r="C34" s="169"/>
      <c r="D34" s="169"/>
      <c r="E34" s="16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 spans="1:26" ht="15.75" customHeight="1">
      <c r="A35" s="169"/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 spans="1:26" ht="15.75" customHeight="1">
      <c r="A36" s="169"/>
      <c r="B36" s="169"/>
      <c r="C36" s="169"/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 spans="1:26" ht="15.75" customHeight="1">
      <c r="A37" s="169"/>
      <c r="B37" s="169"/>
      <c r="C37" s="169"/>
      <c r="D37" s="169"/>
      <c r="E37" s="169"/>
      <c r="F37" s="169"/>
      <c r="G37" s="169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</row>
    <row r="38" spans="1:26" ht="15.75" customHeight="1">
      <c r="A38" s="169"/>
      <c r="B38" s="169"/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</row>
    <row r="39" spans="1:26" ht="15.75" customHeight="1">
      <c r="A39" s="169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 spans="1:26" ht="15.75" customHeight="1">
      <c r="A40" s="169"/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</row>
    <row r="41" spans="1:26" ht="15.75" customHeight="1">
      <c r="A41" s="169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</row>
    <row r="42" spans="1:26" ht="15.75" customHeight="1">
      <c r="A42" s="169"/>
      <c r="B42" s="169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</row>
    <row r="43" spans="1:26" ht="15.75" customHeight="1">
      <c r="A43" s="169"/>
      <c r="B43" s="169"/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</row>
    <row r="44" spans="1:26" ht="15.75" customHeight="1">
      <c r="A44" s="169"/>
      <c r="B44" s="169"/>
      <c r="C44" s="169"/>
      <c r="D44" s="169"/>
      <c r="E44" s="169"/>
      <c r="F44" s="169"/>
      <c r="G44" s="169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</row>
    <row r="45" spans="1:26" ht="15.75" customHeight="1">
      <c r="A45" s="169"/>
      <c r="B45" s="169"/>
      <c r="C45" s="169"/>
      <c r="D45" s="169"/>
      <c r="E45" s="169"/>
      <c r="F45" s="169"/>
      <c r="G45" s="169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</row>
    <row r="46" spans="1:26" ht="15.75" customHeight="1">
      <c r="A46" s="169"/>
      <c r="B46" s="169"/>
      <c r="C46" s="169"/>
      <c r="D46" s="169"/>
      <c r="E46" s="169"/>
      <c r="F46" s="169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 spans="1:26" ht="15.75" customHeight="1">
      <c r="A47" s="169"/>
      <c r="B47" s="169"/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</row>
    <row r="48" spans="1:26" ht="15.75" customHeight="1">
      <c r="A48" s="169"/>
      <c r="B48" s="169"/>
      <c r="C48" s="169"/>
      <c r="D48" s="169"/>
      <c r="E48" s="169"/>
      <c r="F48" s="169"/>
      <c r="G48" s="169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</row>
    <row r="49" spans="1:26" ht="15.75" customHeight="1">
      <c r="A49" s="169"/>
      <c r="B49" s="169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</row>
    <row r="50" spans="1:26" ht="15.75" customHeight="1">
      <c r="A50" s="169"/>
      <c r="B50" s="169"/>
      <c r="C50" s="169"/>
      <c r="D50" s="169"/>
      <c r="E50" s="169"/>
      <c r="F50" s="169"/>
      <c r="G50" s="169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 spans="1:26" ht="15.75" customHeight="1">
      <c r="A51" s="169"/>
      <c r="B51" s="169"/>
      <c r="C51" s="169"/>
      <c r="D51" s="169"/>
      <c r="E51" s="169"/>
      <c r="F51" s="169"/>
      <c r="G51" s="169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</row>
    <row r="52" spans="1:26" ht="15.75" customHeight="1">
      <c r="A52" s="169"/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15.75" customHeight="1">
      <c r="A53" s="169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</row>
    <row r="54" spans="1:26" ht="15.75" customHeight="1">
      <c r="A54" s="169"/>
      <c r="B54" s="169"/>
      <c r="C54" s="169"/>
      <c r="D54" s="169"/>
      <c r="E54" s="169"/>
      <c r="F54" s="169"/>
      <c r="G54" s="169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</row>
    <row r="55" spans="1:26" ht="15.75" customHeight="1">
      <c r="A55" s="169"/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</row>
    <row r="56" spans="1:26" ht="15.75" customHeight="1">
      <c r="A56" s="169"/>
      <c r="B56" s="169"/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</row>
    <row r="57" spans="1:26" ht="15.75" customHeight="1">
      <c r="A57" s="169"/>
      <c r="B57" s="169"/>
      <c r="C57" s="169"/>
      <c r="D57" s="169"/>
      <c r="E57" s="169"/>
      <c r="F57" s="169"/>
      <c r="G57" s="169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</row>
    <row r="58" spans="1:26" ht="15.75" customHeight="1">
      <c r="A58" s="169"/>
      <c r="B58" s="169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</row>
    <row r="59" spans="1:26" ht="15.75" customHeight="1">
      <c r="A59" s="169"/>
      <c r="B59" s="169"/>
      <c r="C59" s="169"/>
      <c r="D59" s="169"/>
      <c r="E59" s="169"/>
      <c r="F59" s="169"/>
      <c r="G59" s="169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</row>
    <row r="60" spans="1:26" ht="15.75" customHeight="1">
      <c r="A60" s="169"/>
      <c r="B60" s="169"/>
      <c r="C60" s="169"/>
      <c r="D60" s="169"/>
      <c r="E60" s="169"/>
      <c r="F60" s="169"/>
      <c r="G60" s="169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 spans="1:26" ht="15.75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  <row r="62" spans="1:26" ht="15.75" customHeight="1">
      <c r="A62" s="169"/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</row>
    <row r="63" spans="1:26" ht="15.75" customHeight="1">
      <c r="A63" s="169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</row>
    <row r="64" spans="1:26" ht="15.75" customHeight="1">
      <c r="A64" s="169"/>
      <c r="B64" s="169"/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</row>
    <row r="65" spans="1:26" ht="15.75" customHeight="1">
      <c r="A65" s="169"/>
      <c r="B65" s="169"/>
      <c r="C65" s="169"/>
      <c r="D65" s="169"/>
      <c r="E65" s="169"/>
      <c r="F65" s="169"/>
      <c r="G65" s="169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</row>
    <row r="66" spans="1:26" ht="15.75" customHeight="1">
      <c r="A66" s="169"/>
      <c r="B66" s="169"/>
      <c r="C66" s="169"/>
      <c r="D66" s="169"/>
      <c r="E66" s="169"/>
      <c r="F66" s="169"/>
      <c r="G66" s="169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</row>
    <row r="67" spans="1:26" ht="15.75" customHeight="1">
      <c r="A67" s="169"/>
      <c r="B67" s="169"/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</row>
    <row r="68" spans="1:26" ht="15.75" customHeight="1">
      <c r="A68" s="169"/>
      <c r="B68" s="169"/>
      <c r="C68" s="169"/>
      <c r="D68" s="169"/>
      <c r="E68" s="169"/>
      <c r="F68" s="169"/>
      <c r="G68" s="169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</row>
    <row r="69" spans="1:26" ht="15.75" customHeight="1">
      <c r="A69" s="169"/>
      <c r="B69" s="169"/>
      <c r="C69" s="169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</row>
    <row r="70" spans="1:26" ht="15.75" customHeight="1">
      <c r="A70" s="169"/>
      <c r="B70" s="169"/>
      <c r="C70" s="169"/>
      <c r="D70" s="169"/>
      <c r="E70" s="169"/>
      <c r="F70" s="169"/>
      <c r="G70" s="169"/>
      <c r="H70" s="169"/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</row>
    <row r="71" spans="1:26" ht="15.75" customHeight="1">
      <c r="A71" s="169"/>
      <c r="B71" s="169"/>
      <c r="C71" s="169"/>
      <c r="D71" s="169"/>
      <c r="E71" s="169"/>
      <c r="F71" s="169"/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</row>
    <row r="72" spans="1:26" ht="15.75" customHeight="1">
      <c r="A72" s="169"/>
      <c r="B72" s="169"/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</row>
    <row r="73" spans="1:26" ht="15.75" customHeight="1">
      <c r="A73" s="169"/>
      <c r="B73" s="169"/>
      <c r="C73" s="169"/>
      <c r="D73" s="169"/>
      <c r="E73" s="169"/>
      <c r="F73" s="169"/>
      <c r="G73" s="169"/>
      <c r="H73" s="169"/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</row>
    <row r="74" spans="1:26" ht="15.75" customHeight="1">
      <c r="A74" s="169"/>
      <c r="B74" s="169"/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</row>
    <row r="75" spans="1:26" ht="15.75" customHeight="1">
      <c r="A75" s="169"/>
      <c r="B75" s="169"/>
      <c r="C75" s="169"/>
      <c r="D75" s="169"/>
      <c r="E75" s="169"/>
      <c r="F75" s="169"/>
      <c r="G75" s="169"/>
      <c r="H75" s="169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</row>
    <row r="76" spans="1:26" ht="15.75" customHeight="1">
      <c r="A76" s="169"/>
      <c r="B76" s="169"/>
      <c r="C76" s="169"/>
      <c r="D76" s="169"/>
      <c r="E76" s="169"/>
      <c r="F76" s="169"/>
      <c r="G76" s="169"/>
      <c r="H76" s="169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</row>
    <row r="77" spans="1:26" ht="15.75" customHeight="1">
      <c r="A77" s="169"/>
      <c r="B77" s="169"/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</row>
    <row r="78" spans="1:26" ht="15.75" customHeight="1">
      <c r="A78" s="169"/>
      <c r="B78" s="169"/>
      <c r="C78" s="169"/>
      <c r="D78" s="169"/>
      <c r="E78" s="169"/>
      <c r="F78" s="169"/>
      <c r="G78" s="169"/>
      <c r="H78" s="169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</row>
    <row r="79" spans="1:26" ht="15.75" customHeight="1">
      <c r="A79" s="169"/>
      <c r="B79" s="169"/>
      <c r="C79" s="169"/>
      <c r="D79" s="169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</row>
    <row r="80" spans="1:26" ht="15.75" customHeight="1">
      <c r="A80" s="169"/>
      <c r="B80" s="169"/>
      <c r="C80" s="169"/>
      <c r="D80" s="169"/>
      <c r="E80" s="169"/>
      <c r="F80" s="169"/>
      <c r="G80" s="169"/>
      <c r="H80" s="169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</row>
    <row r="81" spans="1:26" ht="15.75" customHeight="1">
      <c r="A81" s="169"/>
      <c r="B81" s="169"/>
      <c r="C81" s="169"/>
      <c r="D81" s="169"/>
      <c r="E81" s="169"/>
      <c r="F81" s="169"/>
      <c r="G81" s="169"/>
      <c r="H81" s="169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</row>
    <row r="82" spans="1:26" ht="15.75" customHeight="1">
      <c r="A82" s="169"/>
      <c r="B82" s="169"/>
      <c r="C82" s="169"/>
      <c r="D82" s="169"/>
      <c r="E82" s="169"/>
      <c r="F82" s="169"/>
      <c r="G82" s="169"/>
      <c r="H82" s="169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</row>
    <row r="83" spans="1:26" ht="15.75" customHeight="1">
      <c r="A83" s="169"/>
      <c r="B83" s="169"/>
      <c r="C83" s="169"/>
      <c r="D83" s="169"/>
      <c r="E83" s="169"/>
      <c r="F83" s="169"/>
      <c r="G83" s="169"/>
      <c r="H83" s="169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</row>
    <row r="84" spans="1:26" ht="15.75" customHeight="1">
      <c r="A84" s="169"/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</row>
    <row r="85" spans="1:26" ht="15.75" customHeight="1">
      <c r="A85" s="169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</row>
    <row r="86" spans="1:26" ht="15.75" customHeight="1">
      <c r="A86" s="169"/>
      <c r="B86" s="169"/>
      <c r="C86" s="169"/>
      <c r="D86" s="169"/>
      <c r="E86" s="169"/>
      <c r="F86" s="169"/>
      <c r="G86" s="169"/>
      <c r="H86" s="169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</row>
    <row r="87" spans="1:26" ht="15.75" customHeight="1">
      <c r="A87" s="169"/>
      <c r="B87" s="169"/>
      <c r="C87" s="169"/>
      <c r="D87" s="169"/>
      <c r="E87" s="169"/>
      <c r="F87" s="169"/>
      <c r="G87" s="169"/>
      <c r="H87" s="169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</row>
    <row r="88" spans="1:26" ht="15.75" customHeight="1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</row>
    <row r="89" spans="1:26" ht="15.75" customHeight="1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</row>
    <row r="90" spans="1:26" ht="15.75" customHeight="1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</row>
    <row r="91" spans="1:26" ht="15.75" customHeight="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</row>
    <row r="92" spans="1:26" ht="15.75" customHeight="1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</row>
    <row r="93" spans="1:26" ht="15.75" customHeight="1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</row>
    <row r="94" spans="1:26" ht="15.75" customHeight="1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</row>
    <row r="95" spans="1:26" ht="15.75" customHeight="1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</row>
    <row r="96" spans="1:26" ht="15.75" customHeight="1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 spans="1:26" ht="15.75" customHeight="1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 spans="1:26" ht="15.75" customHeight="1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 spans="1:26" ht="15.75" customHeight="1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 spans="1:26" ht="15.75" customHeight="1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  <row r="101" spans="1:26" ht="15.75" customHeight="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</row>
    <row r="102" spans="1:26" ht="15.75" customHeight="1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 spans="1:26" ht="15.75" customHeight="1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</row>
    <row r="104" spans="1:26" ht="15.75" customHeight="1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</row>
    <row r="105" spans="1:26" ht="15.75" customHeight="1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</row>
    <row r="106" spans="1:26" ht="15.7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</row>
    <row r="107" spans="1:26" ht="15.75" customHeight="1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</row>
    <row r="108" spans="1:26" ht="15.75" customHeight="1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</row>
    <row r="109" spans="1:26" ht="15.75" customHeight="1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</row>
    <row r="110" spans="1:26" ht="15.75" customHeight="1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</row>
    <row r="111" spans="1:26" ht="15.75" customHeight="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</row>
    <row r="112" spans="1:26" ht="15.75" customHeight="1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</row>
    <row r="113" spans="1:26" ht="15.75" customHeight="1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</row>
    <row r="114" spans="1:26" ht="15.7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</row>
    <row r="115" spans="1:26" ht="15.7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</row>
    <row r="116" spans="1:26" ht="15.7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</row>
    <row r="117" spans="1:26" ht="15.75" customHeight="1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</row>
    <row r="118" spans="1:26" ht="15.75" customHeight="1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</row>
    <row r="119" spans="1:26" ht="15.75" customHeight="1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</row>
    <row r="120" spans="1:26" ht="15.75" customHeight="1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</row>
    <row r="121" spans="1:26" ht="15.75" customHeight="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</row>
    <row r="122" spans="1:26" ht="15.75" customHeight="1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</row>
    <row r="123" spans="1:26" ht="15.75" customHeight="1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</row>
    <row r="124" spans="1:26" ht="15.75" customHeight="1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</row>
    <row r="125" spans="1:26" ht="15.75" customHeight="1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</row>
    <row r="126" spans="1:26" ht="15.75" customHeight="1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</row>
    <row r="127" spans="1:26" ht="15.75" customHeight="1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</row>
    <row r="128" spans="1:26" ht="15.75" customHeight="1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</row>
    <row r="129" spans="1:26" ht="15.75" customHeight="1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</row>
    <row r="130" spans="1:26" ht="15.75" customHeight="1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</row>
    <row r="131" spans="1:26" ht="15.75" customHeight="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</row>
    <row r="132" spans="1:26" ht="15.75" customHeight="1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</row>
    <row r="133" spans="1:26" ht="15.75" customHeight="1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</row>
    <row r="134" spans="1:26" ht="15.75" customHeight="1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</row>
    <row r="135" spans="1:26" ht="15.75" customHeight="1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</row>
    <row r="136" spans="1:26" ht="15.75" customHeight="1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</row>
    <row r="137" spans="1:26" ht="15.75" customHeight="1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</row>
    <row r="138" spans="1:26" ht="15.75" customHeight="1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</row>
    <row r="139" spans="1:26" ht="15.75" customHeight="1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</row>
    <row r="140" spans="1:26" ht="15.75" customHeight="1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</row>
    <row r="141" spans="1:26" ht="15.75" customHeight="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</row>
    <row r="142" spans="1:26" ht="15.75" customHeight="1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</row>
    <row r="143" spans="1:26" ht="15.75" customHeight="1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</row>
    <row r="144" spans="1:26" ht="15.75" customHeight="1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</row>
    <row r="145" spans="1:26" ht="15.75" customHeight="1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</row>
    <row r="146" spans="1:26" ht="15.75" customHeight="1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</row>
    <row r="147" spans="1:26" ht="15.75" customHeight="1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</row>
    <row r="148" spans="1:26" ht="15.75" customHeight="1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</row>
    <row r="149" spans="1:26" ht="15.75" customHeight="1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</row>
    <row r="150" spans="1:26" ht="15.75" customHeight="1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</row>
    <row r="151" spans="1:26" ht="15.75" customHeight="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</row>
    <row r="152" spans="1:26" ht="15.75" customHeight="1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</row>
    <row r="153" spans="1:26" ht="15.75" customHeight="1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</row>
    <row r="154" spans="1:26" ht="15.75" customHeight="1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</row>
    <row r="155" spans="1:26" ht="15.75" customHeight="1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</row>
    <row r="156" spans="1:26" ht="15.75" customHeight="1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</row>
    <row r="157" spans="1:26" ht="15.75" customHeight="1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</row>
    <row r="158" spans="1:26" ht="15.75" customHeight="1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</row>
    <row r="159" spans="1:26" ht="15.75" customHeight="1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</row>
    <row r="160" spans="1:26" ht="15.75" customHeight="1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</row>
    <row r="161" spans="1:26" ht="15.75" customHeight="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</row>
    <row r="162" spans="1:26" ht="15.75" customHeight="1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</row>
    <row r="163" spans="1:26" ht="15.75" customHeight="1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</row>
    <row r="164" spans="1:26" ht="15.75" customHeight="1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</row>
    <row r="165" spans="1:26" ht="15.75" customHeight="1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</row>
    <row r="166" spans="1:26" ht="15.75" customHeight="1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</row>
    <row r="167" spans="1:26" ht="15.75" customHeight="1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</row>
    <row r="168" spans="1:26" ht="15.75" customHeight="1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</row>
    <row r="169" spans="1:26" ht="15.75" customHeight="1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</row>
    <row r="170" spans="1:26" ht="15.75" customHeight="1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</row>
    <row r="171" spans="1:26" ht="15.75" customHeight="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</row>
    <row r="172" spans="1:26" ht="15.75" customHeight="1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</row>
    <row r="173" spans="1:26" ht="15.75" customHeight="1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</row>
    <row r="174" spans="1:26" ht="15.75" customHeight="1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</row>
    <row r="175" spans="1:26" ht="15.75" customHeight="1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</row>
    <row r="176" spans="1:26" ht="15.75" customHeight="1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</row>
    <row r="177" spans="1:26" ht="15.75" customHeight="1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</row>
    <row r="178" spans="1:26" ht="15.75" customHeight="1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</row>
    <row r="179" spans="1:26" ht="15.75" customHeight="1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</row>
    <row r="180" spans="1:26" ht="15.75" customHeight="1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</row>
    <row r="181" spans="1:26" ht="15.75" customHeight="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</row>
    <row r="182" spans="1:26" ht="15.75" customHeight="1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</row>
    <row r="183" spans="1:26" ht="15.75" customHeight="1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</row>
    <row r="184" spans="1:26" ht="15.75" customHeight="1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</row>
    <row r="185" spans="1:26" ht="15.75" customHeight="1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</row>
    <row r="186" spans="1:26" ht="15.75" customHeight="1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</row>
    <row r="187" spans="1:26" ht="15.75" customHeight="1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</row>
    <row r="188" spans="1:26" ht="15.75" customHeight="1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</row>
    <row r="189" spans="1:26" ht="15.75" customHeight="1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</row>
    <row r="190" spans="1:26" ht="15.75" customHeight="1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</row>
    <row r="191" spans="1:26" ht="15.75" customHeight="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</row>
    <row r="192" spans="1:26" ht="15.75" customHeight="1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</row>
    <row r="193" spans="1:26" ht="15.75" customHeight="1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</row>
    <row r="194" spans="1:26" ht="15.75" customHeight="1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</row>
    <row r="195" spans="1:26" ht="15.75" customHeight="1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</row>
    <row r="196" spans="1:26" ht="15.75" customHeight="1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</row>
    <row r="197" spans="1:26" ht="15.75" customHeight="1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</row>
    <row r="198" spans="1:26" ht="15.75" customHeight="1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</row>
    <row r="199" spans="1:26" ht="15.75" customHeight="1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</row>
    <row r="200" spans="1:26" ht="15.75" customHeight="1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</row>
    <row r="201" spans="1:26" ht="15.75" customHeight="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</row>
    <row r="202" spans="1:26" ht="15.75" customHeight="1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</row>
    <row r="203" spans="1:26" ht="15.75" customHeight="1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</row>
    <row r="204" spans="1:26" ht="15.75" customHeight="1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</row>
    <row r="205" spans="1:26" ht="15.75" customHeight="1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</row>
    <row r="206" spans="1:26" ht="15.75" customHeight="1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</row>
    <row r="207" spans="1:26" ht="15.75" customHeight="1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</row>
    <row r="208" spans="1:26" ht="15.75" customHeight="1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</row>
    <row r="209" spans="1:26" ht="15.75" customHeight="1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</row>
    <row r="210" spans="1:26" ht="15.75" customHeight="1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</row>
    <row r="211" spans="1:26" ht="15.75" customHeight="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</row>
    <row r="212" spans="1:26" ht="15.75" customHeight="1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</row>
    <row r="213" spans="1:26" ht="15.75" customHeight="1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</row>
    <row r="214" spans="1:26" ht="15.75" customHeight="1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</row>
    <row r="215" spans="1:26" ht="15.75" customHeight="1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</row>
    <row r="216" spans="1:26" ht="15.75" customHeight="1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</row>
    <row r="217" spans="1:26" ht="15.75" customHeight="1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</row>
    <row r="218" spans="1:26" ht="15.75" customHeight="1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 spans="1:26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 spans="1:26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 spans="1:26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 spans="1:26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 spans="1:26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 spans="1:26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 spans="1:26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 spans="1:26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B2"/>
    <mergeCell ref="G1:H2"/>
  </mergeCells>
  <phoneticPr fontId="65" type="noConversion"/>
  <pageMargins left="0.75" right="0.75" top="1" bottom="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F856-FD60-421B-B0E6-E03CA3F3F471}">
  <dimension ref="A1:I36"/>
  <sheetViews>
    <sheetView tabSelected="1" workbookViewId="0">
      <selection activeCell="E5" sqref="E5"/>
    </sheetView>
  </sheetViews>
  <sheetFormatPr defaultRowHeight="15.6"/>
  <cols>
    <col min="1" max="1" width="10" style="930" bestFit="1" customWidth="1"/>
    <col min="2" max="3" width="5.8984375" style="930" bestFit="1" customWidth="1"/>
    <col min="4" max="4" width="5.3984375" style="930" bestFit="1" customWidth="1"/>
    <col min="5" max="5" width="13.69921875" style="930" bestFit="1" customWidth="1"/>
    <col min="6" max="6" width="8.19921875" style="930" bestFit="1" customWidth="1"/>
    <col min="7" max="7" width="11.19921875" style="930" bestFit="1" customWidth="1"/>
    <col min="8" max="8" width="9.3984375" style="930" bestFit="1" customWidth="1"/>
    <col min="9" max="16384" width="8.796875" style="930"/>
  </cols>
  <sheetData>
    <row r="1" spans="1:9" ht="16.2">
      <c r="A1" s="936" t="s">
        <v>838</v>
      </c>
      <c r="B1" s="937" t="s">
        <v>839</v>
      </c>
      <c r="C1" s="936" t="s">
        <v>840</v>
      </c>
      <c r="D1" s="936" t="s">
        <v>841</v>
      </c>
      <c r="E1" s="936" t="s">
        <v>842</v>
      </c>
      <c r="F1" s="944" t="s">
        <v>843</v>
      </c>
      <c r="G1" s="936" t="s">
        <v>844</v>
      </c>
      <c r="H1" s="936" t="s">
        <v>845</v>
      </c>
      <c r="I1" s="936" t="s">
        <v>846</v>
      </c>
    </row>
    <row r="2" spans="1:9" ht="16.2">
      <c r="A2" s="938">
        <v>46178</v>
      </c>
      <c r="B2" s="939">
        <v>0.33333333333333331</v>
      </c>
      <c r="C2" s="939">
        <v>0.375</v>
      </c>
      <c r="D2" s="940" t="s">
        <v>157</v>
      </c>
      <c r="E2" s="943" t="s">
        <v>348</v>
      </c>
      <c r="F2" s="941" t="s">
        <v>41</v>
      </c>
      <c r="G2" s="940">
        <v>302</v>
      </c>
      <c r="H2" s="940">
        <v>218</v>
      </c>
      <c r="I2" s="936" t="s">
        <v>847</v>
      </c>
    </row>
    <row r="3" spans="1:9" ht="16.2">
      <c r="A3" s="938">
        <v>46178</v>
      </c>
      <c r="B3" s="942">
        <v>0.38541666666666669</v>
      </c>
      <c r="C3" s="942">
        <v>0.42708333333333331</v>
      </c>
      <c r="D3" s="940" t="s">
        <v>157</v>
      </c>
      <c r="E3" s="943" t="s">
        <v>848</v>
      </c>
      <c r="F3" s="941" t="s">
        <v>41</v>
      </c>
      <c r="G3" s="940">
        <v>302</v>
      </c>
      <c r="H3" s="940">
        <v>218</v>
      </c>
      <c r="I3" s="936" t="s">
        <v>847</v>
      </c>
    </row>
    <row r="4" spans="1:9">
      <c r="A4" s="933">
        <v>46181</v>
      </c>
      <c r="I4" s="945" t="s">
        <v>849</v>
      </c>
    </row>
    <row r="5" spans="1:9" ht="16.2">
      <c r="A5" s="933">
        <v>46182</v>
      </c>
      <c r="B5" s="939">
        <v>0.33333333333333331</v>
      </c>
      <c r="C5" s="939">
        <v>0.40625</v>
      </c>
      <c r="D5" s="934" t="s">
        <v>158</v>
      </c>
      <c r="E5" s="931" t="s">
        <v>368</v>
      </c>
      <c r="F5" s="945" t="s">
        <v>850</v>
      </c>
      <c r="G5" s="930">
        <v>405</v>
      </c>
      <c r="H5" s="930">
        <v>218</v>
      </c>
      <c r="I5" s="936" t="s">
        <v>847</v>
      </c>
    </row>
    <row r="6" spans="1:9" ht="16.2">
      <c r="A6" s="933">
        <v>46185</v>
      </c>
      <c r="B6" s="935">
        <v>0.39583333333333331</v>
      </c>
      <c r="C6" s="935">
        <v>0.51041666666666663</v>
      </c>
      <c r="D6" s="934" t="s">
        <v>159</v>
      </c>
      <c r="E6" s="931" t="s">
        <v>851</v>
      </c>
      <c r="F6" s="945" t="s">
        <v>850</v>
      </c>
      <c r="G6" s="930">
        <v>405</v>
      </c>
      <c r="H6" s="930">
        <v>218</v>
      </c>
      <c r="I6" s="936" t="s">
        <v>847</v>
      </c>
    </row>
    <row r="7" spans="1:9" ht="16.2">
      <c r="A7" s="933">
        <v>46188</v>
      </c>
      <c r="B7" s="935">
        <v>0.33333333333333331</v>
      </c>
      <c r="C7" s="935">
        <v>0.38333333333333336</v>
      </c>
      <c r="D7" s="934" t="s">
        <v>157</v>
      </c>
      <c r="E7" s="931" t="s">
        <v>314</v>
      </c>
      <c r="F7" s="934" t="s">
        <v>852</v>
      </c>
      <c r="G7" s="930">
        <v>303</v>
      </c>
      <c r="H7" s="930">
        <v>218</v>
      </c>
      <c r="I7" s="936" t="s">
        <v>847</v>
      </c>
    </row>
    <row r="8" spans="1:9" ht="16.2">
      <c r="A8" s="933">
        <v>46188</v>
      </c>
      <c r="B8" s="935">
        <v>0.4375</v>
      </c>
      <c r="C8" s="935">
        <v>0.5</v>
      </c>
      <c r="D8" s="934" t="s">
        <v>157</v>
      </c>
      <c r="E8" s="932" t="s">
        <v>853</v>
      </c>
      <c r="F8" s="934" t="s">
        <v>852</v>
      </c>
      <c r="G8" s="930">
        <v>303</v>
      </c>
      <c r="H8" s="930">
        <v>218</v>
      </c>
      <c r="I8" s="936" t="s">
        <v>847</v>
      </c>
    </row>
    <row r="9" spans="1:9" ht="16.2">
      <c r="A9" s="933">
        <v>46189</v>
      </c>
      <c r="B9" s="935">
        <v>0.45833333333333331</v>
      </c>
      <c r="C9" s="935">
        <v>0.51041666666666663</v>
      </c>
      <c r="D9" s="934" t="s">
        <v>157</v>
      </c>
      <c r="E9" s="931" t="s">
        <v>854</v>
      </c>
      <c r="F9" s="941" t="s">
        <v>41</v>
      </c>
      <c r="G9" s="940">
        <v>302</v>
      </c>
      <c r="H9" s="940">
        <v>218</v>
      </c>
      <c r="I9" s="936" t="s">
        <v>847</v>
      </c>
    </row>
    <row r="10" spans="1:9">
      <c r="A10" s="933">
        <v>46190</v>
      </c>
      <c r="I10" s="945" t="s">
        <v>849</v>
      </c>
    </row>
    <row r="11" spans="1:9" ht="16.2">
      <c r="A11" s="933">
        <v>46191</v>
      </c>
      <c r="B11" s="935">
        <v>0.33333333333333331</v>
      </c>
      <c r="C11" s="935">
        <v>0.375</v>
      </c>
      <c r="D11" s="934" t="s">
        <v>155</v>
      </c>
      <c r="E11" s="931" t="s">
        <v>855</v>
      </c>
      <c r="F11" s="934" t="s">
        <v>31</v>
      </c>
      <c r="G11" s="930">
        <v>102</v>
      </c>
      <c r="H11" s="940">
        <v>218</v>
      </c>
      <c r="I11" s="936" t="s">
        <v>847</v>
      </c>
    </row>
    <row r="12" spans="1:9">
      <c r="A12" s="933">
        <v>46178</v>
      </c>
      <c r="B12" s="935">
        <v>0.33333333333333331</v>
      </c>
      <c r="C12" s="935">
        <v>0.40625</v>
      </c>
      <c r="D12" s="930" t="s">
        <v>158</v>
      </c>
      <c r="E12" s="945" t="s">
        <v>859</v>
      </c>
      <c r="F12" s="945" t="s">
        <v>856</v>
      </c>
      <c r="G12" s="945" t="s">
        <v>860</v>
      </c>
      <c r="H12" s="930">
        <v>138</v>
      </c>
      <c r="I12" s="945" t="s">
        <v>857</v>
      </c>
    </row>
    <row r="13" spans="1:9">
      <c r="A13" s="933">
        <v>46178</v>
      </c>
      <c r="B13" s="935">
        <v>0.33333333333333331</v>
      </c>
      <c r="C13" s="935">
        <v>0.40625</v>
      </c>
      <c r="D13" s="930" t="s">
        <v>158</v>
      </c>
      <c r="E13" s="945" t="s">
        <v>859</v>
      </c>
      <c r="F13" s="945" t="s">
        <v>856</v>
      </c>
      <c r="G13" s="945" t="s">
        <v>860</v>
      </c>
      <c r="H13" s="930" t="s">
        <v>858</v>
      </c>
      <c r="I13" s="945" t="s">
        <v>847</v>
      </c>
    </row>
    <row r="14" spans="1:9">
      <c r="A14" s="933">
        <v>46178</v>
      </c>
      <c r="B14" s="935">
        <v>0.33333333333333331</v>
      </c>
      <c r="C14" s="935">
        <v>0.40625</v>
      </c>
      <c r="D14" s="930" t="s">
        <v>158</v>
      </c>
      <c r="E14" s="945" t="s">
        <v>859</v>
      </c>
      <c r="F14" s="945" t="s">
        <v>856</v>
      </c>
      <c r="G14" s="945" t="s">
        <v>860</v>
      </c>
      <c r="H14" s="930">
        <v>152</v>
      </c>
      <c r="I14" s="945" t="s">
        <v>847</v>
      </c>
    </row>
    <row r="15" spans="1:9">
      <c r="A15" s="933">
        <v>46178</v>
      </c>
      <c r="B15" s="935">
        <v>0.33333333333333331</v>
      </c>
      <c r="C15" s="935">
        <v>0.40625</v>
      </c>
      <c r="D15" s="930" t="s">
        <v>158</v>
      </c>
      <c r="E15" s="945" t="s">
        <v>859</v>
      </c>
      <c r="F15" s="945" t="s">
        <v>856</v>
      </c>
      <c r="G15" s="945" t="s">
        <v>860</v>
      </c>
      <c r="H15" s="930">
        <v>91</v>
      </c>
      <c r="I15" s="945" t="s">
        <v>847</v>
      </c>
    </row>
    <row r="16" spans="1:9">
      <c r="A16" s="933">
        <v>46178</v>
      </c>
      <c r="B16" s="935">
        <v>0.41666666666666669</v>
      </c>
      <c r="C16" s="935">
        <v>0.52083333333333337</v>
      </c>
      <c r="D16" s="930" t="s">
        <v>158</v>
      </c>
      <c r="E16" s="945" t="s">
        <v>861</v>
      </c>
      <c r="F16" s="945" t="s">
        <v>856</v>
      </c>
      <c r="G16" s="945" t="s">
        <v>860</v>
      </c>
      <c r="H16" s="930">
        <v>32</v>
      </c>
      <c r="I16" s="945" t="s">
        <v>857</v>
      </c>
    </row>
    <row r="17" spans="1:9">
      <c r="A17" s="933">
        <v>46178</v>
      </c>
      <c r="B17" s="935">
        <v>0.41666666666666669</v>
      </c>
      <c r="C17" s="935">
        <v>0.52083333333333337</v>
      </c>
      <c r="D17" s="930" t="s">
        <v>158</v>
      </c>
      <c r="E17" s="945" t="s">
        <v>861</v>
      </c>
      <c r="F17" s="945" t="s">
        <v>856</v>
      </c>
      <c r="G17" s="945" t="s">
        <v>860</v>
      </c>
      <c r="H17" s="930" t="s">
        <v>858</v>
      </c>
      <c r="I17" s="945" t="s">
        <v>847</v>
      </c>
    </row>
    <row r="18" spans="1:9">
      <c r="A18" s="933">
        <v>46178</v>
      </c>
      <c r="B18" s="935">
        <v>0.41666666666666669</v>
      </c>
      <c r="C18" s="935">
        <v>0.52083333333333337</v>
      </c>
      <c r="D18" s="930" t="s">
        <v>158</v>
      </c>
      <c r="E18" s="945" t="s">
        <v>861</v>
      </c>
      <c r="F18" s="945" t="s">
        <v>856</v>
      </c>
      <c r="G18" s="945" t="s">
        <v>860</v>
      </c>
      <c r="H18" s="930">
        <v>210</v>
      </c>
      <c r="I18" s="945" t="s">
        <v>847</v>
      </c>
    </row>
    <row r="19" spans="1:9">
      <c r="A19" s="933">
        <v>46178</v>
      </c>
      <c r="B19" s="935">
        <v>0.41666666666666669</v>
      </c>
      <c r="C19" s="935">
        <v>0.52083333333333337</v>
      </c>
      <c r="D19" s="930" t="s">
        <v>158</v>
      </c>
      <c r="E19" s="930" t="s">
        <v>861</v>
      </c>
      <c r="F19" s="930" t="s">
        <v>856</v>
      </c>
      <c r="G19" s="930" t="s">
        <v>860</v>
      </c>
      <c r="H19" s="930">
        <v>103</v>
      </c>
      <c r="I19" s="930" t="s">
        <v>847</v>
      </c>
    </row>
    <row r="20" spans="1:9">
      <c r="A20" s="933">
        <v>46181</v>
      </c>
      <c r="B20" s="935">
        <v>0.33333333333333331</v>
      </c>
      <c r="C20" s="935">
        <v>0.40625</v>
      </c>
      <c r="D20" s="930" t="s">
        <v>159</v>
      </c>
      <c r="E20" s="930" t="s">
        <v>862</v>
      </c>
      <c r="F20" s="930" t="s">
        <v>856</v>
      </c>
      <c r="G20" s="930" t="s">
        <v>860</v>
      </c>
      <c r="H20" s="930">
        <v>3</v>
      </c>
      <c r="I20" s="930" t="s">
        <v>857</v>
      </c>
    </row>
    <row r="21" spans="1:9">
      <c r="A21" s="933">
        <v>46181</v>
      </c>
      <c r="B21" s="935">
        <v>0.33333333333333331</v>
      </c>
      <c r="C21" s="935">
        <v>0.40625</v>
      </c>
      <c r="D21" s="930" t="s">
        <v>159</v>
      </c>
      <c r="E21" s="930" t="s">
        <v>862</v>
      </c>
      <c r="F21" s="930" t="s">
        <v>856</v>
      </c>
      <c r="G21" s="930" t="s">
        <v>860</v>
      </c>
      <c r="H21" s="930">
        <v>210</v>
      </c>
      <c r="I21" s="930" t="s">
        <v>847</v>
      </c>
    </row>
    <row r="22" spans="1:9">
      <c r="A22" s="933">
        <v>46181</v>
      </c>
      <c r="B22" s="935">
        <v>0.33333333333333331</v>
      </c>
      <c r="C22" s="935">
        <v>0.40625</v>
      </c>
      <c r="D22" s="930" t="s">
        <v>159</v>
      </c>
      <c r="E22" s="930" t="s">
        <v>862</v>
      </c>
      <c r="F22" s="930" t="s">
        <v>856</v>
      </c>
      <c r="G22" s="930" t="s">
        <v>860</v>
      </c>
      <c r="H22" s="930" t="s">
        <v>863</v>
      </c>
      <c r="I22" s="930" t="s">
        <v>847</v>
      </c>
    </row>
    <row r="23" spans="1:9">
      <c r="A23" s="933">
        <v>46181</v>
      </c>
      <c r="B23" s="935">
        <v>0.33333333333333331</v>
      </c>
      <c r="C23" s="935">
        <v>0.40625</v>
      </c>
      <c r="D23" s="930" t="s">
        <v>159</v>
      </c>
      <c r="E23" s="930" t="s">
        <v>862</v>
      </c>
      <c r="F23" s="930" t="s">
        <v>856</v>
      </c>
      <c r="G23" s="930" t="s">
        <v>860</v>
      </c>
      <c r="H23" s="930">
        <v>78</v>
      </c>
      <c r="I23" s="930" t="s">
        <v>847</v>
      </c>
    </row>
    <row r="24" spans="1:9">
      <c r="A24" s="933">
        <v>46181</v>
      </c>
      <c r="B24" s="935">
        <v>0.42708333333333331</v>
      </c>
      <c r="C24" s="935">
        <v>0.48958333333333331</v>
      </c>
      <c r="D24" s="930" t="s">
        <v>158</v>
      </c>
      <c r="E24" s="930" t="s">
        <v>864</v>
      </c>
      <c r="F24" s="930" t="s">
        <v>856</v>
      </c>
      <c r="G24" s="930" t="s">
        <v>860</v>
      </c>
      <c r="H24" s="930">
        <v>153</v>
      </c>
      <c r="I24" s="930" t="s">
        <v>857</v>
      </c>
    </row>
    <row r="25" spans="1:9">
      <c r="A25" s="933">
        <v>46181</v>
      </c>
      <c r="B25" s="935">
        <v>0.42708333333333331</v>
      </c>
      <c r="C25" s="935">
        <v>0.48958333333333331</v>
      </c>
      <c r="D25" s="930" t="s">
        <v>158</v>
      </c>
      <c r="E25" s="930" t="s">
        <v>864</v>
      </c>
      <c r="F25" s="930" t="s">
        <v>856</v>
      </c>
      <c r="G25" s="930" t="s">
        <v>860</v>
      </c>
      <c r="H25" s="930">
        <v>210</v>
      </c>
      <c r="I25" s="930" t="s">
        <v>847</v>
      </c>
    </row>
    <row r="26" spans="1:9">
      <c r="A26" s="933">
        <v>46181</v>
      </c>
      <c r="B26" s="935">
        <v>0.42708333333333331</v>
      </c>
      <c r="C26" s="935">
        <v>0.48958333333333331</v>
      </c>
      <c r="D26" s="930" t="s">
        <v>158</v>
      </c>
      <c r="E26" s="930" t="s">
        <v>864</v>
      </c>
      <c r="F26" s="930" t="s">
        <v>856</v>
      </c>
      <c r="G26" s="930" t="s">
        <v>860</v>
      </c>
      <c r="H26" s="930">
        <v>137</v>
      </c>
      <c r="I26" s="930" t="s">
        <v>847</v>
      </c>
    </row>
    <row r="27" spans="1:9">
      <c r="A27" s="933">
        <v>46181</v>
      </c>
      <c r="B27" s="935">
        <v>0.42708333333333331</v>
      </c>
      <c r="C27" s="935">
        <v>0.48958333333333331</v>
      </c>
      <c r="D27" s="930" t="s">
        <v>158</v>
      </c>
      <c r="E27" s="930" t="s">
        <v>864</v>
      </c>
      <c r="F27" s="930" t="s">
        <v>856</v>
      </c>
      <c r="G27" s="930" t="s">
        <v>860</v>
      </c>
      <c r="H27" s="930">
        <v>112</v>
      </c>
      <c r="I27" s="930" t="s">
        <v>847</v>
      </c>
    </row>
    <row r="28" spans="1:9">
      <c r="A28" s="933">
        <v>46182</v>
      </c>
      <c r="B28" s="935">
        <v>0.33333333333333331</v>
      </c>
      <c r="C28" s="935">
        <v>0.38541666666666669</v>
      </c>
      <c r="D28" s="930" t="s">
        <v>155</v>
      </c>
      <c r="E28" s="930" t="s">
        <v>865</v>
      </c>
      <c r="F28" s="930" t="s">
        <v>856</v>
      </c>
      <c r="G28" s="930" t="s">
        <v>860</v>
      </c>
      <c r="H28" s="930">
        <v>138</v>
      </c>
      <c r="I28" s="930" t="s">
        <v>857</v>
      </c>
    </row>
    <row r="29" spans="1:9">
      <c r="A29" s="933">
        <v>46182</v>
      </c>
      <c r="B29" s="935">
        <v>0.33333333333333331</v>
      </c>
      <c r="C29" s="935">
        <v>0.38541666666666669</v>
      </c>
      <c r="D29" s="930" t="s">
        <v>155</v>
      </c>
      <c r="E29" s="930" t="s">
        <v>865</v>
      </c>
      <c r="F29" s="930" t="s">
        <v>856</v>
      </c>
      <c r="G29" s="930" t="s">
        <v>860</v>
      </c>
      <c r="H29" s="930" t="s">
        <v>858</v>
      </c>
      <c r="I29" s="930" t="s">
        <v>847</v>
      </c>
    </row>
    <row r="30" spans="1:9">
      <c r="A30" s="933">
        <v>46182</v>
      </c>
      <c r="B30" s="935">
        <v>0.33333333333333331</v>
      </c>
      <c r="C30" s="935">
        <v>0.38541666666666669</v>
      </c>
      <c r="D30" s="930" t="s">
        <v>155</v>
      </c>
      <c r="E30" s="930" t="s">
        <v>865</v>
      </c>
      <c r="F30" s="930" t="s">
        <v>856</v>
      </c>
      <c r="G30" s="930" t="s">
        <v>860</v>
      </c>
      <c r="H30" s="930">
        <v>72</v>
      </c>
      <c r="I30" s="930" t="s">
        <v>847</v>
      </c>
    </row>
    <row r="31" spans="1:9">
      <c r="A31" s="933">
        <v>46182</v>
      </c>
      <c r="B31" s="935">
        <v>0.33333333333333331</v>
      </c>
      <c r="C31" s="935">
        <v>0.38541666666666669</v>
      </c>
      <c r="D31" s="930" t="s">
        <v>155</v>
      </c>
      <c r="E31" s="930" t="s">
        <v>865</v>
      </c>
      <c r="F31" s="930" t="s">
        <v>856</v>
      </c>
      <c r="G31" s="930" t="s">
        <v>860</v>
      </c>
      <c r="H31" s="930">
        <v>73</v>
      </c>
      <c r="I31" s="930" t="s">
        <v>847</v>
      </c>
    </row>
    <row r="32" spans="1:9">
      <c r="A32" s="933">
        <v>46183</v>
      </c>
      <c r="B32" s="935">
        <v>0.39583333333333331</v>
      </c>
      <c r="C32" s="935">
        <v>0.46875</v>
      </c>
      <c r="D32" s="930" t="s">
        <v>155</v>
      </c>
      <c r="E32" s="930" t="s">
        <v>864</v>
      </c>
      <c r="F32" s="930" t="s">
        <v>856</v>
      </c>
      <c r="G32" s="930" t="s">
        <v>860</v>
      </c>
      <c r="H32" s="930">
        <v>128</v>
      </c>
      <c r="I32" s="930" t="s">
        <v>857</v>
      </c>
    </row>
    <row r="33" spans="1:9">
      <c r="A33" s="933">
        <v>46183</v>
      </c>
      <c r="B33" s="935">
        <v>0.39583333333333331</v>
      </c>
      <c r="C33" s="935">
        <v>0.46875</v>
      </c>
      <c r="D33" s="930" t="s">
        <v>155</v>
      </c>
      <c r="E33" s="930" t="s">
        <v>864</v>
      </c>
      <c r="F33" s="930" t="s">
        <v>856</v>
      </c>
      <c r="G33" s="930" t="s">
        <v>860</v>
      </c>
      <c r="H33" s="930">
        <v>214</v>
      </c>
      <c r="I33" s="930" t="s">
        <v>847</v>
      </c>
    </row>
    <row r="34" spans="1:9">
      <c r="A34" s="933">
        <v>46183</v>
      </c>
      <c r="B34" s="935">
        <v>0.39583333333333331</v>
      </c>
      <c r="C34" s="935">
        <v>0.46875</v>
      </c>
      <c r="D34" s="930" t="s">
        <v>155</v>
      </c>
      <c r="E34" s="930" t="s">
        <v>864</v>
      </c>
      <c r="F34" s="930" t="s">
        <v>856</v>
      </c>
      <c r="G34" s="930" t="s">
        <v>860</v>
      </c>
      <c r="H34" s="930">
        <v>92</v>
      </c>
      <c r="I34" s="930" t="s">
        <v>847</v>
      </c>
    </row>
    <row r="35" spans="1:9">
      <c r="A35" s="933">
        <v>46183</v>
      </c>
      <c r="B35" s="935">
        <v>0.39583333333333331</v>
      </c>
      <c r="C35" s="935">
        <v>0.46875</v>
      </c>
      <c r="D35" s="930" t="s">
        <v>155</v>
      </c>
      <c r="E35" s="930" t="s">
        <v>864</v>
      </c>
      <c r="F35" s="930" t="s">
        <v>856</v>
      </c>
      <c r="G35" s="930" t="s">
        <v>860</v>
      </c>
      <c r="H35" s="930">
        <v>73</v>
      </c>
      <c r="I35" s="930" t="s">
        <v>847</v>
      </c>
    </row>
    <row r="36" spans="1:9">
      <c r="A36" s="933">
        <v>46183</v>
      </c>
      <c r="B36" s="935">
        <v>0.34375</v>
      </c>
      <c r="C36" s="935">
        <v>0.38541666666666669</v>
      </c>
      <c r="D36" s="930" t="s">
        <v>157</v>
      </c>
      <c r="E36" s="930" t="s">
        <v>866</v>
      </c>
      <c r="F36" s="930" t="s">
        <v>856</v>
      </c>
      <c r="G36" s="930" t="s">
        <v>860</v>
      </c>
      <c r="H36" s="930">
        <v>32</v>
      </c>
      <c r="I36" s="930" t="s">
        <v>857</v>
      </c>
    </row>
  </sheetData>
  <phoneticPr fontId="6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000"/>
  <sheetViews>
    <sheetView workbookViewId="0"/>
  </sheetViews>
  <sheetFormatPr defaultColWidth="11.09765625" defaultRowHeight="15" customHeight="1"/>
  <cols>
    <col min="1" max="1" width="17.09765625" customWidth="1"/>
    <col min="2" max="2" width="7.09765625" customWidth="1"/>
    <col min="3" max="3" width="8.59765625" customWidth="1"/>
    <col min="4" max="4" width="10" hidden="1" customWidth="1"/>
    <col min="5" max="5" width="8.59765625" hidden="1" customWidth="1"/>
    <col min="6" max="6" width="10.59765625" customWidth="1"/>
    <col min="7" max="7" width="10.09765625" customWidth="1"/>
    <col min="8" max="8" width="9.296875" customWidth="1"/>
    <col min="9" max="9" width="5.59765625" customWidth="1"/>
    <col min="10" max="11" width="9.59765625" customWidth="1"/>
    <col min="12" max="12" width="12.09765625" customWidth="1"/>
    <col min="13" max="14" width="9.59765625" customWidth="1"/>
    <col min="15" max="15" width="12.09765625" customWidth="1"/>
    <col min="16" max="16" width="13.59765625" customWidth="1"/>
    <col min="17" max="17" width="9.59765625" customWidth="1"/>
    <col min="18" max="18" width="10" customWidth="1"/>
    <col min="19" max="19" width="10.796875" customWidth="1"/>
    <col min="20" max="22" width="9.59765625" customWidth="1"/>
    <col min="23" max="23" width="17.296875" customWidth="1"/>
    <col min="24" max="24" width="13.59765625" customWidth="1"/>
    <col min="25" max="25" width="6.09765625" customWidth="1"/>
    <col min="26" max="26" width="3.09765625" customWidth="1"/>
    <col min="27" max="27" width="9.59765625" customWidth="1"/>
    <col min="28" max="28" width="8.59765625" customWidth="1"/>
    <col min="29" max="30" width="3.59765625" customWidth="1"/>
    <col min="31" max="31" width="6.59765625" customWidth="1"/>
    <col min="32" max="32" width="4.59765625" customWidth="1"/>
    <col min="33" max="33" width="3.59765625" customWidth="1"/>
    <col min="34" max="34" width="6.09765625" customWidth="1"/>
    <col min="35" max="35" width="7.59765625" customWidth="1"/>
    <col min="36" max="37" width="6.796875" customWidth="1"/>
    <col min="38" max="38" width="10.09765625" customWidth="1"/>
    <col min="39" max="39" width="6.09765625" customWidth="1"/>
    <col min="40" max="40" width="5" customWidth="1"/>
    <col min="41" max="41" width="4.59765625" customWidth="1"/>
    <col min="42" max="42" width="4.296875" customWidth="1"/>
    <col min="43" max="44" width="6.796875" customWidth="1"/>
    <col min="45" max="45" width="14.09765625" customWidth="1"/>
    <col min="46" max="47" width="6.796875" customWidth="1"/>
  </cols>
  <sheetData>
    <row r="1" spans="1:47" ht="51" customHeight="1">
      <c r="A1" s="21"/>
      <c r="B1" s="645" t="s">
        <v>51</v>
      </c>
      <c r="C1" s="1"/>
      <c r="D1" s="1"/>
      <c r="E1" s="21"/>
      <c r="F1" s="21"/>
      <c r="G1" s="21"/>
      <c r="H1" s="21"/>
      <c r="I1" s="570"/>
      <c r="J1" s="665"/>
      <c r="K1" s="953" t="s">
        <v>52</v>
      </c>
      <c r="L1" s="954"/>
      <c r="M1" s="955"/>
      <c r="N1" s="953" t="s">
        <v>53</v>
      </c>
      <c r="O1" s="954"/>
      <c r="P1" s="955"/>
      <c r="Q1" s="956" t="s">
        <v>54</v>
      </c>
      <c r="R1" s="954"/>
      <c r="S1" s="955"/>
      <c r="T1" s="957" t="s">
        <v>55</v>
      </c>
      <c r="U1" s="954"/>
      <c r="V1" s="955"/>
      <c r="W1" s="958" t="str">
        <f>B1</f>
        <v>VERSION  7.6.2024</v>
      </c>
      <c r="X1" s="955"/>
      <c r="Y1" s="225" t="e">
        <f>#REF!</f>
        <v>#REF!</v>
      </c>
      <c r="Z1" s="21"/>
      <c r="AA1" s="21" t="s">
        <v>56</v>
      </c>
      <c r="AB1" s="21"/>
      <c r="AC1" s="21"/>
      <c r="AD1" s="21"/>
      <c r="AE1" s="1"/>
      <c r="AF1" s="1"/>
      <c r="AG1" s="1"/>
      <c r="AH1" s="1" t="s">
        <v>57</v>
      </c>
      <c r="AI1" s="21">
        <v>1</v>
      </c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</row>
    <row r="2" spans="1:47" ht="54.75" customHeight="1">
      <c r="A2" s="5" t="s">
        <v>58</v>
      </c>
      <c r="B2" s="646" t="s">
        <v>59</v>
      </c>
      <c r="C2" s="861" t="s">
        <v>60</v>
      </c>
      <c r="D2" s="648"/>
      <c r="E2" s="649"/>
      <c r="F2" s="650" t="s">
        <v>61</v>
      </c>
      <c r="G2" s="649" t="s">
        <v>62</v>
      </c>
      <c r="H2" s="651" t="s">
        <v>48</v>
      </c>
      <c r="I2" s="667"/>
      <c r="J2" s="910" t="s">
        <v>63</v>
      </c>
      <c r="K2" s="862" t="s">
        <v>64</v>
      </c>
      <c r="L2" s="863" t="s">
        <v>65</v>
      </c>
      <c r="M2" s="864" t="s">
        <v>66</v>
      </c>
      <c r="N2" s="865" t="s">
        <v>64</v>
      </c>
      <c r="O2" s="866" t="s">
        <v>65</v>
      </c>
      <c r="P2" s="867" t="s">
        <v>66</v>
      </c>
      <c r="Q2" s="885" t="s">
        <v>64</v>
      </c>
      <c r="R2" s="886" t="s">
        <v>65</v>
      </c>
      <c r="S2" s="887" t="s">
        <v>66</v>
      </c>
      <c r="T2" s="668" t="s">
        <v>64</v>
      </c>
      <c r="U2" s="669" t="s">
        <v>65</v>
      </c>
      <c r="V2" s="670" t="s">
        <v>66</v>
      </c>
      <c r="W2" s="671" t="s">
        <v>67</v>
      </c>
      <c r="X2" s="253" t="s">
        <v>68</v>
      </c>
      <c r="Y2" s="690" t="s">
        <v>59</v>
      </c>
      <c r="Z2" s="103"/>
      <c r="AA2" s="593" t="s">
        <v>69</v>
      </c>
      <c r="AB2" s="593" t="s">
        <v>70</v>
      </c>
      <c r="AC2" s="228" t="s">
        <v>71</v>
      </c>
      <c r="AD2" s="228" t="s">
        <v>72</v>
      </c>
      <c r="AE2" s="593" t="s">
        <v>73</v>
      </c>
      <c r="AF2" s="228" t="s">
        <v>74</v>
      </c>
      <c r="AG2" s="228" t="s">
        <v>75</v>
      </c>
      <c r="AH2" s="487"/>
      <c r="AI2" s="609"/>
      <c r="AJ2" s="21"/>
      <c r="AK2" s="21"/>
      <c r="AL2" s="103"/>
      <c r="AM2" s="103"/>
      <c r="AN2" s="103"/>
      <c r="AO2" s="103"/>
      <c r="AP2" s="21"/>
      <c r="AQ2" s="21"/>
      <c r="AR2" s="21"/>
      <c r="AS2" s="21"/>
      <c r="AT2" s="21"/>
      <c r="AU2" s="21"/>
    </row>
    <row r="3" spans="1:47" ht="18">
      <c r="A3" s="5" t="s">
        <v>76</v>
      </c>
      <c r="B3" s="406">
        <v>3</v>
      </c>
      <c r="C3" s="652" t="e">
        <f>SUMIF(#REF!,B3,#REF!)</f>
        <v>#REF!</v>
      </c>
      <c r="D3" s="653"/>
      <c r="E3" s="654"/>
      <c r="F3" s="655">
        <f ca="1">'SEN INIL'!BV2</f>
        <v>2.4666666666666726</v>
      </c>
      <c r="G3" s="205"/>
      <c r="H3" s="205">
        <f>AB42</f>
        <v>3</v>
      </c>
      <c r="I3" s="205"/>
      <c r="J3" s="181">
        <f>AI3</f>
        <v>5.7266666666666666</v>
      </c>
      <c r="K3" s="712" t="e">
        <f t="shared" ref="K3:K65" si="0">SUM(C3:J3)</f>
        <v>#REF!</v>
      </c>
      <c r="L3" s="868">
        <f>'INV. RATIO(FINAL EXAM)'!AM5</f>
        <v>24.5</v>
      </c>
      <c r="M3" s="869" t="e">
        <f t="shared" ref="M3:M12" si="1">$K$66*L3/$L$66</f>
        <v>#REF!</v>
      </c>
      <c r="N3" s="870">
        <v>3.5</v>
      </c>
      <c r="O3" s="871">
        <v>24.3</v>
      </c>
      <c r="P3" s="870">
        <v>4.1468127490039803</v>
      </c>
      <c r="Q3" s="888">
        <v>12.2</v>
      </c>
      <c r="R3" s="889">
        <v>44.9</v>
      </c>
      <c r="S3" s="890">
        <v>15.669291603567199</v>
      </c>
      <c r="T3" s="672">
        <v>8</v>
      </c>
      <c r="U3" s="673">
        <v>19.100000000000001</v>
      </c>
      <c r="V3" s="674">
        <v>6.11034632034632</v>
      </c>
      <c r="W3" s="675" t="e">
        <f t="shared" ref="W3:W65" si="2">K3-M3+Q3-S3+T3-V3+N3-P3</f>
        <v>#REF!</v>
      </c>
      <c r="X3" s="241" t="str">
        <f t="shared" ref="X3:X34" si="3">A3</f>
        <v>LYY</v>
      </c>
      <c r="Y3" s="690">
        <f t="shared" ref="Y3:Y34" si="4">B3</f>
        <v>3</v>
      </c>
      <c r="Z3" s="103"/>
      <c r="AA3" s="595">
        <v>3</v>
      </c>
      <c r="AB3" s="691">
        <v>0.75</v>
      </c>
      <c r="AC3" s="692">
        <v>0.75</v>
      </c>
      <c r="AD3" s="692">
        <v>0.75</v>
      </c>
      <c r="AE3" s="693">
        <v>1.56</v>
      </c>
      <c r="AF3" s="203">
        <f>1+55/60</f>
        <v>1.9166666666666665</v>
      </c>
      <c r="AG3" s="103"/>
      <c r="AH3" s="694">
        <f t="shared" ref="AH3:AH20" si="5">SUM(AB3:AG3)</f>
        <v>5.7266666666666666</v>
      </c>
      <c r="AI3" s="695">
        <f t="shared" ref="AI3:AI20" si="6">AB3+SUM(AC3:AG3)*AI$1</f>
        <v>5.7266666666666666</v>
      </c>
      <c r="AJ3" s="21"/>
      <c r="AK3" s="21"/>
      <c r="AL3" s="103"/>
      <c r="AM3" s="103"/>
      <c r="AN3" s="103"/>
      <c r="AO3" s="103"/>
      <c r="AP3" s="591"/>
      <c r="AQ3" s="21"/>
      <c r="AR3" s="21"/>
      <c r="AS3" s="21"/>
      <c r="AT3" s="21"/>
      <c r="AU3" s="21"/>
    </row>
    <row r="4" spans="1:47" ht="18">
      <c r="A4" s="10" t="s">
        <v>77</v>
      </c>
      <c r="B4" s="220">
        <v>4</v>
      </c>
      <c r="C4" s="656" t="e">
        <f>SUMIF(#REF!,B4,#REF!)</f>
        <v>#REF!</v>
      </c>
      <c r="D4" s="234"/>
      <c r="E4" s="657"/>
      <c r="F4" s="655">
        <f ca="1">'SEN INIL'!BV3</f>
        <v>0</v>
      </c>
      <c r="G4" s="203"/>
      <c r="H4" s="203"/>
      <c r="I4" s="103"/>
      <c r="J4" s="513"/>
      <c r="K4" s="713" t="e">
        <f t="shared" si="0"/>
        <v>#REF!</v>
      </c>
      <c r="L4" s="872">
        <f>'INV. RATIO(FINAL EXAM)'!AM6</f>
        <v>23</v>
      </c>
      <c r="M4" s="873" t="e">
        <f t="shared" si="1"/>
        <v>#REF!</v>
      </c>
      <c r="N4" s="874">
        <v>1.25</v>
      </c>
      <c r="O4" s="875">
        <v>25</v>
      </c>
      <c r="P4" s="874">
        <v>4.2662682602921604</v>
      </c>
      <c r="Q4" s="891">
        <v>16</v>
      </c>
      <c r="R4" s="892">
        <v>45.8</v>
      </c>
      <c r="S4" s="893">
        <v>15.9833753996298</v>
      </c>
      <c r="T4" s="676">
        <v>8</v>
      </c>
      <c r="U4" s="677">
        <v>19.8</v>
      </c>
      <c r="V4" s="678">
        <v>6.3342857142857198</v>
      </c>
      <c r="W4" s="679" t="e">
        <f t="shared" si="2"/>
        <v>#REF!</v>
      </c>
      <c r="X4" s="245" t="str">
        <f t="shared" si="3"/>
        <v>LMT</v>
      </c>
      <c r="Y4" s="690">
        <f t="shared" si="4"/>
        <v>4</v>
      </c>
      <c r="Z4" s="103"/>
      <c r="AA4" s="595">
        <v>22</v>
      </c>
      <c r="AB4" s="691">
        <v>0.75</v>
      </c>
      <c r="AC4" s="692">
        <v>0.75</v>
      </c>
      <c r="AD4" s="692">
        <v>0.75</v>
      </c>
      <c r="AE4" s="693">
        <v>1.56</v>
      </c>
      <c r="AF4" s="203">
        <v>1.9166666666666701</v>
      </c>
      <c r="AG4" s="103"/>
      <c r="AH4" s="694">
        <f t="shared" si="5"/>
        <v>5.7266666666666701</v>
      </c>
      <c r="AI4" s="695">
        <f t="shared" si="6"/>
        <v>5.7266666666666701</v>
      </c>
      <c r="AJ4" s="21"/>
      <c r="AK4" s="21"/>
      <c r="AL4" s="103"/>
      <c r="AM4" s="103"/>
      <c r="AN4" s="103"/>
      <c r="AO4" s="103"/>
      <c r="AP4" s="591"/>
      <c r="AQ4" s="21"/>
      <c r="AR4" s="21"/>
      <c r="AS4" s="21"/>
      <c r="AT4" s="21"/>
      <c r="AU4" s="21"/>
    </row>
    <row r="5" spans="1:47" ht="18">
      <c r="A5" s="10" t="s">
        <v>78</v>
      </c>
      <c r="B5" s="220">
        <v>5</v>
      </c>
      <c r="C5" s="656" t="e">
        <f>SUMIF(#REF!,B5,#REF!)</f>
        <v>#REF!</v>
      </c>
      <c r="D5" s="234"/>
      <c r="E5" s="657"/>
      <c r="F5" s="655">
        <f ca="1">'SEN INIL'!BV4</f>
        <v>3.7000000000000082</v>
      </c>
      <c r="G5" s="203"/>
      <c r="H5" s="203"/>
      <c r="I5" s="103"/>
      <c r="J5" s="513"/>
      <c r="K5" s="713" t="e">
        <f t="shared" si="0"/>
        <v>#REF!</v>
      </c>
      <c r="L5" s="872">
        <f>'INV. RATIO(FINAL EXAM)'!AM7</f>
        <v>23</v>
      </c>
      <c r="M5" s="873" t="e">
        <f t="shared" si="1"/>
        <v>#REF!</v>
      </c>
      <c r="N5" s="874">
        <v>3.25</v>
      </c>
      <c r="O5" s="875">
        <v>23</v>
      </c>
      <c r="P5" s="874">
        <v>3.9249667994687898</v>
      </c>
      <c r="Q5" s="891">
        <v>15.2</v>
      </c>
      <c r="R5" s="892">
        <v>42</v>
      </c>
      <c r="S5" s="893">
        <v>14.6572438162544</v>
      </c>
      <c r="T5" s="676">
        <v>7</v>
      </c>
      <c r="U5" s="677">
        <v>22</v>
      </c>
      <c r="V5" s="678">
        <v>7.0380952380952397</v>
      </c>
      <c r="W5" s="679" t="e">
        <f t="shared" si="2"/>
        <v>#REF!</v>
      </c>
      <c r="X5" s="245" t="str">
        <f t="shared" si="3"/>
        <v>LWH</v>
      </c>
      <c r="Y5" s="690">
        <f t="shared" si="4"/>
        <v>5</v>
      </c>
      <c r="Z5" s="103"/>
      <c r="AA5" s="595">
        <v>39</v>
      </c>
      <c r="AB5" s="691">
        <v>0.75</v>
      </c>
      <c r="AC5" s="692">
        <v>0.75</v>
      </c>
      <c r="AD5" s="692">
        <v>0.75</v>
      </c>
      <c r="AE5" s="693">
        <v>1.95</v>
      </c>
      <c r="AF5" s="203">
        <v>1.9166666666666701</v>
      </c>
      <c r="AG5" s="103"/>
      <c r="AH5" s="694">
        <f t="shared" si="5"/>
        <v>6.1166666666666707</v>
      </c>
      <c r="AI5" s="695">
        <f t="shared" si="6"/>
        <v>6.1166666666666707</v>
      </c>
      <c r="AJ5" s="21"/>
      <c r="AK5" s="612"/>
      <c r="AL5" s="103"/>
      <c r="AM5" s="103"/>
      <c r="AN5" s="103"/>
      <c r="AO5" s="103"/>
      <c r="AP5" s="591"/>
      <c r="AQ5" s="21"/>
      <c r="AR5" s="21"/>
      <c r="AS5" s="21"/>
      <c r="AT5" s="21"/>
      <c r="AU5" s="21"/>
    </row>
    <row r="6" spans="1:47" ht="18">
      <c r="A6" s="10" t="s">
        <v>79</v>
      </c>
      <c r="B6" s="220">
        <v>20</v>
      </c>
      <c r="C6" s="656" t="e">
        <f>SUMIF(#REF!,B6,#REF!)</f>
        <v>#REF!</v>
      </c>
      <c r="D6" s="234"/>
      <c r="E6" s="657"/>
      <c r="F6" s="655">
        <f ca="1">'SEN INIL'!BV5</f>
        <v>3</v>
      </c>
      <c r="G6" s="203"/>
      <c r="H6" s="203"/>
      <c r="I6" s="103"/>
      <c r="J6" s="513"/>
      <c r="K6" s="713" t="e">
        <f t="shared" si="0"/>
        <v>#REF!</v>
      </c>
      <c r="L6" s="872">
        <f>'INV. RATIO(FINAL EXAM)'!AM8</f>
        <v>20.5</v>
      </c>
      <c r="M6" s="873" t="e">
        <f t="shared" si="1"/>
        <v>#REF!</v>
      </c>
      <c r="N6" s="874">
        <v>2.0833333333333299</v>
      </c>
      <c r="O6" s="875">
        <v>19.8</v>
      </c>
      <c r="P6" s="874">
        <v>3.3788844621513898</v>
      </c>
      <c r="Q6" s="891">
        <v>15.2</v>
      </c>
      <c r="R6" s="892">
        <v>37.4</v>
      </c>
      <c r="S6" s="893">
        <v>13.0519266363789</v>
      </c>
      <c r="T6" s="676">
        <v>9.3000000000000007</v>
      </c>
      <c r="U6" s="677">
        <v>18.600000000000001</v>
      </c>
      <c r="V6" s="678">
        <v>5.9503896103896103</v>
      </c>
      <c r="W6" s="679" t="e">
        <f t="shared" si="2"/>
        <v>#REF!</v>
      </c>
      <c r="X6" s="245" t="str">
        <f t="shared" si="3"/>
        <v>LWT</v>
      </c>
      <c r="Y6" s="690">
        <f t="shared" si="4"/>
        <v>20</v>
      </c>
      <c r="Z6" s="103"/>
      <c r="AA6" s="595">
        <v>67</v>
      </c>
      <c r="AB6" s="691">
        <v>0.75</v>
      </c>
      <c r="AC6" s="692"/>
      <c r="AD6" s="692"/>
      <c r="AE6" s="693">
        <v>1.55</v>
      </c>
      <c r="AF6" s="203">
        <v>1.9166666666666701</v>
      </c>
      <c r="AG6" s="103"/>
      <c r="AH6" s="694">
        <f t="shared" si="5"/>
        <v>4.2166666666666703</v>
      </c>
      <c r="AI6" s="695">
        <f t="shared" si="6"/>
        <v>4.2166666666666703</v>
      </c>
      <c r="AJ6" s="21"/>
      <c r="AK6" s="612"/>
      <c r="AL6" s="103"/>
      <c r="AM6" s="103"/>
      <c r="AN6" s="103" t="s">
        <v>80</v>
      </c>
      <c r="AO6" s="103"/>
      <c r="AP6" s="591"/>
      <c r="AQ6" s="21"/>
      <c r="AR6" s="21"/>
      <c r="AS6" s="21"/>
      <c r="AT6" s="21"/>
      <c r="AU6" s="21"/>
    </row>
    <row r="7" spans="1:47" ht="18">
      <c r="A7" s="10" t="s">
        <v>81</v>
      </c>
      <c r="B7" s="220">
        <v>22</v>
      </c>
      <c r="C7" s="656" t="e">
        <f>SUMIF(#REF!,B7,#REF!)</f>
        <v>#REF!</v>
      </c>
      <c r="D7" s="234"/>
      <c r="E7" s="657"/>
      <c r="F7" s="655">
        <f ca="1">'SEN INIL'!BV6</f>
        <v>2.6000000000000161</v>
      </c>
      <c r="G7" s="203"/>
      <c r="H7" s="203"/>
      <c r="I7" s="103"/>
      <c r="J7" s="188">
        <f>AI4</f>
        <v>5.7266666666666701</v>
      </c>
      <c r="K7" s="713" t="e">
        <f t="shared" si="0"/>
        <v>#REF!</v>
      </c>
      <c r="L7" s="872">
        <f>'INV. RATIO(FINAL EXAM)'!AM9</f>
        <v>25.5</v>
      </c>
      <c r="M7" s="873" t="e">
        <f t="shared" si="1"/>
        <v>#REF!</v>
      </c>
      <c r="N7" s="874">
        <v>6.8333333333333304</v>
      </c>
      <c r="O7" s="875">
        <v>25.7</v>
      </c>
      <c r="P7" s="874">
        <v>4.3857237715803503</v>
      </c>
      <c r="Q7" s="891">
        <v>10.3</v>
      </c>
      <c r="R7" s="892">
        <v>43.8</v>
      </c>
      <c r="S7" s="893">
        <v>15.2854114083796</v>
      </c>
      <c r="T7" s="676">
        <v>5</v>
      </c>
      <c r="U7" s="677">
        <v>22.5</v>
      </c>
      <c r="V7" s="678">
        <v>7.1980519480519503</v>
      </c>
      <c r="W7" s="679" t="e">
        <f t="shared" si="2"/>
        <v>#REF!</v>
      </c>
      <c r="X7" s="245" t="str">
        <f t="shared" si="3"/>
        <v>WWY</v>
      </c>
      <c r="Y7" s="690">
        <f t="shared" si="4"/>
        <v>22</v>
      </c>
      <c r="Z7" s="103"/>
      <c r="AA7" s="595">
        <v>76</v>
      </c>
      <c r="AB7" s="691"/>
      <c r="AC7" s="692"/>
      <c r="AD7" s="692"/>
      <c r="AE7" s="693">
        <v>1.55</v>
      </c>
      <c r="AF7" s="203">
        <v>1.9166666666666701</v>
      </c>
      <c r="AG7" s="103"/>
      <c r="AH7" s="694">
        <f t="shared" si="5"/>
        <v>3.4666666666666703</v>
      </c>
      <c r="AI7" s="695">
        <f t="shared" si="6"/>
        <v>3.4666666666666703</v>
      </c>
      <c r="AJ7" s="21"/>
      <c r="AK7" s="612"/>
      <c r="AL7" s="103"/>
      <c r="AM7" s="103"/>
      <c r="AN7" s="103"/>
      <c r="AO7" s="103"/>
      <c r="AP7" s="591"/>
      <c r="AQ7" s="21"/>
      <c r="AR7" s="21"/>
      <c r="AS7" s="21"/>
      <c r="AT7" s="21"/>
      <c r="AU7" s="21"/>
    </row>
    <row r="8" spans="1:47" ht="18">
      <c r="A8" s="10" t="s">
        <v>82</v>
      </c>
      <c r="B8" s="220">
        <v>25</v>
      </c>
      <c r="C8" s="656" t="e">
        <f>SUMIF(#REF!,B8,#REF!)</f>
        <v>#REF!</v>
      </c>
      <c r="D8" s="234"/>
      <c r="E8" s="657"/>
      <c r="F8" s="655">
        <f ca="1">'SEN INIL'!BV7</f>
        <v>4.6666666666666794</v>
      </c>
      <c r="G8" s="203"/>
      <c r="H8" s="203"/>
      <c r="I8" s="103"/>
      <c r="J8" s="513"/>
      <c r="K8" s="713" t="e">
        <f t="shared" si="0"/>
        <v>#REF!</v>
      </c>
      <c r="L8" s="872">
        <f>'INV. RATIO(FINAL EXAM)'!AM10</f>
        <v>12</v>
      </c>
      <c r="M8" s="873" t="e">
        <f t="shared" si="1"/>
        <v>#REF!</v>
      </c>
      <c r="N8" s="874">
        <v>0</v>
      </c>
      <c r="O8" s="875">
        <v>16</v>
      </c>
      <c r="P8" s="874">
        <v>2.7304116865869901</v>
      </c>
      <c r="Q8" s="891">
        <v>14.7</v>
      </c>
      <c r="R8" s="892">
        <v>25</v>
      </c>
      <c r="S8" s="893">
        <v>8.72454989062763</v>
      </c>
      <c r="T8" s="676">
        <v>4</v>
      </c>
      <c r="U8" s="677">
        <v>16</v>
      </c>
      <c r="V8" s="678">
        <v>5.1186147186147197</v>
      </c>
      <c r="W8" s="679" t="e">
        <f t="shared" si="2"/>
        <v>#REF!</v>
      </c>
      <c r="X8" s="245" t="str">
        <f t="shared" si="3"/>
        <v>LCS</v>
      </c>
      <c r="Y8" s="690">
        <f t="shared" si="4"/>
        <v>25</v>
      </c>
      <c r="Z8" s="103"/>
      <c r="AA8" s="595">
        <v>85</v>
      </c>
      <c r="AB8" s="691"/>
      <c r="AC8" s="692">
        <v>0.75</v>
      </c>
      <c r="AD8" s="692">
        <v>1</v>
      </c>
      <c r="AE8" s="693"/>
      <c r="AF8" s="203"/>
      <c r="AG8" s="103"/>
      <c r="AH8" s="694">
        <f t="shared" si="5"/>
        <v>1.75</v>
      </c>
      <c r="AI8" s="695">
        <f t="shared" si="6"/>
        <v>1.75</v>
      </c>
      <c r="AJ8" s="21"/>
      <c r="AK8" s="612"/>
      <c r="AL8" s="103"/>
      <c r="AM8" s="103"/>
      <c r="AN8" s="103"/>
      <c r="AO8" s="103"/>
      <c r="AP8" s="591"/>
      <c r="AQ8" s="21"/>
      <c r="AR8" s="21"/>
      <c r="AS8" s="21"/>
      <c r="AT8" s="21"/>
      <c r="AU8" s="21"/>
    </row>
    <row r="9" spans="1:47" ht="18">
      <c r="A9" s="10" t="s">
        <v>83</v>
      </c>
      <c r="B9" s="220">
        <v>32</v>
      </c>
      <c r="C9" s="656" t="e">
        <f>SUMIF(#REF!,B9,#REF!)</f>
        <v>#REF!</v>
      </c>
      <c r="D9" s="234"/>
      <c r="E9" s="657"/>
      <c r="F9" s="655">
        <f ca="1">'SEN INIL'!BV8</f>
        <v>0</v>
      </c>
      <c r="G9" s="201">
        <f>2+5/60</f>
        <v>2.0833333333333335</v>
      </c>
      <c r="H9" s="203"/>
      <c r="I9" s="103"/>
      <c r="J9" s="513"/>
      <c r="K9" s="713" t="e">
        <f t="shared" si="0"/>
        <v>#REF!</v>
      </c>
      <c r="L9" s="872">
        <f>'INV. RATIO(FINAL EXAM)'!AM11</f>
        <v>15</v>
      </c>
      <c r="M9" s="873" t="e">
        <f t="shared" si="1"/>
        <v>#REF!</v>
      </c>
      <c r="N9" s="874">
        <v>3.5</v>
      </c>
      <c r="O9" s="875">
        <v>17</v>
      </c>
      <c r="P9" s="874">
        <v>2.9010624169986698</v>
      </c>
      <c r="Q9" s="891">
        <v>14.6</v>
      </c>
      <c r="R9" s="892">
        <v>31</v>
      </c>
      <c r="S9" s="893">
        <v>10.8184418643783</v>
      </c>
      <c r="T9" s="676">
        <v>6.1</v>
      </c>
      <c r="U9" s="677">
        <v>14</v>
      </c>
      <c r="V9" s="678">
        <v>4.4787878787878803</v>
      </c>
      <c r="W9" s="679" t="e">
        <f t="shared" si="2"/>
        <v>#REF!</v>
      </c>
      <c r="X9" s="245" t="str">
        <f t="shared" si="3"/>
        <v>LPK</v>
      </c>
      <c r="Y9" s="690">
        <f t="shared" si="4"/>
        <v>32</v>
      </c>
      <c r="Z9" s="103"/>
      <c r="AA9" s="595">
        <v>128</v>
      </c>
      <c r="AB9" s="691"/>
      <c r="AC9" s="692">
        <v>0.75</v>
      </c>
      <c r="AD9" s="692">
        <v>0.75</v>
      </c>
      <c r="AE9" s="693">
        <v>1.55</v>
      </c>
      <c r="AF9" s="203">
        <v>1.9166666666666701</v>
      </c>
      <c r="AG9" s="103"/>
      <c r="AH9" s="694">
        <f t="shared" si="5"/>
        <v>4.9666666666666703</v>
      </c>
      <c r="AI9" s="695">
        <f t="shared" si="6"/>
        <v>4.9666666666666703</v>
      </c>
      <c r="AJ9" s="21"/>
      <c r="AK9" s="612"/>
      <c r="AL9" s="103"/>
      <c r="AM9" s="103"/>
      <c r="AN9" s="103"/>
      <c r="AO9" s="103"/>
      <c r="AP9" s="591"/>
      <c r="AQ9" s="21"/>
      <c r="AR9" s="21"/>
      <c r="AS9" s="21"/>
      <c r="AT9" s="21"/>
      <c r="AU9" s="21"/>
    </row>
    <row r="10" spans="1:47" ht="18">
      <c r="A10" s="8" t="s">
        <v>84</v>
      </c>
      <c r="B10" s="222">
        <v>37</v>
      </c>
      <c r="C10" s="658" t="e">
        <f>SUMIF(#REF!,B10,#REF!)</f>
        <v>#REF!</v>
      </c>
      <c r="D10" s="659"/>
      <c r="E10" s="660"/>
      <c r="F10" s="655">
        <f ca="1">'SEN INIL'!BV9</f>
        <v>1.4333333333333282</v>
      </c>
      <c r="G10" s="201">
        <f>1.25</f>
        <v>1.25</v>
      </c>
      <c r="H10" s="201"/>
      <c r="I10" s="581"/>
      <c r="J10" s="514"/>
      <c r="K10" s="714" t="e">
        <f t="shared" si="0"/>
        <v>#REF!</v>
      </c>
      <c r="L10" s="876">
        <f>'INV. RATIO(FINAL EXAM)'!AM12</f>
        <v>23.5</v>
      </c>
      <c r="M10" s="877" t="e">
        <f t="shared" si="1"/>
        <v>#REF!</v>
      </c>
      <c r="N10" s="878">
        <v>3.5</v>
      </c>
      <c r="O10" s="879">
        <v>25.5</v>
      </c>
      <c r="P10" s="878">
        <v>4.3515936254980101</v>
      </c>
      <c r="Q10" s="894">
        <v>13.8</v>
      </c>
      <c r="R10" s="895">
        <v>42.8</v>
      </c>
      <c r="S10" s="896">
        <v>14.936429412754499</v>
      </c>
      <c r="T10" s="680">
        <v>6.1</v>
      </c>
      <c r="U10" s="681">
        <v>21.3</v>
      </c>
      <c r="V10" s="682">
        <v>6.8141558441558496</v>
      </c>
      <c r="W10" s="504" t="e">
        <f t="shared" si="2"/>
        <v>#REF!</v>
      </c>
      <c r="X10" s="245" t="str">
        <f t="shared" si="3"/>
        <v>WLP</v>
      </c>
      <c r="Y10" s="690">
        <f t="shared" si="4"/>
        <v>37</v>
      </c>
      <c r="Z10" s="103"/>
      <c r="AA10" s="595">
        <v>135</v>
      </c>
      <c r="AB10" s="691">
        <v>0.75</v>
      </c>
      <c r="AC10" s="692">
        <v>0.75</v>
      </c>
      <c r="AD10" s="692">
        <v>0.75</v>
      </c>
      <c r="AE10" s="693">
        <v>1.55</v>
      </c>
      <c r="AF10" s="203">
        <v>1.9166666666666701</v>
      </c>
      <c r="AG10" s="103"/>
      <c r="AH10" s="694">
        <f t="shared" si="5"/>
        <v>5.7166666666666703</v>
      </c>
      <c r="AI10" s="695">
        <f t="shared" si="6"/>
        <v>5.7166666666666703</v>
      </c>
      <c r="AJ10" s="21"/>
      <c r="AK10" s="612"/>
      <c r="AL10" s="103"/>
      <c r="AM10" s="103"/>
      <c r="AN10" s="103"/>
      <c r="AO10" s="103"/>
      <c r="AP10" s="591"/>
      <c r="AQ10" s="21"/>
      <c r="AR10" s="21"/>
      <c r="AS10" s="21"/>
      <c r="AT10" s="21"/>
      <c r="AU10" s="21"/>
    </row>
    <row r="11" spans="1:47" ht="23.25" customHeight="1">
      <c r="A11" s="1" t="s">
        <v>85</v>
      </c>
      <c r="B11" s="406">
        <v>39</v>
      </c>
      <c r="C11" s="652" t="e">
        <f>SUMIF(#REF!,B11,#REF!)</f>
        <v>#REF!</v>
      </c>
      <c r="D11" s="234"/>
      <c r="E11" s="657"/>
      <c r="F11" s="655">
        <f ca="1">'SEN INIL'!BV10</f>
        <v>0</v>
      </c>
      <c r="G11" s="203"/>
      <c r="H11" s="203"/>
      <c r="I11" s="103"/>
      <c r="J11" s="203">
        <f>AI5</f>
        <v>6.1166666666666707</v>
      </c>
      <c r="K11" s="880" t="e">
        <f t="shared" si="0"/>
        <v>#REF!</v>
      </c>
      <c r="L11" s="868">
        <f>'INV. RATIO(FINAL EXAM)'!AM13</f>
        <v>24</v>
      </c>
      <c r="M11" s="869" t="e">
        <f t="shared" si="1"/>
        <v>#REF!</v>
      </c>
      <c r="N11" s="870">
        <v>5</v>
      </c>
      <c r="O11" s="871">
        <v>25</v>
      </c>
      <c r="P11" s="870">
        <v>4.2662682602921604</v>
      </c>
      <c r="Q11" s="888">
        <v>12</v>
      </c>
      <c r="R11" s="889">
        <v>40</v>
      </c>
      <c r="S11" s="890">
        <v>13.959279825004201</v>
      </c>
      <c r="T11" s="672">
        <v>6.5</v>
      </c>
      <c r="U11" s="673">
        <v>22</v>
      </c>
      <c r="V11" s="674">
        <v>7.0380952380952397</v>
      </c>
      <c r="W11" s="675" t="e">
        <f t="shared" si="2"/>
        <v>#REF!</v>
      </c>
      <c r="X11" s="241" t="str">
        <f t="shared" si="3"/>
        <v>CML</v>
      </c>
      <c r="Y11" s="690">
        <f t="shared" si="4"/>
        <v>39</v>
      </c>
      <c r="Z11" s="103"/>
      <c r="AA11" s="595">
        <v>147</v>
      </c>
      <c r="AB11" s="691">
        <v>0.75</v>
      </c>
      <c r="AC11" s="692">
        <v>0.75</v>
      </c>
      <c r="AD11" s="692">
        <v>0.75</v>
      </c>
      <c r="AE11" s="693">
        <v>1.95</v>
      </c>
      <c r="AF11" s="203">
        <v>1.9166666666666701</v>
      </c>
      <c r="AG11" s="103"/>
      <c r="AH11" s="694">
        <f t="shared" si="5"/>
        <v>6.1166666666666707</v>
      </c>
      <c r="AI11" s="695">
        <f t="shared" si="6"/>
        <v>6.1166666666666707</v>
      </c>
      <c r="AJ11" s="21"/>
      <c r="AK11" s="612"/>
      <c r="AL11" s="103"/>
      <c r="AM11" s="103"/>
      <c r="AN11" s="103"/>
      <c r="AO11" s="103"/>
      <c r="AP11" s="591"/>
      <c r="AQ11" s="21"/>
      <c r="AR11" s="21"/>
      <c r="AS11" s="225"/>
      <c r="AT11" s="592"/>
      <c r="AU11" s="21"/>
    </row>
    <row r="12" spans="1:47" ht="18">
      <c r="A12" s="1" t="s">
        <v>86</v>
      </c>
      <c r="B12" s="220">
        <v>49</v>
      </c>
      <c r="C12" s="656" t="e">
        <f>SUMIF(#REF!,B12,#REF!)</f>
        <v>#REF!</v>
      </c>
      <c r="D12" s="234"/>
      <c r="E12" s="657"/>
      <c r="F12" s="655">
        <f ca="1">'SEN INIL'!BV11</f>
        <v>4.0500000000000007</v>
      </c>
      <c r="G12" s="203"/>
      <c r="H12" s="203"/>
      <c r="I12" s="103"/>
      <c r="J12" s="103"/>
      <c r="K12" s="881" t="e">
        <f t="shared" si="0"/>
        <v>#REF!</v>
      </c>
      <c r="L12" s="872">
        <f>'INV. RATIO(FINAL EXAM)'!AM14</f>
        <v>25.5</v>
      </c>
      <c r="M12" s="873" t="e">
        <f t="shared" si="1"/>
        <v>#REF!</v>
      </c>
      <c r="N12" s="874">
        <v>5.75</v>
      </c>
      <c r="O12" s="875">
        <v>21.5</v>
      </c>
      <c r="P12" s="874">
        <v>3.6689907038512599</v>
      </c>
      <c r="Q12" s="891">
        <v>12</v>
      </c>
      <c r="R12" s="892">
        <v>39.799999999999997</v>
      </c>
      <c r="S12" s="893">
        <v>13.889483425879201</v>
      </c>
      <c r="T12" s="676">
        <v>4.3</v>
      </c>
      <c r="U12" s="677">
        <v>17.3</v>
      </c>
      <c r="V12" s="678">
        <v>5.5345021645021699</v>
      </c>
      <c r="W12" s="679" t="e">
        <f t="shared" si="2"/>
        <v>#REF!</v>
      </c>
      <c r="X12" s="245" t="str">
        <f t="shared" si="3"/>
        <v>TCH</v>
      </c>
      <c r="Y12" s="690">
        <f t="shared" si="4"/>
        <v>49</v>
      </c>
      <c r="Z12" s="103"/>
      <c r="AA12" s="595">
        <v>190</v>
      </c>
      <c r="AB12" s="691">
        <v>0.75</v>
      </c>
      <c r="AC12" s="692">
        <v>0.75</v>
      </c>
      <c r="AD12" s="692">
        <v>0.75</v>
      </c>
      <c r="AE12" s="693">
        <v>1.55</v>
      </c>
      <c r="AF12" s="203">
        <v>1.9166666666666701</v>
      </c>
      <c r="AG12" s="103"/>
      <c r="AH12" s="694">
        <f t="shared" si="5"/>
        <v>5.7166666666666703</v>
      </c>
      <c r="AI12" s="695">
        <f t="shared" si="6"/>
        <v>5.7166666666666703</v>
      </c>
      <c r="AJ12" s="21"/>
      <c r="AK12" s="612"/>
      <c r="AL12" s="103"/>
      <c r="AM12" s="103"/>
      <c r="AN12" s="103"/>
      <c r="AO12" s="103"/>
      <c r="AP12" s="591"/>
      <c r="AQ12" s="21"/>
      <c r="AR12" s="21"/>
      <c r="AS12" s="225"/>
      <c r="AT12" s="592"/>
      <c r="AU12" s="21"/>
    </row>
    <row r="13" spans="1:47" ht="18">
      <c r="A13" s="1" t="s">
        <v>87</v>
      </c>
      <c r="B13" s="220">
        <v>67</v>
      </c>
      <c r="C13" s="656" t="e">
        <f>SUMIF(#REF!,B13,#REF!)</f>
        <v>#REF!</v>
      </c>
      <c r="D13" s="234"/>
      <c r="E13" s="657"/>
      <c r="F13" s="655">
        <f ca="1">'SEN INIL'!BV12</f>
        <v>0</v>
      </c>
      <c r="G13" s="203"/>
      <c r="H13" s="203"/>
      <c r="I13" s="103"/>
      <c r="J13" s="203">
        <f>AI6</f>
        <v>4.2166666666666703</v>
      </c>
      <c r="K13" s="881" t="e">
        <f t="shared" si="0"/>
        <v>#REF!</v>
      </c>
      <c r="L13" s="872">
        <f>'INV. RATIO(FINAL EXAM)'!AM15</f>
        <v>26.5</v>
      </c>
      <c r="M13" s="873" t="e">
        <f>$K$66*L13/$L$66*6/10</f>
        <v>#REF!</v>
      </c>
      <c r="N13" s="874">
        <v>2.5</v>
      </c>
      <c r="O13" s="875">
        <v>22.3</v>
      </c>
      <c r="P13" s="874">
        <v>3.8055112881806101</v>
      </c>
      <c r="Q13" s="891">
        <v>13.1</v>
      </c>
      <c r="R13" s="892">
        <v>37.9</v>
      </c>
      <c r="S13" s="893">
        <v>13.226417634191501</v>
      </c>
      <c r="T13" s="676">
        <v>7.3</v>
      </c>
      <c r="U13" s="677">
        <v>16.100000000000001</v>
      </c>
      <c r="V13" s="678">
        <v>5.1506060606060604</v>
      </c>
      <c r="W13" s="679" t="e">
        <f t="shared" si="2"/>
        <v>#REF!</v>
      </c>
      <c r="X13" s="245" t="str">
        <f t="shared" si="3"/>
        <v>LTN</v>
      </c>
      <c r="Y13" s="690">
        <f t="shared" si="4"/>
        <v>67</v>
      </c>
      <c r="Z13" s="103"/>
      <c r="AA13" s="595">
        <v>214</v>
      </c>
      <c r="AB13" s="691">
        <v>0.75</v>
      </c>
      <c r="AC13" s="692">
        <v>0.75</v>
      </c>
      <c r="AD13" s="692">
        <v>0.75</v>
      </c>
      <c r="AE13" s="693">
        <v>1.55</v>
      </c>
      <c r="AF13" s="203">
        <v>1.9166666666666701</v>
      </c>
      <c r="AG13" s="103"/>
      <c r="AH13" s="694">
        <f t="shared" si="5"/>
        <v>5.7166666666666703</v>
      </c>
      <c r="AI13" s="695">
        <f t="shared" si="6"/>
        <v>5.7166666666666703</v>
      </c>
      <c r="AJ13" s="21"/>
      <c r="AK13" s="612"/>
      <c r="AL13" s="103"/>
      <c r="AM13" s="103"/>
      <c r="AN13" s="103"/>
      <c r="AO13" s="103"/>
      <c r="AP13" s="591"/>
      <c r="AQ13" s="21"/>
      <c r="AR13" s="21"/>
      <c r="AS13" s="225"/>
      <c r="AT13" s="592"/>
      <c r="AU13" s="21"/>
    </row>
    <row r="14" spans="1:47" ht="18">
      <c r="A14" s="1" t="s">
        <v>88</v>
      </c>
      <c r="B14" s="220">
        <v>72</v>
      </c>
      <c r="C14" s="656" t="e">
        <f>SUMIF(#REF!,B14,#REF!)</f>
        <v>#REF!</v>
      </c>
      <c r="D14" s="234"/>
      <c r="E14" s="657"/>
      <c r="F14" s="655">
        <f ca="1">'SEN INIL'!BV13</f>
        <v>0</v>
      </c>
      <c r="G14" s="203"/>
      <c r="H14" s="203"/>
      <c r="I14" s="103"/>
      <c r="J14" s="103">
        <f>AI25</f>
        <v>2</v>
      </c>
      <c r="K14" s="881" t="e">
        <f t="shared" si="0"/>
        <v>#REF!</v>
      </c>
      <c r="L14" s="872">
        <f>'INV. RATIO(FINAL EXAM)'!AM16</f>
        <v>21</v>
      </c>
      <c r="M14" s="873" t="e">
        <f t="shared" ref="M14:M65" si="7">$K$66*L14/$L$66</f>
        <v>#REF!</v>
      </c>
      <c r="N14" s="874">
        <v>4.75</v>
      </c>
      <c r="O14" s="875">
        <v>19</v>
      </c>
      <c r="P14" s="874">
        <v>3.2423638778220498</v>
      </c>
      <c r="Q14" s="891">
        <v>13.2</v>
      </c>
      <c r="R14" s="892">
        <v>30</v>
      </c>
      <c r="S14" s="893">
        <v>10.4694598687532</v>
      </c>
      <c r="T14" s="676">
        <v>5.8</v>
      </c>
      <c r="U14" s="677">
        <v>15</v>
      </c>
      <c r="V14" s="678">
        <v>4.7987012987012996</v>
      </c>
      <c r="W14" s="679" t="e">
        <f t="shared" si="2"/>
        <v>#REF!</v>
      </c>
      <c r="X14" s="245" t="str">
        <f t="shared" si="3"/>
        <v>LPC</v>
      </c>
      <c r="Y14" s="690">
        <f t="shared" si="4"/>
        <v>72</v>
      </c>
      <c r="Z14" s="103"/>
      <c r="AA14" s="595">
        <v>216</v>
      </c>
      <c r="AB14" s="691">
        <v>0.75</v>
      </c>
      <c r="AC14" s="692">
        <v>0.75</v>
      </c>
      <c r="AD14" s="692">
        <v>0.75</v>
      </c>
      <c r="AE14" s="693">
        <v>1.55</v>
      </c>
      <c r="AF14" s="203">
        <v>1.9166666666666701</v>
      </c>
      <c r="AG14" s="103"/>
      <c r="AH14" s="694">
        <f t="shared" si="5"/>
        <v>5.7166666666666703</v>
      </c>
      <c r="AI14" s="695">
        <f t="shared" si="6"/>
        <v>5.7166666666666703</v>
      </c>
      <c r="AJ14" s="21"/>
      <c r="AK14" s="612"/>
      <c r="AL14" s="103"/>
      <c r="AM14" s="103"/>
      <c r="AN14" s="103"/>
      <c r="AO14" s="103"/>
      <c r="AP14" s="591"/>
      <c r="AQ14" s="21"/>
      <c r="AR14" s="21"/>
      <c r="AS14" s="225"/>
      <c r="AT14" s="592"/>
      <c r="AU14" s="21"/>
    </row>
    <row r="15" spans="1:47" ht="18">
      <c r="A15" s="1" t="s">
        <v>89</v>
      </c>
      <c r="B15" s="220">
        <v>73</v>
      </c>
      <c r="C15" s="656" t="e">
        <f>SUMIF(#REF!,B15,#REF!)</f>
        <v>#REF!</v>
      </c>
      <c r="D15" s="234"/>
      <c r="E15" s="657"/>
      <c r="F15" s="655">
        <f ca="1">'SEN INIL'!BV14</f>
        <v>0</v>
      </c>
      <c r="G15" s="203"/>
      <c r="H15" s="203"/>
      <c r="I15" s="103"/>
      <c r="J15" s="103"/>
      <c r="K15" s="881" t="e">
        <f t="shared" si="0"/>
        <v>#REF!</v>
      </c>
      <c r="L15" s="872">
        <f>'INV. RATIO(FINAL EXAM)'!AM17</f>
        <v>23</v>
      </c>
      <c r="M15" s="873" t="e">
        <f t="shared" si="7"/>
        <v>#REF!</v>
      </c>
      <c r="N15" s="874">
        <v>4.75</v>
      </c>
      <c r="O15" s="875">
        <v>27</v>
      </c>
      <c r="P15" s="874">
        <v>4.6075697211155404</v>
      </c>
      <c r="Q15" s="891">
        <v>15.1</v>
      </c>
      <c r="R15" s="892">
        <v>45.8</v>
      </c>
      <c r="S15" s="893">
        <v>15.9833753996298</v>
      </c>
      <c r="T15" s="676">
        <v>8.6</v>
      </c>
      <c r="U15" s="677">
        <v>22.8</v>
      </c>
      <c r="V15" s="678">
        <v>7.2940259740259803</v>
      </c>
      <c r="W15" s="679" t="e">
        <f t="shared" si="2"/>
        <v>#REF!</v>
      </c>
      <c r="X15" s="245" t="str">
        <f t="shared" si="3"/>
        <v>LHK</v>
      </c>
      <c r="Y15" s="690">
        <f t="shared" si="4"/>
        <v>73</v>
      </c>
      <c r="Z15" s="103"/>
      <c r="AA15" s="595" t="s">
        <v>90</v>
      </c>
      <c r="AB15" s="595"/>
      <c r="AC15" s="203"/>
      <c r="AD15" s="203"/>
      <c r="AE15" s="693"/>
      <c r="AF15" s="203"/>
      <c r="AG15" s="103"/>
      <c r="AH15" s="694">
        <f t="shared" si="5"/>
        <v>0</v>
      </c>
      <c r="AI15" s="695">
        <f t="shared" si="6"/>
        <v>0</v>
      </c>
      <c r="AJ15" s="21"/>
      <c r="AK15" s="612"/>
      <c r="AL15" s="103"/>
      <c r="AM15" s="103"/>
      <c r="AN15" s="103"/>
      <c r="AO15" s="103"/>
      <c r="AP15" s="591"/>
      <c r="AQ15" s="21"/>
      <c r="AR15" s="21"/>
      <c r="AS15" s="225"/>
      <c r="AT15" s="592"/>
      <c r="AU15" s="21"/>
    </row>
    <row r="16" spans="1:47" ht="18">
      <c r="A16" s="1" t="s">
        <v>81</v>
      </c>
      <c r="B16" s="220">
        <v>76</v>
      </c>
      <c r="C16" s="656" t="e">
        <f>SUMIF(#REF!,B16,#REF!)</f>
        <v>#REF!</v>
      </c>
      <c r="D16" s="234"/>
      <c r="E16" s="657"/>
      <c r="F16" s="655">
        <f ca="1">'SEN INIL'!BV15</f>
        <v>0</v>
      </c>
      <c r="G16" s="203"/>
      <c r="H16" s="203"/>
      <c r="I16" s="103"/>
      <c r="J16" s="203">
        <f>AI7</f>
        <v>3.4666666666666703</v>
      </c>
      <c r="K16" s="881" t="e">
        <f t="shared" si="0"/>
        <v>#REF!</v>
      </c>
      <c r="L16" s="872">
        <f>'INV. RATIO(FINAL EXAM)'!AM18</f>
        <v>12</v>
      </c>
      <c r="M16" s="873" t="e">
        <f t="shared" si="7"/>
        <v>#REF!</v>
      </c>
      <c r="N16" s="874">
        <v>4.5</v>
      </c>
      <c r="O16" s="875">
        <v>12</v>
      </c>
      <c r="P16" s="874">
        <v>2.0478087649402399</v>
      </c>
      <c r="Q16" s="891">
        <v>4</v>
      </c>
      <c r="R16" s="892">
        <v>26.5</v>
      </c>
      <c r="S16" s="893">
        <v>9.2480228840652803</v>
      </c>
      <c r="T16" s="676">
        <v>0</v>
      </c>
      <c r="U16" s="677">
        <v>9</v>
      </c>
      <c r="V16" s="678">
        <v>2.87922077922078</v>
      </c>
      <c r="W16" s="679" t="e">
        <f t="shared" si="2"/>
        <v>#REF!</v>
      </c>
      <c r="X16" s="245" t="str">
        <f t="shared" si="3"/>
        <v>WWY</v>
      </c>
      <c r="Y16" s="690">
        <f t="shared" si="4"/>
        <v>76</v>
      </c>
      <c r="Z16" s="103"/>
      <c r="AA16" s="595"/>
      <c r="AB16" s="595"/>
      <c r="AC16" s="103"/>
      <c r="AD16" s="103"/>
      <c r="AE16" s="595"/>
      <c r="AF16" s="103"/>
      <c r="AG16" s="103"/>
      <c r="AH16" s="696">
        <f t="shared" si="5"/>
        <v>0</v>
      </c>
      <c r="AI16" s="610">
        <f t="shared" si="6"/>
        <v>0</v>
      </c>
      <c r="AJ16" s="21"/>
      <c r="AK16" s="612"/>
      <c r="AL16" s="103"/>
      <c r="AM16" s="103"/>
      <c r="AN16" s="103"/>
      <c r="AO16" s="103"/>
      <c r="AP16" s="591"/>
      <c r="AQ16" s="21"/>
      <c r="AR16" s="21"/>
      <c r="AS16" s="225"/>
      <c r="AT16" s="592"/>
      <c r="AU16" s="21"/>
    </row>
    <row r="17" spans="1:47" ht="18">
      <c r="A17" s="1" t="s">
        <v>91</v>
      </c>
      <c r="B17" s="220">
        <v>78</v>
      </c>
      <c r="C17" s="656" t="e">
        <f>SUMIF(#REF!,B17,#REF!)</f>
        <v>#REF!</v>
      </c>
      <c r="D17" s="234"/>
      <c r="E17" s="657"/>
      <c r="F17" s="655">
        <f ca="1">'SEN INIL'!BV16</f>
        <v>1.7500000000000084</v>
      </c>
      <c r="G17" s="203"/>
      <c r="H17" s="203"/>
      <c r="I17" s="103"/>
      <c r="J17" s="103"/>
      <c r="K17" s="881" t="e">
        <f t="shared" si="0"/>
        <v>#REF!</v>
      </c>
      <c r="L17" s="872">
        <f>'INV. RATIO(FINAL EXAM)'!AM19</f>
        <v>23.5</v>
      </c>
      <c r="M17" s="873" t="e">
        <f t="shared" si="7"/>
        <v>#REF!</v>
      </c>
      <c r="N17" s="874">
        <v>3.75</v>
      </c>
      <c r="O17" s="875">
        <v>27.7</v>
      </c>
      <c r="P17" s="874">
        <v>4.7270252324037196</v>
      </c>
      <c r="Q17" s="891">
        <v>13.7</v>
      </c>
      <c r="R17" s="892">
        <v>46.1</v>
      </c>
      <c r="S17" s="893">
        <v>16.088069998317302</v>
      </c>
      <c r="T17" s="676">
        <v>8.6999999999999993</v>
      </c>
      <c r="U17" s="677">
        <v>27.9</v>
      </c>
      <c r="V17" s="678">
        <v>8.9255844155844208</v>
      </c>
      <c r="W17" s="679" t="e">
        <f t="shared" si="2"/>
        <v>#REF!</v>
      </c>
      <c r="X17" s="245" t="str">
        <f t="shared" si="3"/>
        <v>LKC</v>
      </c>
      <c r="Y17" s="690">
        <f t="shared" si="4"/>
        <v>78</v>
      </c>
      <c r="Z17" s="103"/>
      <c r="AA17" s="595"/>
      <c r="AB17" s="595"/>
      <c r="AC17" s="103"/>
      <c r="AD17" s="103"/>
      <c r="AE17" s="595"/>
      <c r="AF17" s="103"/>
      <c r="AG17" s="103"/>
      <c r="AH17" s="696">
        <f t="shared" si="5"/>
        <v>0</v>
      </c>
      <c r="AI17" s="610">
        <f t="shared" si="6"/>
        <v>0</v>
      </c>
      <c r="AJ17" s="21"/>
      <c r="AK17" s="612"/>
      <c r="AL17" s="103"/>
      <c r="AM17" s="103"/>
      <c r="AN17" s="103"/>
      <c r="AO17" s="103"/>
      <c r="AP17" s="591"/>
      <c r="AQ17" s="21"/>
      <c r="AR17" s="21"/>
      <c r="AS17" s="225"/>
      <c r="AT17" s="592"/>
      <c r="AU17" s="21"/>
    </row>
    <row r="18" spans="1:47" ht="18">
      <c r="A18" s="1" t="s">
        <v>92</v>
      </c>
      <c r="B18" s="222">
        <v>84</v>
      </c>
      <c r="C18" s="658" t="e">
        <f>SUMIF(#REF!,B18,#REF!)</f>
        <v>#REF!</v>
      </c>
      <c r="D18" s="234"/>
      <c r="E18" s="657"/>
      <c r="F18" s="655">
        <f ca="1">'SEN INIL'!BV17</f>
        <v>3</v>
      </c>
      <c r="G18" s="203"/>
      <c r="H18" s="203"/>
      <c r="I18" s="103"/>
      <c r="J18" s="103"/>
      <c r="K18" s="882" t="e">
        <f t="shared" si="0"/>
        <v>#REF!</v>
      </c>
      <c r="L18" s="876">
        <f>'INV. RATIO(FINAL EXAM)'!AM20</f>
        <v>23.5</v>
      </c>
      <c r="M18" s="877" t="e">
        <f t="shared" si="7"/>
        <v>#REF!</v>
      </c>
      <c r="N18" s="874">
        <v>1.5</v>
      </c>
      <c r="O18" s="875">
        <v>27.3</v>
      </c>
      <c r="P18" s="874">
        <v>4.6587649402390401</v>
      </c>
      <c r="Q18" s="891">
        <v>15.6</v>
      </c>
      <c r="R18" s="892">
        <v>42.9</v>
      </c>
      <c r="S18" s="893">
        <v>14.971327612316999</v>
      </c>
      <c r="T18" s="676">
        <v>6.8</v>
      </c>
      <c r="U18" s="677">
        <v>23.1</v>
      </c>
      <c r="V18" s="678">
        <v>7.39</v>
      </c>
      <c r="W18" s="679" t="e">
        <f t="shared" si="2"/>
        <v>#REF!</v>
      </c>
      <c r="X18" s="245" t="str">
        <f t="shared" si="3"/>
        <v>KKW</v>
      </c>
      <c r="Y18" s="690">
        <f t="shared" si="4"/>
        <v>84</v>
      </c>
      <c r="Z18" s="103"/>
      <c r="AA18" s="595"/>
      <c r="AB18" s="595"/>
      <c r="AC18" s="103"/>
      <c r="AD18" s="103"/>
      <c r="AE18" s="595"/>
      <c r="AF18" s="103"/>
      <c r="AG18" s="103"/>
      <c r="AH18" s="696">
        <f t="shared" si="5"/>
        <v>0</v>
      </c>
      <c r="AI18" s="610">
        <f t="shared" si="6"/>
        <v>0</v>
      </c>
      <c r="AJ18" s="21"/>
      <c r="AK18" s="612"/>
      <c r="AL18" s="103"/>
      <c r="AM18" s="103"/>
      <c r="AN18" s="103"/>
      <c r="AO18" s="103"/>
      <c r="AP18" s="591"/>
      <c r="AQ18" s="21"/>
      <c r="AR18" s="21"/>
      <c r="AS18" s="225"/>
      <c r="AT18" s="592"/>
      <c r="AU18" s="21"/>
    </row>
    <row r="19" spans="1:47" ht="18">
      <c r="A19" s="5" t="s">
        <v>93</v>
      </c>
      <c r="B19" s="220">
        <v>85</v>
      </c>
      <c r="C19" s="656" t="e">
        <f>SUMIF(#REF!,B19,#REF!)</f>
        <v>#REF!</v>
      </c>
      <c r="D19" s="653"/>
      <c r="E19" s="654"/>
      <c r="F19" s="655">
        <f ca="1">'SEN INIL'!BV18</f>
        <v>0</v>
      </c>
      <c r="G19" s="205"/>
      <c r="H19" s="205"/>
      <c r="I19" s="574"/>
      <c r="J19" s="181">
        <f>AI8</f>
        <v>1.75</v>
      </c>
      <c r="K19" s="712" t="e">
        <f t="shared" si="0"/>
        <v>#REF!</v>
      </c>
      <c r="L19" s="868">
        <f>'INV. RATIO(FINAL EXAM)'!AM21</f>
        <v>15</v>
      </c>
      <c r="M19" s="869" t="e">
        <f t="shared" si="7"/>
        <v>#REF!</v>
      </c>
      <c r="N19" s="870">
        <v>0</v>
      </c>
      <c r="O19" s="871">
        <v>15</v>
      </c>
      <c r="P19" s="870">
        <v>2.5597609561753001</v>
      </c>
      <c r="Q19" s="888">
        <v>14.1</v>
      </c>
      <c r="R19" s="889">
        <v>21</v>
      </c>
      <c r="S19" s="890">
        <v>7.3286219081272099</v>
      </c>
      <c r="T19" s="672">
        <v>8.6999999999999993</v>
      </c>
      <c r="U19" s="673">
        <v>11</v>
      </c>
      <c r="V19" s="674">
        <v>3.5190476190476199</v>
      </c>
      <c r="W19" s="675" t="e">
        <f t="shared" si="2"/>
        <v>#REF!</v>
      </c>
      <c r="X19" s="241" t="str">
        <f t="shared" si="3"/>
        <v>AT</v>
      </c>
      <c r="Y19" s="690">
        <f t="shared" si="4"/>
        <v>85</v>
      </c>
      <c r="Z19" s="103"/>
      <c r="AA19" s="595"/>
      <c r="AB19" s="595"/>
      <c r="AC19" s="103"/>
      <c r="AD19" s="103"/>
      <c r="AE19" s="595"/>
      <c r="AF19" s="103"/>
      <c r="AG19" s="103"/>
      <c r="AH19" s="696">
        <f t="shared" si="5"/>
        <v>0</v>
      </c>
      <c r="AI19" s="610">
        <f t="shared" si="6"/>
        <v>0</v>
      </c>
      <c r="AJ19" s="21"/>
      <c r="AK19" s="612"/>
      <c r="AL19" s="103"/>
      <c r="AM19" s="103"/>
      <c r="AN19" s="103"/>
      <c r="AO19" s="103"/>
      <c r="AP19" s="591"/>
      <c r="AQ19" s="21"/>
      <c r="AR19" s="225"/>
      <c r="AS19" s="21"/>
      <c r="AT19" s="21"/>
      <c r="AU19" s="21"/>
    </row>
    <row r="20" spans="1:47" ht="18">
      <c r="A20" s="10" t="s">
        <v>94</v>
      </c>
      <c r="B20" s="220">
        <v>86</v>
      </c>
      <c r="C20" s="656" t="e">
        <f>SUMIF(#REF!,B20,#REF!)</f>
        <v>#REF!</v>
      </c>
      <c r="D20" s="234"/>
      <c r="E20" s="657"/>
      <c r="F20" s="655">
        <f ca="1">'SEN INIL'!BV19</f>
        <v>0</v>
      </c>
      <c r="G20" s="203"/>
      <c r="H20" s="203"/>
      <c r="I20" s="103"/>
      <c r="J20" s="513">
        <f>AI26</f>
        <v>1</v>
      </c>
      <c r="K20" s="713" t="e">
        <f t="shared" si="0"/>
        <v>#REF!</v>
      </c>
      <c r="L20" s="872">
        <f>'INV. RATIO(FINAL EXAM)'!AM22</f>
        <v>24</v>
      </c>
      <c r="M20" s="873" t="e">
        <f t="shared" si="7"/>
        <v>#REF!</v>
      </c>
      <c r="N20" s="874">
        <v>5.8333333333333304</v>
      </c>
      <c r="O20" s="875">
        <v>26.7</v>
      </c>
      <c r="P20" s="874">
        <v>4.5563745019920301</v>
      </c>
      <c r="Q20" s="891">
        <v>14.2</v>
      </c>
      <c r="R20" s="892">
        <v>40.299999999999997</v>
      </c>
      <c r="S20" s="893">
        <v>14.0639744236917</v>
      </c>
      <c r="T20" s="676">
        <v>6</v>
      </c>
      <c r="U20" s="677">
        <v>21</v>
      </c>
      <c r="V20" s="678">
        <v>6.7181818181818196</v>
      </c>
      <c r="W20" s="679" t="e">
        <f t="shared" si="2"/>
        <v>#REF!</v>
      </c>
      <c r="X20" s="245" t="str">
        <f t="shared" si="3"/>
        <v>KSC</v>
      </c>
      <c r="Y20" s="690">
        <f t="shared" si="4"/>
        <v>86</v>
      </c>
      <c r="Z20" s="103"/>
      <c r="AA20" s="597"/>
      <c r="AB20" s="597"/>
      <c r="AC20" s="581"/>
      <c r="AD20" s="581"/>
      <c r="AE20" s="597"/>
      <c r="AF20" s="581"/>
      <c r="AG20" s="581"/>
      <c r="AH20" s="697">
        <f t="shared" si="5"/>
        <v>0</v>
      </c>
      <c r="AI20" s="613">
        <f t="shared" si="6"/>
        <v>0</v>
      </c>
      <c r="AJ20" s="21"/>
      <c r="AK20" s="612"/>
      <c r="AL20" s="103"/>
      <c r="AM20" s="103"/>
      <c r="AN20" s="103"/>
      <c r="AO20" s="103"/>
      <c r="AP20" s="591"/>
      <c r="AQ20" s="21"/>
      <c r="AR20" s="225"/>
      <c r="AS20" s="21"/>
      <c r="AT20" s="21"/>
      <c r="AU20" s="21"/>
    </row>
    <row r="21" spans="1:47" ht="15.75" customHeight="1">
      <c r="A21" s="10" t="s">
        <v>95</v>
      </c>
      <c r="B21" s="220">
        <v>90</v>
      </c>
      <c r="C21" s="656" t="e">
        <f>SUMIF(#REF!,B21,#REF!)</f>
        <v>#REF!</v>
      </c>
      <c r="D21" s="234"/>
      <c r="E21" s="657"/>
      <c r="F21" s="655">
        <f ca="1">'SEN INIL'!BV20</f>
        <v>0</v>
      </c>
      <c r="G21" s="203"/>
      <c r="H21" s="203"/>
      <c r="I21" s="103"/>
      <c r="J21" s="513">
        <f>AI27</f>
        <v>2</v>
      </c>
      <c r="K21" s="713" t="e">
        <f t="shared" si="0"/>
        <v>#REF!</v>
      </c>
      <c r="L21" s="872">
        <f>'INV. RATIO(FINAL EXAM)'!AM23</f>
        <v>20.5</v>
      </c>
      <c r="M21" s="873" t="e">
        <f t="shared" si="7"/>
        <v>#REF!</v>
      </c>
      <c r="N21" s="874">
        <v>3.25</v>
      </c>
      <c r="O21" s="875">
        <v>21.3</v>
      </c>
      <c r="P21" s="874">
        <v>3.6348605577689201</v>
      </c>
      <c r="Q21" s="891">
        <v>12.5</v>
      </c>
      <c r="R21" s="892">
        <v>30.9</v>
      </c>
      <c r="S21" s="893">
        <v>10.783543664815699</v>
      </c>
      <c r="T21" s="676">
        <v>5.5</v>
      </c>
      <c r="U21" s="677">
        <v>15.1</v>
      </c>
      <c r="V21" s="678">
        <v>4.8306926406926403</v>
      </c>
      <c r="W21" s="679" t="e">
        <f t="shared" si="2"/>
        <v>#REF!</v>
      </c>
      <c r="X21" s="245" t="str">
        <f t="shared" si="3"/>
        <v>LKL</v>
      </c>
      <c r="Y21" s="690">
        <f t="shared" si="4"/>
        <v>90</v>
      </c>
      <c r="Z21" s="103"/>
      <c r="AA21" s="593" t="s">
        <v>96</v>
      </c>
      <c r="AB21" s="593"/>
      <c r="AC21" s="228"/>
      <c r="AD21" s="229"/>
      <c r="AE21" s="228"/>
      <c r="AF21" s="228"/>
      <c r="AG21" s="228"/>
      <c r="AH21" s="698"/>
      <c r="AI21" s="699">
        <f>SUM(AI3:AI20)</f>
        <v>60.953333333333362</v>
      </c>
      <c r="AJ21" s="21"/>
      <c r="AK21" s="612"/>
      <c r="AL21" s="103"/>
      <c r="AM21" s="103"/>
      <c r="AN21" s="103"/>
      <c r="AO21" s="103"/>
      <c r="AP21" s="591"/>
      <c r="AQ21" s="21"/>
      <c r="AR21" s="225"/>
      <c r="AS21" s="21"/>
      <c r="AT21" s="21"/>
      <c r="AU21" s="21"/>
    </row>
    <row r="22" spans="1:47" ht="15.75" customHeight="1">
      <c r="A22" s="10" t="s">
        <v>97</v>
      </c>
      <c r="B22" s="220">
        <v>91</v>
      </c>
      <c r="C22" s="656" t="e">
        <f>SUMIF(#REF!,B22,#REF!)</f>
        <v>#REF!</v>
      </c>
      <c r="D22" s="234"/>
      <c r="E22" s="657"/>
      <c r="F22" s="655">
        <f ca="1">'SEN INIL'!BV21</f>
        <v>12.649999999999991</v>
      </c>
      <c r="G22" s="203"/>
      <c r="H22" s="203"/>
      <c r="I22" s="103"/>
      <c r="J22" s="513"/>
      <c r="K22" s="713" t="e">
        <f t="shared" si="0"/>
        <v>#REF!</v>
      </c>
      <c r="L22" s="872">
        <f>'INV. RATIO(FINAL EXAM)'!AM24</f>
        <v>25.5</v>
      </c>
      <c r="M22" s="873" t="e">
        <f t="shared" si="7"/>
        <v>#REF!</v>
      </c>
      <c r="N22" s="874">
        <v>6.0833333333333304</v>
      </c>
      <c r="O22" s="875">
        <v>27.7</v>
      </c>
      <c r="P22" s="874">
        <v>4.7270252324037196</v>
      </c>
      <c r="Q22" s="891">
        <v>14</v>
      </c>
      <c r="R22" s="892">
        <v>42.3</v>
      </c>
      <c r="S22" s="893">
        <v>14.7619384149419</v>
      </c>
      <c r="T22" s="676">
        <v>6.8</v>
      </c>
      <c r="U22" s="677">
        <v>22</v>
      </c>
      <c r="V22" s="678">
        <v>7.0380952380952397</v>
      </c>
      <c r="W22" s="679" t="e">
        <f t="shared" si="2"/>
        <v>#REF!</v>
      </c>
      <c r="X22" s="245" t="str">
        <f t="shared" si="3"/>
        <v>KLH</v>
      </c>
      <c r="Y22" s="690">
        <f t="shared" si="4"/>
        <v>91</v>
      </c>
      <c r="Z22" s="103"/>
      <c r="AA22" s="103"/>
      <c r="AB22" s="103"/>
      <c r="AC22" s="103"/>
      <c r="AD22" s="103"/>
      <c r="AE22" s="103"/>
      <c r="AF22" s="103"/>
      <c r="AG22" s="103"/>
      <c r="AH22" s="103"/>
      <c r="AI22" s="21"/>
      <c r="AJ22" s="21"/>
      <c r="AK22" s="21"/>
      <c r="AL22" s="21"/>
      <c r="AM22" s="21"/>
      <c r="AN22" s="21"/>
      <c r="AO22" s="21"/>
      <c r="AP22" s="21"/>
      <c r="AQ22" s="21"/>
      <c r="AR22" s="225"/>
      <c r="AS22" s="21"/>
      <c r="AT22" s="21"/>
      <c r="AU22" s="21"/>
    </row>
    <row r="23" spans="1:47" ht="15.75" customHeight="1">
      <c r="A23" s="10" t="s">
        <v>98</v>
      </c>
      <c r="B23" s="220">
        <v>92</v>
      </c>
      <c r="C23" s="656" t="e">
        <f>SUMIF(#REF!,B23,#REF!)</f>
        <v>#REF!</v>
      </c>
      <c r="D23" s="234"/>
      <c r="E23" s="657"/>
      <c r="F23" s="655">
        <f ca="1">'SEN INIL'!BV22</f>
        <v>0</v>
      </c>
      <c r="G23" s="203"/>
      <c r="H23" s="203"/>
      <c r="I23" s="103"/>
      <c r="J23" s="513"/>
      <c r="K23" s="713" t="e">
        <f t="shared" si="0"/>
        <v>#REF!</v>
      </c>
      <c r="L23" s="872">
        <f>'INV. RATIO(FINAL EXAM)'!AM25</f>
        <v>22.5</v>
      </c>
      <c r="M23" s="873" t="e">
        <f t="shared" si="7"/>
        <v>#REF!</v>
      </c>
      <c r="N23" s="874">
        <v>4.0833333333333304</v>
      </c>
      <c r="O23" s="875">
        <v>20.3</v>
      </c>
      <c r="P23" s="874">
        <v>3.4642098273572399</v>
      </c>
      <c r="Q23" s="891">
        <v>13.1</v>
      </c>
      <c r="R23" s="892">
        <v>31.9</v>
      </c>
      <c r="S23" s="893">
        <v>11.1325256604408</v>
      </c>
      <c r="T23" s="676">
        <v>6.5</v>
      </c>
      <c r="U23" s="677">
        <v>13.1</v>
      </c>
      <c r="V23" s="678">
        <v>4.1908658008658</v>
      </c>
      <c r="W23" s="679" t="e">
        <f t="shared" si="2"/>
        <v>#REF!</v>
      </c>
      <c r="X23" s="245" t="str">
        <f t="shared" si="3"/>
        <v>CKS</v>
      </c>
      <c r="Y23" s="690">
        <f t="shared" si="4"/>
        <v>92</v>
      </c>
      <c r="Z23" s="103"/>
      <c r="AA23" s="103"/>
      <c r="AB23" s="103"/>
      <c r="AC23" s="103"/>
      <c r="AD23" s="103"/>
      <c r="AE23" s="103"/>
      <c r="AF23" s="103"/>
      <c r="AG23" s="103"/>
      <c r="AH23" s="103"/>
      <c r="AI23" s="21"/>
      <c r="AJ23" s="21"/>
      <c r="AK23" s="21"/>
      <c r="AL23" s="21"/>
      <c r="AM23" s="21"/>
      <c r="AN23" s="21"/>
      <c r="AO23" s="21"/>
      <c r="AP23" s="21"/>
      <c r="AQ23" s="21"/>
      <c r="AR23" s="225"/>
      <c r="AS23" s="21"/>
      <c r="AT23" s="21"/>
      <c r="AU23" s="21"/>
    </row>
    <row r="24" spans="1:47" ht="15.75" customHeight="1">
      <c r="A24" s="10" t="s">
        <v>99</v>
      </c>
      <c r="B24" s="220">
        <v>102</v>
      </c>
      <c r="C24" s="656" t="e">
        <f>SUMIF(#REF!,B24,#REF!)</f>
        <v>#REF!</v>
      </c>
      <c r="D24" s="234"/>
      <c r="E24" s="657"/>
      <c r="F24" s="655">
        <f ca="1">'SEN INIL'!BV23</f>
        <v>0</v>
      </c>
      <c r="G24" s="203"/>
      <c r="H24" s="203"/>
      <c r="I24" s="103"/>
      <c r="J24" s="513">
        <f>AI28</f>
        <v>2</v>
      </c>
      <c r="K24" s="713" t="e">
        <f t="shared" si="0"/>
        <v>#REF!</v>
      </c>
      <c r="L24" s="872">
        <f>'INV. RATIO(FINAL EXAM)'!AM26</f>
        <v>24</v>
      </c>
      <c r="M24" s="873" t="e">
        <f t="shared" si="7"/>
        <v>#REF!</v>
      </c>
      <c r="N24" s="874">
        <v>2.5833333333333299</v>
      </c>
      <c r="O24" s="875">
        <v>26.2</v>
      </c>
      <c r="P24" s="874">
        <v>4.4710491367861902</v>
      </c>
      <c r="Q24" s="891">
        <v>14.4</v>
      </c>
      <c r="R24" s="892">
        <v>47.8</v>
      </c>
      <c r="S24" s="893">
        <v>16.681339390880002</v>
      </c>
      <c r="T24" s="676">
        <v>6.7</v>
      </c>
      <c r="U24" s="677">
        <v>23</v>
      </c>
      <c r="V24" s="678">
        <v>7.3580086580086599</v>
      </c>
      <c r="W24" s="679" t="e">
        <f t="shared" si="2"/>
        <v>#REF!</v>
      </c>
      <c r="X24" s="245" t="str">
        <f t="shared" si="3"/>
        <v>CKM</v>
      </c>
      <c r="Y24" s="690">
        <f t="shared" si="4"/>
        <v>102</v>
      </c>
      <c r="Z24" s="103"/>
      <c r="AA24" s="593" t="s">
        <v>100</v>
      </c>
      <c r="AB24" s="593" t="s">
        <v>101</v>
      </c>
      <c r="AC24" s="228" t="s">
        <v>102</v>
      </c>
      <c r="AD24" s="228" t="s">
        <v>103</v>
      </c>
      <c r="AE24" s="228"/>
      <c r="AF24" s="228"/>
      <c r="AG24" s="229"/>
      <c r="AH24" s="229"/>
      <c r="AI24" s="229"/>
      <c r="AJ24" s="103"/>
      <c r="AK24" s="21"/>
      <c r="AL24" s="21"/>
      <c r="AM24" s="21"/>
      <c r="AN24" s="21"/>
      <c r="AO24" s="21"/>
      <c r="AP24" s="21"/>
      <c r="AQ24" s="21"/>
      <c r="AR24" s="225"/>
      <c r="AS24" s="21"/>
      <c r="AT24" s="21"/>
      <c r="AU24" s="21"/>
    </row>
    <row r="25" spans="1:47" ht="15.75" customHeight="1">
      <c r="A25" s="10" t="s">
        <v>104</v>
      </c>
      <c r="B25" s="220">
        <v>103</v>
      </c>
      <c r="C25" s="656" t="e">
        <f>SUMIF(#REF!,B25,#REF!)</f>
        <v>#REF!</v>
      </c>
      <c r="D25" s="234"/>
      <c r="E25" s="657"/>
      <c r="F25" s="655">
        <f ca="1">'SEN INIL'!BV24</f>
        <v>5.9333333333333282</v>
      </c>
      <c r="G25" s="203"/>
      <c r="H25" s="203"/>
      <c r="I25" s="103"/>
      <c r="J25" s="513"/>
      <c r="K25" s="713" t="e">
        <f t="shared" si="0"/>
        <v>#REF!</v>
      </c>
      <c r="L25" s="872">
        <f>'INV. RATIO(FINAL EXAM)'!AM27</f>
        <v>22</v>
      </c>
      <c r="M25" s="873" t="e">
        <f t="shared" si="7"/>
        <v>#REF!</v>
      </c>
      <c r="N25" s="874">
        <v>4.75</v>
      </c>
      <c r="O25" s="875">
        <v>28.2</v>
      </c>
      <c r="P25" s="874">
        <v>4.8123505976095604</v>
      </c>
      <c r="Q25" s="891">
        <v>14.5</v>
      </c>
      <c r="R25" s="892">
        <v>44.8</v>
      </c>
      <c r="S25" s="893">
        <v>15.634393404004699</v>
      </c>
      <c r="T25" s="676">
        <v>6.3</v>
      </c>
      <c r="U25" s="677">
        <v>25</v>
      </c>
      <c r="V25" s="678">
        <v>7.9978354978355002</v>
      </c>
      <c r="W25" s="679" t="e">
        <f t="shared" si="2"/>
        <v>#REF!</v>
      </c>
      <c r="X25" s="245" t="str">
        <f t="shared" si="3"/>
        <v>LKF</v>
      </c>
      <c r="Y25" s="690">
        <f t="shared" si="4"/>
        <v>103</v>
      </c>
      <c r="Z25" s="103"/>
      <c r="AA25" s="595">
        <v>72</v>
      </c>
      <c r="AB25" s="595">
        <v>1</v>
      </c>
      <c r="AC25" s="103">
        <v>1</v>
      </c>
      <c r="AD25" s="103"/>
      <c r="AE25" s="103"/>
      <c r="AF25" s="103"/>
      <c r="AG25" s="513"/>
      <c r="AH25" s="526"/>
      <c r="AI25" s="526">
        <f t="shared" ref="AI25:AI38" si="8">SUM(AB25:AH25)</f>
        <v>2</v>
      </c>
      <c r="AJ25" s="103"/>
      <c r="AK25" s="21"/>
      <c r="AL25" s="21"/>
      <c r="AM25" s="21"/>
      <c r="AN25" s="21"/>
      <c r="AO25" s="21"/>
      <c r="AP25" s="21"/>
      <c r="AQ25" s="21"/>
      <c r="AR25" s="225"/>
      <c r="AS25" s="21"/>
      <c r="AT25" s="21"/>
      <c r="AU25" s="21"/>
    </row>
    <row r="26" spans="1:47" ht="15.75" customHeight="1">
      <c r="A26" s="8" t="s">
        <v>105</v>
      </c>
      <c r="B26" s="220">
        <v>112</v>
      </c>
      <c r="C26" s="656" t="e">
        <f>SUMIF(#REF!,B26,#REF!)</f>
        <v>#REF!</v>
      </c>
      <c r="D26" s="659"/>
      <c r="E26" s="660"/>
      <c r="F26" s="655">
        <f ca="1">'SEN INIL'!BV25</f>
        <v>3</v>
      </c>
      <c r="G26" s="201"/>
      <c r="H26" s="201">
        <f>AB43</f>
        <v>3</v>
      </c>
      <c r="I26" s="581"/>
      <c r="J26" s="514"/>
      <c r="K26" s="714" t="e">
        <f t="shared" si="0"/>
        <v>#REF!</v>
      </c>
      <c r="L26" s="876">
        <f>'INV. RATIO(FINAL EXAM)'!AM28</f>
        <v>24.5</v>
      </c>
      <c r="M26" s="877" t="e">
        <f t="shared" si="7"/>
        <v>#REF!</v>
      </c>
      <c r="N26" s="878">
        <v>3</v>
      </c>
      <c r="O26" s="879">
        <v>24.3</v>
      </c>
      <c r="P26" s="878">
        <v>4.1468127490039803</v>
      </c>
      <c r="Q26" s="894">
        <v>12.3</v>
      </c>
      <c r="R26" s="895">
        <v>40.9</v>
      </c>
      <c r="S26" s="896">
        <v>14.2733636210668</v>
      </c>
      <c r="T26" s="680">
        <v>7.3</v>
      </c>
      <c r="U26" s="681">
        <v>22.1</v>
      </c>
      <c r="V26" s="682">
        <v>7.0700865800865804</v>
      </c>
      <c r="W26" s="504" t="e">
        <f t="shared" si="2"/>
        <v>#REF!</v>
      </c>
      <c r="X26" s="266" t="str">
        <f t="shared" si="3"/>
        <v>CKW</v>
      </c>
      <c r="Y26" s="690">
        <f t="shared" si="4"/>
        <v>112</v>
      </c>
      <c r="Z26" s="103"/>
      <c r="AA26" s="595">
        <v>86</v>
      </c>
      <c r="AB26" s="595"/>
      <c r="AC26" s="103">
        <v>1</v>
      </c>
      <c r="AD26" s="103"/>
      <c r="AE26" s="103"/>
      <c r="AF26" s="103"/>
      <c r="AG26" s="513"/>
      <c r="AH26" s="526"/>
      <c r="AI26" s="526">
        <f t="shared" si="8"/>
        <v>1</v>
      </c>
      <c r="AJ26" s="103"/>
      <c r="AK26" s="591"/>
      <c r="AL26" s="21"/>
      <c r="AM26" s="21"/>
      <c r="AN26" s="21"/>
      <c r="AO26" s="21"/>
      <c r="AP26" s="21"/>
      <c r="AQ26" s="21"/>
      <c r="AR26" s="225"/>
      <c r="AS26" s="21"/>
      <c r="AT26" s="21"/>
      <c r="AU26" s="21"/>
    </row>
    <row r="27" spans="1:47" ht="15.75" customHeight="1">
      <c r="A27" s="1" t="s">
        <v>106</v>
      </c>
      <c r="B27" s="406">
        <v>113</v>
      </c>
      <c r="C27" s="652" t="e">
        <f>SUMIF(#REF!,B27,#REF!)</f>
        <v>#REF!</v>
      </c>
      <c r="D27" s="234"/>
      <c r="E27" s="657"/>
      <c r="F27" s="655">
        <f ca="1">'SEN INIL'!BV26</f>
        <v>7.8166666666666558</v>
      </c>
      <c r="G27" s="203"/>
      <c r="H27" s="203"/>
      <c r="I27" s="103"/>
      <c r="J27" s="103"/>
      <c r="K27" s="880" t="e">
        <f t="shared" si="0"/>
        <v>#REF!</v>
      </c>
      <c r="L27" s="868">
        <f>'INV. RATIO(FINAL EXAM)'!AM29</f>
        <v>22.5</v>
      </c>
      <c r="M27" s="869" t="e">
        <f t="shared" si="7"/>
        <v>#REF!</v>
      </c>
      <c r="N27" s="874">
        <v>2.5</v>
      </c>
      <c r="O27" s="875">
        <v>25.7</v>
      </c>
      <c r="P27" s="874">
        <v>4.3857237715803503</v>
      </c>
      <c r="Q27" s="891">
        <v>14.8</v>
      </c>
      <c r="R27" s="892">
        <v>48.1</v>
      </c>
      <c r="S27" s="893">
        <v>16.786033989567599</v>
      </c>
      <c r="T27" s="676">
        <v>7.2</v>
      </c>
      <c r="U27" s="677">
        <v>24.9</v>
      </c>
      <c r="V27" s="678">
        <v>7.9658441558441604</v>
      </c>
      <c r="W27" s="679" t="e">
        <f t="shared" si="2"/>
        <v>#REF!</v>
      </c>
      <c r="X27" s="683" t="str">
        <f t="shared" si="3"/>
        <v>LWK</v>
      </c>
      <c r="Y27" s="690">
        <f t="shared" si="4"/>
        <v>113</v>
      </c>
      <c r="Z27" s="103"/>
      <c r="AA27" s="595">
        <v>90</v>
      </c>
      <c r="AB27" s="595">
        <v>1</v>
      </c>
      <c r="AC27" s="103">
        <v>1</v>
      </c>
      <c r="AD27" s="103"/>
      <c r="AE27" s="103"/>
      <c r="AF27" s="103"/>
      <c r="AG27" s="513"/>
      <c r="AH27" s="526"/>
      <c r="AI27" s="526">
        <f t="shared" si="8"/>
        <v>2</v>
      </c>
      <c r="AJ27" s="103"/>
      <c r="AK27" s="591"/>
      <c r="AL27" s="21"/>
      <c r="AM27" s="21"/>
      <c r="AN27" s="21"/>
      <c r="AO27" s="21"/>
      <c r="AP27" s="21"/>
      <c r="AQ27" s="21"/>
      <c r="AR27" s="21"/>
      <c r="AS27" s="21"/>
      <c r="AT27" s="21"/>
      <c r="AU27" s="21"/>
    </row>
    <row r="28" spans="1:47" ht="15.75" customHeight="1">
      <c r="A28" s="1" t="s">
        <v>107</v>
      </c>
      <c r="B28" s="220">
        <v>114</v>
      </c>
      <c r="C28" s="656" t="e">
        <f>SUMIF(#REF!,B28,#REF!)</f>
        <v>#REF!</v>
      </c>
      <c r="D28" s="234"/>
      <c r="E28" s="657"/>
      <c r="F28" s="655">
        <f ca="1">'SEN INIL'!BV27</f>
        <v>11.749999999999968</v>
      </c>
      <c r="G28" s="201">
        <f>-1-27/60</f>
        <v>-1.45</v>
      </c>
      <c r="H28" s="203"/>
      <c r="I28" s="103"/>
      <c r="J28" s="103"/>
      <c r="K28" s="881" t="e">
        <f t="shared" si="0"/>
        <v>#REF!</v>
      </c>
      <c r="L28" s="872">
        <f>'INV. RATIO(FINAL EXAM)'!AM30</f>
        <v>23</v>
      </c>
      <c r="M28" s="873" t="e">
        <f t="shared" si="7"/>
        <v>#REF!</v>
      </c>
      <c r="N28" s="874">
        <v>3.75</v>
      </c>
      <c r="O28" s="875">
        <v>25</v>
      </c>
      <c r="P28" s="874">
        <v>4.2662682602921604</v>
      </c>
      <c r="Q28" s="891">
        <v>14.9</v>
      </c>
      <c r="R28" s="892">
        <v>44.4</v>
      </c>
      <c r="S28" s="893">
        <v>15.494800605754699</v>
      </c>
      <c r="T28" s="676">
        <v>7</v>
      </c>
      <c r="U28" s="677">
        <v>19.600000000000001</v>
      </c>
      <c r="V28" s="678">
        <v>6.2703030303030296</v>
      </c>
      <c r="W28" s="679" t="e">
        <f t="shared" si="2"/>
        <v>#REF!</v>
      </c>
      <c r="X28" s="245" t="str">
        <f t="shared" si="3"/>
        <v>CYP</v>
      </c>
      <c r="Y28" s="690">
        <f t="shared" si="4"/>
        <v>114</v>
      </c>
      <c r="Z28" s="103"/>
      <c r="AA28" s="595">
        <v>102</v>
      </c>
      <c r="AB28" s="595">
        <v>1</v>
      </c>
      <c r="AC28" s="103">
        <v>1</v>
      </c>
      <c r="AD28" s="103"/>
      <c r="AE28" s="103"/>
      <c r="AF28" s="103"/>
      <c r="AG28" s="513"/>
      <c r="AH28" s="526"/>
      <c r="AI28" s="526">
        <f t="shared" si="8"/>
        <v>2</v>
      </c>
      <c r="AJ28" s="103"/>
      <c r="AK28" s="591"/>
      <c r="AL28" s="21"/>
      <c r="AM28" s="21"/>
      <c r="AN28" s="21"/>
      <c r="AO28" s="21"/>
      <c r="AP28" s="21"/>
      <c r="AQ28" s="21"/>
      <c r="AR28" s="21"/>
      <c r="AS28" s="21"/>
      <c r="AT28" s="21"/>
      <c r="AU28" s="21"/>
    </row>
    <row r="29" spans="1:47" ht="15.75" customHeight="1">
      <c r="A29" s="1" t="s">
        <v>108</v>
      </c>
      <c r="B29" s="220">
        <v>117</v>
      </c>
      <c r="C29" s="656" t="e">
        <f>SUMIF(#REF!,B29,#REF!)</f>
        <v>#REF!</v>
      </c>
      <c r="D29" s="234"/>
      <c r="E29" s="657"/>
      <c r="F29" s="655">
        <f ca="1">'SEN INIL'!BV28</f>
        <v>0</v>
      </c>
      <c r="G29" s="203"/>
      <c r="H29" s="203"/>
      <c r="I29" s="103"/>
      <c r="J29" s="103"/>
      <c r="K29" s="881" t="e">
        <f t="shared" si="0"/>
        <v>#REF!</v>
      </c>
      <c r="L29" s="872">
        <f>'INV. RATIO(FINAL EXAM)'!AM31</f>
        <v>12</v>
      </c>
      <c r="M29" s="873" t="e">
        <f t="shared" si="7"/>
        <v>#REF!</v>
      </c>
      <c r="N29" s="874">
        <v>5.5</v>
      </c>
      <c r="O29" s="875">
        <v>13</v>
      </c>
      <c r="P29" s="874">
        <v>2.2184594953519299</v>
      </c>
      <c r="Q29" s="891">
        <v>2.8</v>
      </c>
      <c r="R29" s="892">
        <v>26</v>
      </c>
      <c r="S29" s="893">
        <v>9.0735318862527308</v>
      </c>
      <c r="T29" s="676">
        <v>0</v>
      </c>
      <c r="U29" s="677">
        <v>10</v>
      </c>
      <c r="V29" s="678">
        <v>3.1991341991342002</v>
      </c>
      <c r="W29" s="679" t="e">
        <f t="shared" si="2"/>
        <v>#REF!</v>
      </c>
      <c r="X29" s="245" t="str">
        <f t="shared" si="3"/>
        <v>LWC</v>
      </c>
      <c r="Y29" s="690">
        <f t="shared" si="4"/>
        <v>117</v>
      </c>
      <c r="Z29" s="103"/>
      <c r="AA29" s="595">
        <v>137</v>
      </c>
      <c r="AB29" s="595">
        <v>1</v>
      </c>
      <c r="AC29" s="103"/>
      <c r="AD29" s="103"/>
      <c r="AE29" s="103"/>
      <c r="AF29" s="103"/>
      <c r="AG29" s="513"/>
      <c r="AH29" s="526"/>
      <c r="AI29" s="526">
        <f t="shared" si="8"/>
        <v>1</v>
      </c>
      <c r="AJ29" s="103"/>
      <c r="AK29" s="591"/>
      <c r="AL29" s="21"/>
      <c r="AM29" s="21"/>
      <c r="AN29" s="21"/>
      <c r="AO29" s="21"/>
      <c r="AP29" s="21"/>
      <c r="AQ29" s="21"/>
      <c r="AR29" s="21"/>
      <c r="AS29" s="21"/>
      <c r="AT29" s="21"/>
      <c r="AU29" s="21"/>
    </row>
    <row r="30" spans="1:47" ht="15.75" customHeight="1">
      <c r="A30" s="1" t="s">
        <v>109</v>
      </c>
      <c r="B30" s="220">
        <v>120</v>
      </c>
      <c r="C30" s="656" t="e">
        <f>SUMIF(#REF!,B30,#REF!)</f>
        <v>#REF!</v>
      </c>
      <c r="D30" s="234"/>
      <c r="E30" s="657"/>
      <c r="F30" s="655">
        <f ca="1">'SEN INIL'!BV29</f>
        <v>2.7333333333333356</v>
      </c>
      <c r="G30" s="203"/>
      <c r="H30" s="203">
        <f>AB44</f>
        <v>3</v>
      </c>
      <c r="I30" s="103"/>
      <c r="J30" s="103"/>
      <c r="K30" s="881" t="e">
        <f t="shared" si="0"/>
        <v>#REF!</v>
      </c>
      <c r="L30" s="872">
        <f>'INV. RATIO(FINAL EXAM)'!AM32</f>
        <v>21.5</v>
      </c>
      <c r="M30" s="873" t="e">
        <f t="shared" si="7"/>
        <v>#REF!</v>
      </c>
      <c r="N30" s="874">
        <v>5.5</v>
      </c>
      <c r="O30" s="875">
        <v>25.7</v>
      </c>
      <c r="P30" s="874">
        <v>4.3857237715803503</v>
      </c>
      <c r="Q30" s="891">
        <v>13.6</v>
      </c>
      <c r="R30" s="892">
        <v>42.8</v>
      </c>
      <c r="S30" s="893">
        <v>14.936429412754499</v>
      </c>
      <c r="T30" s="676">
        <v>5.5</v>
      </c>
      <c r="U30" s="677">
        <v>22.5</v>
      </c>
      <c r="V30" s="678">
        <v>7.1980519480519503</v>
      </c>
      <c r="W30" s="679" t="e">
        <f t="shared" si="2"/>
        <v>#REF!</v>
      </c>
      <c r="X30" s="245" t="str">
        <f t="shared" si="3"/>
        <v>WYC</v>
      </c>
      <c r="Y30" s="690">
        <f t="shared" si="4"/>
        <v>120</v>
      </c>
      <c r="Z30" s="103"/>
      <c r="AA30" s="595">
        <v>138</v>
      </c>
      <c r="AB30" s="595">
        <v>1</v>
      </c>
      <c r="AC30" s="103">
        <v>1</v>
      </c>
      <c r="AD30" s="103"/>
      <c r="AE30" s="103"/>
      <c r="AF30" s="103"/>
      <c r="AG30" s="513"/>
      <c r="AH30" s="526"/>
      <c r="AI30" s="526">
        <f t="shared" si="8"/>
        <v>2</v>
      </c>
      <c r="AJ30" s="103"/>
      <c r="AK30" s="591"/>
      <c r="AL30" s="21"/>
      <c r="AM30" s="21"/>
      <c r="AN30" s="21"/>
      <c r="AO30" s="21"/>
      <c r="AP30" s="21"/>
      <c r="AQ30" s="21"/>
      <c r="AR30" s="21"/>
      <c r="AS30" s="21"/>
      <c r="AT30" s="21"/>
      <c r="AU30" s="21"/>
    </row>
    <row r="31" spans="1:47" ht="15.75" customHeight="1">
      <c r="A31" s="1" t="s">
        <v>110</v>
      </c>
      <c r="B31" s="220">
        <v>128</v>
      </c>
      <c r="C31" s="656" t="e">
        <f>SUMIF(#REF!,B31,#REF!)</f>
        <v>#REF!</v>
      </c>
      <c r="D31" s="234"/>
      <c r="E31" s="657"/>
      <c r="F31" s="655">
        <f ca="1">'SEN INIL'!BV30</f>
        <v>0</v>
      </c>
      <c r="G31" s="203"/>
      <c r="H31" s="203"/>
      <c r="I31" s="103"/>
      <c r="J31" s="203">
        <f>AI9</f>
        <v>4.9666666666666703</v>
      </c>
      <c r="K31" s="881" t="e">
        <f t="shared" si="0"/>
        <v>#REF!</v>
      </c>
      <c r="L31" s="872">
        <f>'INV. RATIO(FINAL EXAM)'!AM33</f>
        <v>24</v>
      </c>
      <c r="M31" s="873" t="e">
        <f t="shared" si="7"/>
        <v>#REF!</v>
      </c>
      <c r="N31" s="874">
        <v>2</v>
      </c>
      <c r="O31" s="875">
        <v>24</v>
      </c>
      <c r="P31" s="874">
        <v>4.0956175298804798</v>
      </c>
      <c r="Q31" s="891">
        <v>12.8</v>
      </c>
      <c r="R31" s="892">
        <v>38.4</v>
      </c>
      <c r="S31" s="893">
        <v>13.400908632004001</v>
      </c>
      <c r="T31" s="676">
        <v>6.8</v>
      </c>
      <c r="U31" s="677">
        <v>16.600000000000001</v>
      </c>
      <c r="V31" s="678">
        <v>5.31056277056277</v>
      </c>
      <c r="W31" s="679" t="e">
        <f t="shared" si="2"/>
        <v>#REF!</v>
      </c>
      <c r="X31" s="245" t="str">
        <f t="shared" si="3"/>
        <v>LHY</v>
      </c>
      <c r="Y31" s="690">
        <f t="shared" si="4"/>
        <v>128</v>
      </c>
      <c r="Z31" s="103"/>
      <c r="AA31" s="595">
        <v>141</v>
      </c>
      <c r="AB31" s="595">
        <v>1</v>
      </c>
      <c r="AC31" s="103"/>
      <c r="AD31" s="103"/>
      <c r="AE31" s="103"/>
      <c r="AF31" s="103"/>
      <c r="AG31" s="513"/>
      <c r="AH31" s="526"/>
      <c r="AI31" s="526">
        <f t="shared" si="8"/>
        <v>1</v>
      </c>
      <c r="AJ31" s="103"/>
      <c r="AK31" s="591"/>
      <c r="AL31" s="21"/>
      <c r="AM31" s="21"/>
      <c r="AN31" s="21"/>
      <c r="AO31" s="21"/>
      <c r="AP31" s="21"/>
      <c r="AQ31" s="21"/>
      <c r="AR31" s="21"/>
      <c r="AS31" s="21"/>
      <c r="AT31" s="21"/>
      <c r="AU31" s="21"/>
    </row>
    <row r="32" spans="1:47" ht="15.75" customHeight="1">
      <c r="A32" s="1" t="s">
        <v>111</v>
      </c>
      <c r="B32" s="220">
        <v>129</v>
      </c>
      <c r="C32" s="656" t="e">
        <f>SUMIF(#REF!,B32,#REF!)</f>
        <v>#REF!</v>
      </c>
      <c r="D32" s="234"/>
      <c r="E32" s="657"/>
      <c r="F32" s="655">
        <f ca="1">'SEN INIL'!BV31</f>
        <v>6.8833333333333204</v>
      </c>
      <c r="G32" s="203"/>
      <c r="H32" s="203"/>
      <c r="I32" s="103"/>
      <c r="J32" s="103"/>
      <c r="K32" s="881" t="e">
        <f t="shared" si="0"/>
        <v>#REF!</v>
      </c>
      <c r="L32" s="872">
        <f>'INV. RATIO(FINAL EXAM)'!AM34</f>
        <v>22</v>
      </c>
      <c r="M32" s="873" t="e">
        <f t="shared" si="7"/>
        <v>#REF!</v>
      </c>
      <c r="N32" s="874">
        <v>4.5</v>
      </c>
      <c r="O32" s="875">
        <v>25</v>
      </c>
      <c r="P32" s="874">
        <v>4.2662682602921604</v>
      </c>
      <c r="Q32" s="891">
        <v>14.7</v>
      </c>
      <c r="R32" s="892">
        <v>45.3</v>
      </c>
      <c r="S32" s="893">
        <v>15.8088844018173</v>
      </c>
      <c r="T32" s="676">
        <v>4.8</v>
      </c>
      <c r="U32" s="677">
        <v>21.8</v>
      </c>
      <c r="V32" s="678">
        <v>6.9741125541125504</v>
      </c>
      <c r="W32" s="679" t="e">
        <f t="shared" si="2"/>
        <v>#REF!</v>
      </c>
      <c r="X32" s="245" t="str">
        <f t="shared" si="3"/>
        <v>HNY</v>
      </c>
      <c r="Y32" s="690">
        <f t="shared" si="4"/>
        <v>129</v>
      </c>
      <c r="Z32" s="103"/>
      <c r="AA32" s="595">
        <v>152</v>
      </c>
      <c r="AB32" s="595">
        <v>1</v>
      </c>
      <c r="AC32" s="103">
        <v>1</v>
      </c>
      <c r="AD32" s="103"/>
      <c r="AE32" s="103"/>
      <c r="AF32" s="103"/>
      <c r="AG32" s="513"/>
      <c r="AH32" s="526"/>
      <c r="AI32" s="526">
        <f t="shared" si="8"/>
        <v>2</v>
      </c>
      <c r="AJ32" s="103"/>
      <c r="AK32" s="591"/>
      <c r="AL32" s="21"/>
      <c r="AM32" s="21"/>
      <c r="AN32" s="21"/>
      <c r="AO32" s="21"/>
      <c r="AP32" s="21"/>
      <c r="AQ32" s="21"/>
      <c r="AR32" s="21"/>
      <c r="AS32" s="21"/>
      <c r="AT32" s="21"/>
      <c r="AU32" s="21"/>
    </row>
    <row r="33" spans="1:47" ht="15.75" customHeight="1">
      <c r="A33" s="1" t="s">
        <v>112</v>
      </c>
      <c r="B33" s="222">
        <v>134</v>
      </c>
      <c r="C33" s="658" t="e">
        <f>SUMIF(#REF!,B33,#REF!)</f>
        <v>#REF!</v>
      </c>
      <c r="D33" s="234"/>
      <c r="E33" s="657"/>
      <c r="F33" s="655">
        <f ca="1">'SEN INIL'!BV32</f>
        <v>4.2166666666666544</v>
      </c>
      <c r="G33" s="203"/>
      <c r="H33" s="203"/>
      <c r="I33" s="103"/>
      <c r="J33" s="103"/>
      <c r="K33" s="882" t="e">
        <f t="shared" si="0"/>
        <v>#REF!</v>
      </c>
      <c r="L33" s="876">
        <f>'INV. RATIO(FINAL EXAM)'!AM35</f>
        <v>22</v>
      </c>
      <c r="M33" s="877" t="e">
        <f t="shared" si="7"/>
        <v>#REF!</v>
      </c>
      <c r="N33" s="878">
        <v>2.0833333333333299</v>
      </c>
      <c r="O33" s="879">
        <v>21</v>
      </c>
      <c r="P33" s="878">
        <v>3.58366533864542</v>
      </c>
      <c r="Q33" s="894">
        <v>13.8</v>
      </c>
      <c r="R33" s="895">
        <v>42</v>
      </c>
      <c r="S33" s="896">
        <v>14.6572438162544</v>
      </c>
      <c r="T33" s="680">
        <v>5.8</v>
      </c>
      <c r="U33" s="681">
        <v>18</v>
      </c>
      <c r="V33" s="682">
        <v>5.75844155844156</v>
      </c>
      <c r="W33" s="679" t="e">
        <f t="shared" si="2"/>
        <v>#REF!</v>
      </c>
      <c r="X33" s="266" t="str">
        <f t="shared" si="3"/>
        <v>HBL</v>
      </c>
      <c r="Y33" s="690">
        <f t="shared" si="4"/>
        <v>134</v>
      </c>
      <c r="Z33" s="103"/>
      <c r="AA33" s="595">
        <v>181</v>
      </c>
      <c r="AB33" s="595"/>
      <c r="AC33" s="103">
        <v>1</v>
      </c>
      <c r="AD33" s="103"/>
      <c r="AE33" s="103"/>
      <c r="AF33" s="103"/>
      <c r="AG33" s="513"/>
      <c r="AH33" s="526"/>
      <c r="AI33" s="526">
        <f t="shared" si="8"/>
        <v>1</v>
      </c>
      <c r="AJ33" s="103"/>
      <c r="AK33" s="591"/>
      <c r="AL33" s="21"/>
      <c r="AM33" s="21"/>
      <c r="AN33" s="21"/>
      <c r="AO33" s="21"/>
      <c r="AP33" s="21"/>
      <c r="AQ33" s="21"/>
      <c r="AR33" s="21"/>
      <c r="AS33" s="21"/>
      <c r="AT33" s="21"/>
      <c r="AU33" s="21"/>
    </row>
    <row r="34" spans="1:47" ht="15.75" customHeight="1">
      <c r="A34" s="5" t="s">
        <v>113</v>
      </c>
      <c r="B34" s="220">
        <v>135</v>
      </c>
      <c r="C34" s="656" t="e">
        <f>SUMIF(#REF!,B34,#REF!)</f>
        <v>#REF!</v>
      </c>
      <c r="D34" s="653"/>
      <c r="E34" s="654"/>
      <c r="F34" s="655">
        <f ca="1">'SEN INIL'!BV33</f>
        <v>0</v>
      </c>
      <c r="G34" s="205"/>
      <c r="H34" s="205"/>
      <c r="I34" s="574"/>
      <c r="J34" s="181">
        <f>AI10</f>
        <v>5.7166666666666703</v>
      </c>
      <c r="K34" s="712" t="e">
        <f t="shared" si="0"/>
        <v>#REF!</v>
      </c>
      <c r="L34" s="868">
        <f>'INV. RATIO(FINAL EXAM)'!AM36</f>
        <v>25.5</v>
      </c>
      <c r="M34" s="869" t="e">
        <f t="shared" si="7"/>
        <v>#REF!</v>
      </c>
      <c r="N34" s="870">
        <v>4.5</v>
      </c>
      <c r="O34" s="871">
        <v>24.3</v>
      </c>
      <c r="P34" s="870">
        <v>4.1468127490039803</v>
      </c>
      <c r="Q34" s="888">
        <v>12.1</v>
      </c>
      <c r="R34" s="889">
        <v>37.9</v>
      </c>
      <c r="S34" s="890">
        <v>13.226417634191501</v>
      </c>
      <c r="T34" s="672">
        <v>5.7</v>
      </c>
      <c r="U34" s="673">
        <v>18.100000000000001</v>
      </c>
      <c r="V34" s="674">
        <v>5.7904329004328998</v>
      </c>
      <c r="W34" s="675" t="e">
        <f t="shared" si="2"/>
        <v>#REF!</v>
      </c>
      <c r="X34" s="241" t="str">
        <f t="shared" si="3"/>
        <v>WWS</v>
      </c>
      <c r="Y34" s="690">
        <f t="shared" si="4"/>
        <v>135</v>
      </c>
      <c r="Z34" s="103"/>
      <c r="AA34" s="595">
        <v>201</v>
      </c>
      <c r="AB34" s="595"/>
      <c r="AC34" s="103">
        <v>1</v>
      </c>
      <c r="AD34" s="103"/>
      <c r="AE34" s="103"/>
      <c r="AF34" s="103"/>
      <c r="AG34" s="513"/>
      <c r="AH34" s="526"/>
      <c r="AI34" s="526">
        <f t="shared" si="8"/>
        <v>1</v>
      </c>
      <c r="AJ34" s="103"/>
      <c r="AK34" s="591"/>
      <c r="AL34" s="21"/>
      <c r="AM34" s="21"/>
      <c r="AN34" s="21"/>
      <c r="AO34" s="21"/>
      <c r="AP34" s="21"/>
      <c r="AQ34" s="21"/>
      <c r="AR34" s="21"/>
      <c r="AS34" s="21"/>
      <c r="AT34" s="21"/>
      <c r="AU34" s="21"/>
    </row>
    <row r="35" spans="1:47" ht="15.75" customHeight="1">
      <c r="A35" s="10" t="s">
        <v>114</v>
      </c>
      <c r="B35" s="220">
        <v>137</v>
      </c>
      <c r="C35" s="656" t="e">
        <f>SUMIF(#REF!,B35,#REF!)</f>
        <v>#REF!</v>
      </c>
      <c r="D35" s="234"/>
      <c r="E35" s="657"/>
      <c r="F35" s="655">
        <f ca="1">'SEN INIL'!BV34</f>
        <v>0</v>
      </c>
      <c r="G35" s="203"/>
      <c r="H35" s="203"/>
      <c r="I35" s="103"/>
      <c r="J35" s="513">
        <f>AI29</f>
        <v>1</v>
      </c>
      <c r="K35" s="713" t="e">
        <f t="shared" si="0"/>
        <v>#REF!</v>
      </c>
      <c r="L35" s="872">
        <f>'INV. RATIO(FINAL EXAM)'!AM37</f>
        <v>24</v>
      </c>
      <c r="M35" s="873" t="e">
        <f t="shared" si="7"/>
        <v>#REF!</v>
      </c>
      <c r="N35" s="874">
        <v>5</v>
      </c>
      <c r="O35" s="875">
        <v>21</v>
      </c>
      <c r="P35" s="874">
        <v>3.58366533864542</v>
      </c>
      <c r="Q35" s="891">
        <v>14</v>
      </c>
      <c r="R35" s="892">
        <v>35.4</v>
      </c>
      <c r="S35" s="893">
        <v>12.3539626451287</v>
      </c>
      <c r="T35" s="676">
        <v>3</v>
      </c>
      <c r="U35" s="677">
        <v>13.6</v>
      </c>
      <c r="V35" s="678">
        <v>4.3508225108225096</v>
      </c>
      <c r="W35" s="679" t="e">
        <f t="shared" si="2"/>
        <v>#REF!</v>
      </c>
      <c r="X35" s="245" t="str">
        <f t="shared" ref="X35:X65" si="9">A35</f>
        <v>CHB</v>
      </c>
      <c r="Y35" s="690">
        <f t="shared" ref="Y35:Y65" si="10">B35</f>
        <v>137</v>
      </c>
      <c r="Z35" s="103"/>
      <c r="AA35" s="595">
        <v>204</v>
      </c>
      <c r="AB35" s="595">
        <v>1</v>
      </c>
      <c r="AC35" s="103"/>
      <c r="AD35" s="103"/>
      <c r="AE35" s="103"/>
      <c r="AF35" s="103"/>
      <c r="AG35" s="513"/>
      <c r="AH35" s="526"/>
      <c r="AI35" s="526">
        <f t="shared" si="8"/>
        <v>1</v>
      </c>
      <c r="AJ35" s="103"/>
      <c r="AK35" s="591"/>
      <c r="AL35" s="21"/>
      <c r="AM35" s="21"/>
      <c r="AN35" s="21"/>
      <c r="AO35" s="21"/>
      <c r="AP35" s="21"/>
      <c r="AQ35" s="21"/>
      <c r="AR35" s="21"/>
      <c r="AS35" s="21"/>
      <c r="AT35" s="21"/>
      <c r="AU35" s="21"/>
    </row>
    <row r="36" spans="1:47" ht="15.75" customHeight="1">
      <c r="A36" s="10" t="s">
        <v>115</v>
      </c>
      <c r="B36" s="220">
        <v>138</v>
      </c>
      <c r="C36" s="656" t="e">
        <f>SUMIF(#REF!,B36,#REF!)</f>
        <v>#REF!</v>
      </c>
      <c r="D36" s="234"/>
      <c r="E36" s="657"/>
      <c r="F36" s="655">
        <f ca="1">'SEN INIL'!BV35</f>
        <v>4.8166666666666806</v>
      </c>
      <c r="G36" s="662"/>
      <c r="H36" s="203"/>
      <c r="I36" s="103"/>
      <c r="J36" s="513">
        <f>AI30</f>
        <v>2</v>
      </c>
      <c r="K36" s="713" t="e">
        <f t="shared" si="0"/>
        <v>#REF!</v>
      </c>
      <c r="L36" s="872">
        <f>'INV. RATIO(FINAL EXAM)'!AM38</f>
        <v>22.5</v>
      </c>
      <c r="M36" s="873" t="e">
        <f t="shared" si="7"/>
        <v>#REF!</v>
      </c>
      <c r="N36" s="874">
        <v>3.25</v>
      </c>
      <c r="O36" s="875">
        <v>23.5</v>
      </c>
      <c r="P36" s="874">
        <v>4.0102921646746399</v>
      </c>
      <c r="Q36" s="891">
        <v>14.4</v>
      </c>
      <c r="R36" s="892">
        <v>43.8</v>
      </c>
      <c r="S36" s="893">
        <v>15.2854114083796</v>
      </c>
      <c r="T36" s="676">
        <v>5.5</v>
      </c>
      <c r="U36" s="677">
        <v>22.3</v>
      </c>
      <c r="V36" s="678">
        <v>7.1340692640692698</v>
      </c>
      <c r="W36" s="679" t="e">
        <f t="shared" si="2"/>
        <v>#REF!</v>
      </c>
      <c r="X36" s="245" t="str">
        <f t="shared" si="9"/>
        <v>LWY</v>
      </c>
      <c r="Y36" s="690">
        <f t="shared" si="10"/>
        <v>138</v>
      </c>
      <c r="Z36" s="103"/>
      <c r="AA36" s="595">
        <v>209</v>
      </c>
      <c r="AB36" s="595">
        <v>1</v>
      </c>
      <c r="AC36" s="103">
        <v>1</v>
      </c>
      <c r="AD36" s="103"/>
      <c r="AE36" s="103"/>
      <c r="AF36" s="103"/>
      <c r="AG36" s="513"/>
      <c r="AH36" s="526"/>
      <c r="AI36" s="526">
        <f t="shared" si="8"/>
        <v>2</v>
      </c>
      <c r="AJ36" s="10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</row>
    <row r="37" spans="1:47" ht="15.75" customHeight="1">
      <c r="A37" s="10" t="s">
        <v>116</v>
      </c>
      <c r="B37" s="220">
        <v>140</v>
      </c>
      <c r="C37" s="656" t="e">
        <f>SUMIF(#REF!,B37,#REF!)</f>
        <v>#REF!</v>
      </c>
      <c r="D37" s="234"/>
      <c r="E37" s="657"/>
      <c r="F37" s="655">
        <f ca="1">'SEN INIL'!BV36</f>
        <v>0</v>
      </c>
      <c r="G37" s="203"/>
      <c r="H37" s="203"/>
      <c r="I37" s="103"/>
      <c r="J37" s="513"/>
      <c r="K37" s="713" t="e">
        <f t="shared" si="0"/>
        <v>#REF!</v>
      </c>
      <c r="L37" s="872">
        <f>'INV. RATIO(FINAL EXAM)'!AM39</f>
        <v>12</v>
      </c>
      <c r="M37" s="873" t="e">
        <f t="shared" si="7"/>
        <v>#REF!</v>
      </c>
      <c r="N37" s="874">
        <v>0</v>
      </c>
      <c r="O37" s="875">
        <v>10</v>
      </c>
      <c r="P37" s="874">
        <v>1.7065073041168699</v>
      </c>
      <c r="Q37" s="891">
        <v>15.2</v>
      </c>
      <c r="R37" s="892">
        <v>16</v>
      </c>
      <c r="S37" s="893">
        <v>5.5837119300016802</v>
      </c>
      <c r="T37" s="676">
        <v>9.5</v>
      </c>
      <c r="U37" s="677">
        <v>5</v>
      </c>
      <c r="V37" s="678">
        <v>1.5995670995671001</v>
      </c>
      <c r="W37" s="679" t="e">
        <f t="shared" si="2"/>
        <v>#REF!</v>
      </c>
      <c r="X37" s="245" t="str">
        <f t="shared" si="9"/>
        <v>LCM</v>
      </c>
      <c r="Y37" s="690">
        <f t="shared" si="10"/>
        <v>140</v>
      </c>
      <c r="Z37" s="103"/>
      <c r="AA37" s="595">
        <v>213</v>
      </c>
      <c r="AB37" s="595"/>
      <c r="AC37" s="103">
        <v>1</v>
      </c>
      <c r="AD37" s="103"/>
      <c r="AE37" s="103"/>
      <c r="AF37" s="103"/>
      <c r="AG37" s="513"/>
      <c r="AH37" s="526"/>
      <c r="AI37" s="526">
        <f t="shared" si="8"/>
        <v>1</v>
      </c>
      <c r="AJ37" s="103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</row>
    <row r="38" spans="1:47" ht="15.75" customHeight="1">
      <c r="A38" s="10" t="s">
        <v>117</v>
      </c>
      <c r="B38" s="220">
        <v>141</v>
      </c>
      <c r="C38" s="656" t="e">
        <f>SUMIF(#REF!,B38,#REF!)</f>
        <v>#REF!</v>
      </c>
      <c r="D38" s="234"/>
      <c r="E38" s="657"/>
      <c r="F38" s="655">
        <f ca="1">'SEN INIL'!BV37</f>
        <v>0</v>
      </c>
      <c r="G38" s="203"/>
      <c r="H38" s="203"/>
      <c r="I38" s="103"/>
      <c r="J38" s="513">
        <f>AI31</f>
        <v>1</v>
      </c>
      <c r="K38" s="713" t="e">
        <f t="shared" si="0"/>
        <v>#REF!</v>
      </c>
      <c r="L38" s="872">
        <f>'INV. RATIO(FINAL EXAM)'!AM40</f>
        <v>14</v>
      </c>
      <c r="M38" s="873" t="e">
        <f t="shared" si="7"/>
        <v>#REF!</v>
      </c>
      <c r="N38" s="874">
        <v>2.5</v>
      </c>
      <c r="O38" s="875">
        <v>12</v>
      </c>
      <c r="P38" s="874">
        <v>2.0478087649402399</v>
      </c>
      <c r="Q38" s="891">
        <v>13</v>
      </c>
      <c r="R38" s="892">
        <v>22</v>
      </c>
      <c r="S38" s="893">
        <v>7.6776039037523098</v>
      </c>
      <c r="T38" s="676">
        <v>6.8</v>
      </c>
      <c r="U38" s="677">
        <v>9</v>
      </c>
      <c r="V38" s="678">
        <v>2.87922077922078</v>
      </c>
      <c r="W38" s="679" t="e">
        <f t="shared" si="2"/>
        <v>#REF!</v>
      </c>
      <c r="X38" s="245" t="str">
        <f t="shared" si="9"/>
        <v>LSY</v>
      </c>
      <c r="Y38" s="690">
        <f t="shared" si="10"/>
        <v>141</v>
      </c>
      <c r="Z38" s="103"/>
      <c r="AA38" s="597">
        <v>217</v>
      </c>
      <c r="AB38" s="597">
        <v>1</v>
      </c>
      <c r="AC38" s="581"/>
      <c r="AD38" s="581"/>
      <c r="AE38" s="581"/>
      <c r="AF38" s="581"/>
      <c r="AG38" s="514"/>
      <c r="AH38" s="526"/>
      <c r="AI38" s="526">
        <f t="shared" si="8"/>
        <v>1</v>
      </c>
      <c r="AJ38" s="10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</row>
    <row r="39" spans="1:47" ht="15.75" customHeight="1">
      <c r="A39" s="10" t="s">
        <v>118</v>
      </c>
      <c r="B39" s="220">
        <v>147</v>
      </c>
      <c r="C39" s="656" t="e">
        <f>SUMIF(#REF!,B39,#REF!)</f>
        <v>#REF!</v>
      </c>
      <c r="D39" s="234"/>
      <c r="E39" s="657"/>
      <c r="F39" s="655">
        <f ca="1">'SEN INIL'!BV38</f>
        <v>3.6500000000000163</v>
      </c>
      <c r="G39" s="203"/>
      <c r="H39" s="203"/>
      <c r="I39" s="103"/>
      <c r="J39" s="188">
        <f>AI11</f>
        <v>6.1166666666666707</v>
      </c>
      <c r="K39" s="713" t="e">
        <f t="shared" si="0"/>
        <v>#REF!</v>
      </c>
      <c r="L39" s="872">
        <f>'INV. RATIO(FINAL EXAM)'!AM41</f>
        <v>23.5</v>
      </c>
      <c r="M39" s="873" t="e">
        <f t="shared" si="7"/>
        <v>#REF!</v>
      </c>
      <c r="N39" s="874">
        <v>5.5833333333333304</v>
      </c>
      <c r="O39" s="875">
        <v>24.5</v>
      </c>
      <c r="P39" s="874">
        <v>4.1809428950863197</v>
      </c>
      <c r="Q39" s="891">
        <v>13.3</v>
      </c>
      <c r="R39" s="892">
        <v>51.8</v>
      </c>
      <c r="S39" s="893">
        <v>18.077267373380401</v>
      </c>
      <c r="T39" s="676">
        <v>7.3</v>
      </c>
      <c r="U39" s="677">
        <v>25.3</v>
      </c>
      <c r="V39" s="678">
        <v>8.0938095238095293</v>
      </c>
      <c r="W39" s="679" t="e">
        <f t="shared" si="2"/>
        <v>#REF!</v>
      </c>
      <c r="X39" s="245" t="str">
        <f t="shared" si="9"/>
        <v>WKW</v>
      </c>
      <c r="Y39" s="690">
        <f t="shared" si="10"/>
        <v>147</v>
      </c>
      <c r="Z39" s="103"/>
      <c r="AA39" s="21"/>
      <c r="AB39" s="593"/>
      <c r="AC39" s="228"/>
      <c r="AD39" s="228"/>
      <c r="AE39" s="228"/>
      <c r="AF39" s="228"/>
      <c r="AG39" s="229"/>
      <c r="AH39" s="615"/>
      <c r="AI39" s="615">
        <f>SUM(AI25:AI38)</f>
        <v>20</v>
      </c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</row>
    <row r="40" spans="1:47" ht="15.75" customHeight="1">
      <c r="A40" s="10" t="s">
        <v>119</v>
      </c>
      <c r="B40" s="220">
        <v>152</v>
      </c>
      <c r="C40" s="656" t="e">
        <f>SUMIF(#REF!,B40,#REF!)</f>
        <v>#REF!</v>
      </c>
      <c r="D40" s="234"/>
      <c r="E40" s="657"/>
      <c r="F40" s="655">
        <f ca="1">'SEN INIL'!BV39</f>
        <v>0</v>
      </c>
      <c r="G40" s="201">
        <f>1+27/60</f>
        <v>1.45</v>
      </c>
      <c r="H40" s="203">
        <f>AB45</f>
        <v>3</v>
      </c>
      <c r="I40" s="103"/>
      <c r="J40" s="513">
        <f>AI32</f>
        <v>2</v>
      </c>
      <c r="K40" s="713" t="e">
        <f t="shared" si="0"/>
        <v>#REF!</v>
      </c>
      <c r="L40" s="872">
        <f>'INV. RATIO(FINAL EXAM)'!AM42</f>
        <v>21.5</v>
      </c>
      <c r="M40" s="873" t="e">
        <f t="shared" si="7"/>
        <v>#REF!</v>
      </c>
      <c r="N40" s="874">
        <v>3.3333333333333299</v>
      </c>
      <c r="O40" s="875">
        <v>22.7</v>
      </c>
      <c r="P40" s="874">
        <v>3.8737715803452901</v>
      </c>
      <c r="Q40" s="891">
        <v>12.2</v>
      </c>
      <c r="R40" s="892">
        <v>31.8</v>
      </c>
      <c r="S40" s="893">
        <v>11.0976274608783</v>
      </c>
      <c r="T40" s="676">
        <v>6.3</v>
      </c>
      <c r="U40" s="677">
        <v>17.5</v>
      </c>
      <c r="V40" s="678">
        <v>5.5984848484848504</v>
      </c>
      <c r="W40" s="679" t="e">
        <f t="shared" si="2"/>
        <v>#REF!</v>
      </c>
      <c r="X40" s="245" t="str">
        <f t="shared" si="9"/>
        <v>CTY</v>
      </c>
      <c r="Y40" s="690">
        <f t="shared" si="10"/>
        <v>152</v>
      </c>
      <c r="Z40" s="103"/>
      <c r="AA40" s="103"/>
      <c r="AB40" s="103"/>
      <c r="AC40" s="103"/>
      <c r="AD40" s="103"/>
      <c r="AE40" s="103"/>
      <c r="AF40" s="103"/>
      <c r="AG40" s="103"/>
      <c r="AH40" s="103"/>
      <c r="AI40" s="21"/>
      <c r="AJ40" s="21"/>
      <c r="AK40" s="591"/>
      <c r="AL40" s="21"/>
      <c r="AM40" s="21"/>
      <c r="AN40" s="21"/>
      <c r="AO40" s="21"/>
      <c r="AP40" s="21"/>
      <c r="AQ40" s="21"/>
      <c r="AR40" s="21"/>
      <c r="AS40" s="21"/>
      <c r="AT40" s="21"/>
      <c r="AU40" s="21"/>
    </row>
    <row r="41" spans="1:47" ht="15.75" customHeight="1">
      <c r="A41" s="8" t="s">
        <v>120</v>
      </c>
      <c r="B41" s="220">
        <v>153</v>
      </c>
      <c r="C41" s="656" t="e">
        <f>SUMIF(#REF!,B41,#REF!)</f>
        <v>#REF!</v>
      </c>
      <c r="D41" s="659"/>
      <c r="E41" s="660"/>
      <c r="F41" s="655">
        <f ca="1">'SEN INIL'!BV40</f>
        <v>2.0833333333333206</v>
      </c>
      <c r="G41" s="201">
        <f>-1.25-2-5/60</f>
        <v>-3.3333333333333335</v>
      </c>
      <c r="H41" s="201"/>
      <c r="I41" s="581"/>
      <c r="J41" s="514"/>
      <c r="K41" s="714" t="e">
        <f t="shared" si="0"/>
        <v>#REF!</v>
      </c>
      <c r="L41" s="876">
        <f>'INV. RATIO(FINAL EXAM)'!AM43</f>
        <v>23.5</v>
      </c>
      <c r="M41" s="877" t="e">
        <f t="shared" si="7"/>
        <v>#REF!</v>
      </c>
      <c r="N41" s="878">
        <v>6.5833333333333304</v>
      </c>
      <c r="O41" s="879">
        <v>25.3</v>
      </c>
      <c r="P41" s="878">
        <v>4.3174634794156699</v>
      </c>
      <c r="Q41" s="894">
        <v>13.5</v>
      </c>
      <c r="R41" s="895">
        <v>45.9</v>
      </c>
      <c r="S41" s="896">
        <v>16.018273599192302</v>
      </c>
      <c r="T41" s="680">
        <v>4.3</v>
      </c>
      <c r="U41" s="681">
        <v>25.1</v>
      </c>
      <c r="V41" s="682">
        <v>8.0298268398268409</v>
      </c>
      <c r="W41" s="504" t="e">
        <f t="shared" si="2"/>
        <v>#REF!</v>
      </c>
      <c r="X41" s="266" t="str">
        <f t="shared" si="9"/>
        <v>CKY</v>
      </c>
      <c r="Y41" s="690">
        <f t="shared" si="10"/>
        <v>153</v>
      </c>
      <c r="Z41" s="103"/>
      <c r="AA41" s="487" t="s">
        <v>48</v>
      </c>
      <c r="AB41" s="487"/>
      <c r="AC41" s="103"/>
      <c r="AD41" s="103"/>
      <c r="AE41" s="103" t="s">
        <v>121</v>
      </c>
      <c r="AF41" s="103"/>
      <c r="AG41" s="103"/>
      <c r="AH41" s="103"/>
      <c r="AI41" s="21"/>
      <c r="AJ41" s="21"/>
      <c r="AK41" s="591"/>
      <c r="AL41" s="21"/>
      <c r="AM41" s="21"/>
      <c r="AN41" s="21"/>
      <c r="AO41" s="21"/>
      <c r="AP41" s="21"/>
      <c r="AQ41" s="21"/>
      <c r="AR41" s="21"/>
      <c r="AS41" s="21"/>
      <c r="AT41" s="21"/>
      <c r="AU41" s="21"/>
    </row>
    <row r="42" spans="1:47" ht="15.75" customHeight="1">
      <c r="A42" s="1" t="s">
        <v>122</v>
      </c>
      <c r="B42" s="406">
        <v>161</v>
      </c>
      <c r="C42" s="652" t="e">
        <f>SUMIF(#REF!,B42,#REF!)</f>
        <v>#REF!</v>
      </c>
      <c r="D42" s="234"/>
      <c r="E42" s="657"/>
      <c r="F42" s="655">
        <f ca="1">'SEN INIL'!BV41</f>
        <v>1.4499999999999829</v>
      </c>
      <c r="G42" s="203"/>
      <c r="H42" s="203">
        <f>AB46</f>
        <v>3</v>
      </c>
      <c r="I42" s="103"/>
      <c r="J42" s="103"/>
      <c r="K42" s="883" t="e">
        <f t="shared" si="0"/>
        <v>#REF!</v>
      </c>
      <c r="L42" s="872">
        <f>'INV. RATIO(FINAL EXAM)'!AM44</f>
        <v>21</v>
      </c>
      <c r="M42" s="873" t="e">
        <f t="shared" si="7"/>
        <v>#REF!</v>
      </c>
      <c r="N42" s="874">
        <v>5.5</v>
      </c>
      <c r="O42" s="875">
        <v>23.2</v>
      </c>
      <c r="P42" s="874">
        <v>3.95909694555113</v>
      </c>
      <c r="Q42" s="891">
        <v>13.3</v>
      </c>
      <c r="R42" s="892">
        <v>44.1</v>
      </c>
      <c r="S42" s="893">
        <v>15.3901060070671</v>
      </c>
      <c r="T42" s="676">
        <v>3</v>
      </c>
      <c r="U42" s="677">
        <v>19.399999999999999</v>
      </c>
      <c r="V42" s="678">
        <v>6.20632034632035</v>
      </c>
      <c r="W42" s="679" t="e">
        <f t="shared" si="2"/>
        <v>#REF!</v>
      </c>
      <c r="X42" s="241" t="str">
        <f t="shared" si="9"/>
        <v>NWY</v>
      </c>
      <c r="Y42" s="690">
        <f t="shared" si="10"/>
        <v>161</v>
      </c>
      <c r="Z42" s="103"/>
      <c r="AA42" s="603">
        <v>3</v>
      </c>
      <c r="AB42" s="603">
        <v>3</v>
      </c>
      <c r="AC42" s="103"/>
      <c r="AD42" s="952" t="s">
        <v>123</v>
      </c>
      <c r="AE42" s="947"/>
      <c r="AF42" s="947"/>
      <c r="AG42" s="947"/>
      <c r="AH42" s="947"/>
      <c r="AI42" s="947"/>
      <c r="AJ42" s="947"/>
      <c r="AK42" s="947"/>
      <c r="AL42" s="21"/>
      <c r="AM42" s="21"/>
      <c r="AN42" s="21"/>
      <c r="AO42" s="21"/>
      <c r="AP42" s="21"/>
      <c r="AQ42" s="21"/>
      <c r="AR42" s="21"/>
      <c r="AS42" s="21"/>
      <c r="AT42" s="21"/>
      <c r="AU42" s="21"/>
    </row>
    <row r="43" spans="1:47" ht="15.75" customHeight="1">
      <c r="A43" s="1" t="s">
        <v>124</v>
      </c>
      <c r="B43" s="220">
        <v>178</v>
      </c>
      <c r="C43" s="656" t="e">
        <f>SUMIF(#REF!,B43,#REF!)</f>
        <v>#REF!</v>
      </c>
      <c r="D43" s="234"/>
      <c r="E43" s="657"/>
      <c r="F43" s="655">
        <f ca="1">'SEN INIL'!BV42</f>
        <v>3.666666666666647</v>
      </c>
      <c r="G43" s="203"/>
      <c r="H43" s="203"/>
      <c r="I43" s="103"/>
      <c r="J43" s="103"/>
      <c r="K43" s="883" t="e">
        <f t="shared" si="0"/>
        <v>#REF!</v>
      </c>
      <c r="L43" s="872">
        <f>'INV. RATIO(FINAL EXAM)'!AM45</f>
        <v>25</v>
      </c>
      <c r="M43" s="873" t="e">
        <f t="shared" si="7"/>
        <v>#REF!</v>
      </c>
      <c r="N43" s="874">
        <v>3.25</v>
      </c>
      <c r="O43" s="875">
        <v>22</v>
      </c>
      <c r="P43" s="874">
        <v>3.7543160690570998</v>
      </c>
      <c r="Q43" s="891">
        <v>15</v>
      </c>
      <c r="R43" s="892">
        <v>36.4</v>
      </c>
      <c r="S43" s="893">
        <v>12.702944640753801</v>
      </c>
      <c r="T43" s="676">
        <v>4.5</v>
      </c>
      <c r="U43" s="677">
        <v>12.6</v>
      </c>
      <c r="V43" s="678">
        <v>4.0309090909090903</v>
      </c>
      <c r="W43" s="679" t="e">
        <f t="shared" si="2"/>
        <v>#REF!</v>
      </c>
      <c r="X43" s="245" t="str">
        <f t="shared" si="9"/>
        <v>HPY</v>
      </c>
      <c r="Y43" s="690">
        <f t="shared" si="10"/>
        <v>178</v>
      </c>
      <c r="Z43" s="103"/>
      <c r="AA43" s="603">
        <v>112</v>
      </c>
      <c r="AB43" s="603">
        <v>3</v>
      </c>
      <c r="AC43" s="103"/>
      <c r="AD43" s="103"/>
      <c r="AE43" s="103"/>
      <c r="AF43" s="103"/>
      <c r="AG43" s="103"/>
      <c r="AH43" s="103"/>
      <c r="AI43" s="21"/>
      <c r="AJ43" s="21"/>
      <c r="AK43" s="591"/>
      <c r="AL43" s="21"/>
      <c r="AM43" s="21"/>
      <c r="AN43" s="21"/>
      <c r="AO43" s="21"/>
      <c r="AP43" s="21"/>
      <c r="AQ43" s="21"/>
      <c r="AR43" s="21"/>
      <c r="AS43" s="21"/>
      <c r="AT43" s="21"/>
      <c r="AU43" s="21"/>
    </row>
    <row r="44" spans="1:47" ht="15.75" customHeight="1">
      <c r="A44" s="1" t="s">
        <v>125</v>
      </c>
      <c r="B44" s="220">
        <v>181</v>
      </c>
      <c r="C44" s="656" t="e">
        <f>SUMIF(#REF!,B44,#REF!)</f>
        <v>#REF!</v>
      </c>
      <c r="D44" s="234"/>
      <c r="E44" s="657"/>
      <c r="F44" s="655">
        <f ca="1">'SEN INIL'!BV43</f>
        <v>0</v>
      </c>
      <c r="G44" s="203"/>
      <c r="H44" s="203"/>
      <c r="I44" s="103"/>
      <c r="J44" s="103">
        <f>AI33</f>
        <v>1</v>
      </c>
      <c r="K44" s="883" t="e">
        <f t="shared" si="0"/>
        <v>#REF!</v>
      </c>
      <c r="L44" s="872">
        <f>'INV. RATIO(FINAL EXAM)'!AM46</f>
        <v>20</v>
      </c>
      <c r="M44" s="873" t="e">
        <f t="shared" si="7"/>
        <v>#REF!</v>
      </c>
      <c r="N44" s="874">
        <v>4.75</v>
      </c>
      <c r="O44" s="875">
        <v>20.2</v>
      </c>
      <c r="P44" s="874">
        <v>3.4471447543160698</v>
      </c>
      <c r="Q44" s="891">
        <v>14.6</v>
      </c>
      <c r="R44" s="892">
        <v>39.6</v>
      </c>
      <c r="S44" s="893">
        <v>13.819687026754201</v>
      </c>
      <c r="T44" s="676">
        <v>6</v>
      </c>
      <c r="U44" s="677">
        <v>19.399999999999999</v>
      </c>
      <c r="V44" s="678">
        <v>6.20632034632035</v>
      </c>
      <c r="W44" s="679" t="e">
        <f t="shared" si="2"/>
        <v>#REF!</v>
      </c>
      <c r="X44" s="245" t="str">
        <f t="shared" si="9"/>
        <v>DWL</v>
      </c>
      <c r="Y44" s="690">
        <f t="shared" si="10"/>
        <v>181</v>
      </c>
      <c r="Z44" s="103"/>
      <c r="AA44" s="603">
        <v>120</v>
      </c>
      <c r="AB44" s="603">
        <v>3</v>
      </c>
      <c r="AC44" s="103"/>
      <c r="AD44" s="103"/>
      <c r="AE44" s="103"/>
      <c r="AF44" s="103"/>
      <c r="AG44" s="103"/>
      <c r="AH44" s="103"/>
      <c r="AI44" s="103"/>
      <c r="AJ44" s="103"/>
      <c r="AK44" s="103"/>
      <c r="AL44" s="21"/>
      <c r="AM44" s="21"/>
      <c r="AN44" s="21"/>
      <c r="AO44" s="21"/>
      <c r="AP44" s="21"/>
      <c r="AQ44" s="21"/>
      <c r="AR44" s="21"/>
      <c r="AS44" s="21"/>
      <c r="AT44" s="21"/>
      <c r="AU44" s="21"/>
    </row>
    <row r="45" spans="1:47" ht="15.75" customHeight="1">
      <c r="A45" s="1" t="s">
        <v>86</v>
      </c>
      <c r="B45" s="220">
        <v>186</v>
      </c>
      <c r="C45" s="656" t="e">
        <f>SUMIF(#REF!,B45,#REF!)</f>
        <v>#REF!</v>
      </c>
      <c r="D45" s="234"/>
      <c r="E45" s="657"/>
      <c r="F45" s="655">
        <f ca="1">'SEN INIL'!BV44</f>
        <v>0</v>
      </c>
      <c r="G45" s="203"/>
      <c r="H45" s="203">
        <f>AB47</f>
        <v>3</v>
      </c>
      <c r="I45" s="103"/>
      <c r="J45" s="103"/>
      <c r="K45" s="883" t="e">
        <f t="shared" si="0"/>
        <v>#REF!</v>
      </c>
      <c r="L45" s="872">
        <f>'INV. RATIO(FINAL EXAM)'!AM47</f>
        <v>21</v>
      </c>
      <c r="M45" s="873" t="e">
        <f t="shared" si="7"/>
        <v>#REF!</v>
      </c>
      <c r="N45" s="874">
        <v>4.5</v>
      </c>
      <c r="O45" s="875">
        <v>22.2</v>
      </c>
      <c r="P45" s="874">
        <v>3.78844621513944</v>
      </c>
      <c r="Q45" s="891">
        <v>13.7</v>
      </c>
      <c r="R45" s="892">
        <v>39.6</v>
      </c>
      <c r="S45" s="893">
        <v>13.819687026754201</v>
      </c>
      <c r="T45" s="676">
        <v>8.1999999999999993</v>
      </c>
      <c r="U45" s="677">
        <v>19.399999999999999</v>
      </c>
      <c r="V45" s="678">
        <v>6.20632034632035</v>
      </c>
      <c r="W45" s="679" t="e">
        <f t="shared" si="2"/>
        <v>#REF!</v>
      </c>
      <c r="X45" s="245" t="str">
        <f t="shared" si="9"/>
        <v>TCH</v>
      </c>
      <c r="Y45" s="690">
        <f t="shared" si="10"/>
        <v>186</v>
      </c>
      <c r="Z45" s="103"/>
      <c r="AA45" s="603">
        <v>152</v>
      </c>
      <c r="AB45" s="603">
        <v>3</v>
      </c>
      <c r="AC45" s="103"/>
      <c r="AD45" s="103"/>
      <c r="AE45" s="103"/>
      <c r="AF45" s="103"/>
      <c r="AG45" s="103"/>
      <c r="AH45" s="103"/>
      <c r="AI45" s="21"/>
      <c r="AJ45" s="21"/>
      <c r="AK45" s="591"/>
      <c r="AL45" s="21"/>
      <c r="AM45" s="21"/>
      <c r="AN45" s="21"/>
      <c r="AO45" s="21"/>
      <c r="AP45" s="21"/>
      <c r="AQ45" s="21"/>
      <c r="AR45" s="21"/>
      <c r="AS45" s="21"/>
      <c r="AT45" s="21"/>
      <c r="AU45" s="21"/>
    </row>
    <row r="46" spans="1:47" ht="15.75" customHeight="1">
      <c r="A46" s="1" t="s">
        <v>126</v>
      </c>
      <c r="B46" s="220">
        <v>190</v>
      </c>
      <c r="C46" s="656" t="e">
        <f>SUMIF(#REF!,B46,#REF!)</f>
        <v>#REF!</v>
      </c>
      <c r="D46" s="234"/>
      <c r="E46" s="657"/>
      <c r="F46" s="655">
        <f ca="1">'SEN INIL'!BV45</f>
        <v>0</v>
      </c>
      <c r="G46" s="203"/>
      <c r="H46" s="203"/>
      <c r="I46" s="103"/>
      <c r="J46" s="203">
        <f>AI12</f>
        <v>5.7166666666666703</v>
      </c>
      <c r="K46" s="883" t="e">
        <f t="shared" si="0"/>
        <v>#REF!</v>
      </c>
      <c r="L46" s="872">
        <f>'INV. RATIO(FINAL EXAM)'!AM48</f>
        <v>16</v>
      </c>
      <c r="M46" s="873" t="e">
        <f t="shared" si="7"/>
        <v>#REF!</v>
      </c>
      <c r="N46" s="874">
        <v>2</v>
      </c>
      <c r="O46" s="875">
        <v>17</v>
      </c>
      <c r="P46" s="874">
        <v>2.9010624169986698</v>
      </c>
      <c r="Q46" s="891">
        <v>14</v>
      </c>
      <c r="R46" s="892">
        <v>28</v>
      </c>
      <c r="S46" s="893">
        <v>9.7714958775029395</v>
      </c>
      <c r="T46" s="676">
        <v>6.3</v>
      </c>
      <c r="U46" s="677">
        <v>13</v>
      </c>
      <c r="V46" s="678">
        <v>4.1588744588744602</v>
      </c>
      <c r="W46" s="679" t="e">
        <f t="shared" si="2"/>
        <v>#REF!</v>
      </c>
      <c r="X46" s="245" t="str">
        <f t="shared" si="9"/>
        <v>Dallas</v>
      </c>
      <c r="Y46" s="690">
        <f t="shared" si="10"/>
        <v>190</v>
      </c>
      <c r="Z46" s="103"/>
      <c r="AA46" s="603">
        <v>161</v>
      </c>
      <c r="AB46" s="603">
        <v>3</v>
      </c>
      <c r="AC46" s="103"/>
      <c r="AD46" s="103"/>
      <c r="AE46" s="103"/>
      <c r="AF46" s="103"/>
      <c r="AG46" s="103"/>
      <c r="AH46" s="103"/>
      <c r="AI46" s="21"/>
      <c r="AJ46" s="21"/>
      <c r="AK46" s="591"/>
      <c r="AL46" s="21"/>
      <c r="AM46" s="21"/>
      <c r="AN46" s="21"/>
      <c r="AO46" s="21"/>
      <c r="AP46" s="21"/>
      <c r="AQ46" s="21"/>
      <c r="AR46" s="21"/>
      <c r="AS46" s="21"/>
      <c r="AT46" s="21"/>
      <c r="AU46" s="21"/>
    </row>
    <row r="47" spans="1:47" ht="15.75" customHeight="1">
      <c r="A47" s="1" t="s">
        <v>110</v>
      </c>
      <c r="B47" s="220">
        <v>196</v>
      </c>
      <c r="C47" s="656" t="e">
        <f>SUMIF(#REF!,B47,#REF!)</f>
        <v>#REF!</v>
      </c>
      <c r="D47" s="234"/>
      <c r="E47" s="657"/>
      <c r="F47" s="655">
        <f ca="1">'SEN INIL'!BV46</f>
        <v>0</v>
      </c>
      <c r="G47" s="203"/>
      <c r="H47" s="203"/>
      <c r="I47" s="103"/>
      <c r="J47" s="103"/>
      <c r="K47" s="883" t="e">
        <f t="shared" si="0"/>
        <v>#REF!</v>
      </c>
      <c r="L47" s="872">
        <f>'INV. RATIO(FINAL EXAM)'!AM49</f>
        <v>22.5</v>
      </c>
      <c r="M47" s="873" t="e">
        <f t="shared" si="7"/>
        <v>#REF!</v>
      </c>
      <c r="N47" s="874">
        <v>3</v>
      </c>
      <c r="O47" s="875">
        <v>21.3</v>
      </c>
      <c r="P47" s="874">
        <v>3.6348605577689201</v>
      </c>
      <c r="Q47" s="891">
        <v>15.1</v>
      </c>
      <c r="R47" s="892">
        <v>35.9</v>
      </c>
      <c r="S47" s="893">
        <v>12.528453642941299</v>
      </c>
      <c r="T47" s="676">
        <v>6.8</v>
      </c>
      <c r="U47" s="677">
        <v>17.100000000000001</v>
      </c>
      <c r="V47" s="678">
        <v>5.4705194805194797</v>
      </c>
      <c r="W47" s="679" t="e">
        <f t="shared" si="2"/>
        <v>#REF!</v>
      </c>
      <c r="X47" s="245" t="str">
        <f t="shared" si="9"/>
        <v>LHY</v>
      </c>
      <c r="Y47" s="690">
        <f t="shared" si="10"/>
        <v>196</v>
      </c>
      <c r="Z47" s="103"/>
      <c r="AA47" s="603">
        <v>186</v>
      </c>
      <c r="AB47" s="603">
        <v>3</v>
      </c>
      <c r="AC47" s="103"/>
      <c r="AD47" s="103"/>
      <c r="AE47" s="103"/>
      <c r="AF47" s="103"/>
      <c r="AG47" s="103"/>
      <c r="AH47" s="103"/>
      <c r="AI47" s="21"/>
      <c r="AJ47" s="21"/>
      <c r="AK47" s="591"/>
      <c r="AL47" s="21"/>
      <c r="AM47" s="21"/>
      <c r="AN47" s="21"/>
      <c r="AO47" s="21"/>
      <c r="AP47" s="21"/>
      <c r="AQ47" s="21"/>
      <c r="AR47" s="21"/>
      <c r="AS47" s="21"/>
      <c r="AT47" s="21"/>
      <c r="AU47" s="21"/>
    </row>
    <row r="48" spans="1:47" ht="15.75" customHeight="1">
      <c r="A48" s="1" t="s">
        <v>127</v>
      </c>
      <c r="B48" s="220">
        <v>197</v>
      </c>
      <c r="C48" s="656" t="e">
        <f>SUMIF(#REF!,B48,#REF!)</f>
        <v>#REF!</v>
      </c>
      <c r="D48" s="234"/>
      <c r="E48" s="657"/>
      <c r="F48" s="655">
        <f ca="1">'SEN INIL'!BV47</f>
        <v>0</v>
      </c>
      <c r="G48" s="203"/>
      <c r="H48" s="203"/>
      <c r="I48" s="103"/>
      <c r="J48" s="103"/>
      <c r="K48" s="883" t="e">
        <f t="shared" si="0"/>
        <v>#REF!</v>
      </c>
      <c r="L48" s="872">
        <f>'INV. RATIO(FINAL EXAM)'!AM50</f>
        <v>25.5</v>
      </c>
      <c r="M48" s="873" t="e">
        <f t="shared" si="7"/>
        <v>#REF!</v>
      </c>
      <c r="N48" s="874">
        <v>2.5</v>
      </c>
      <c r="O48" s="875">
        <v>23.3</v>
      </c>
      <c r="P48" s="874">
        <v>3.9761620185923001</v>
      </c>
      <c r="Q48" s="891">
        <v>15.1</v>
      </c>
      <c r="R48" s="892">
        <v>36.9</v>
      </c>
      <c r="S48" s="893">
        <v>12.8774356385664</v>
      </c>
      <c r="T48" s="676">
        <v>7.4</v>
      </c>
      <c r="U48" s="677">
        <v>22.1</v>
      </c>
      <c r="V48" s="678">
        <v>7.0700865800865804</v>
      </c>
      <c r="W48" s="679" t="e">
        <f t="shared" si="2"/>
        <v>#REF!</v>
      </c>
      <c r="X48" s="245" t="str">
        <f t="shared" si="9"/>
        <v>HLW</v>
      </c>
      <c r="Y48" s="690">
        <f t="shared" si="10"/>
        <v>197</v>
      </c>
      <c r="Z48" s="103"/>
      <c r="AA48" s="603">
        <v>205</v>
      </c>
      <c r="AB48" s="603">
        <v>3</v>
      </c>
      <c r="AC48" s="103"/>
      <c r="AD48" s="103"/>
      <c r="AE48" s="103"/>
      <c r="AF48" s="103"/>
      <c r="AG48" s="103"/>
      <c r="AH48" s="103"/>
      <c r="AI48" s="21"/>
      <c r="AJ48" s="21"/>
      <c r="AK48" s="591"/>
      <c r="AL48" s="21"/>
      <c r="AM48" s="21"/>
      <c r="AN48" s="21"/>
      <c r="AO48" s="21"/>
      <c r="AP48" s="21"/>
      <c r="AQ48" s="21"/>
      <c r="AR48" s="21"/>
      <c r="AS48" s="21"/>
      <c r="AT48" s="21"/>
      <c r="AU48" s="21"/>
    </row>
    <row r="49" spans="1:47" ht="15.75" customHeight="1">
      <c r="A49" s="1" t="s">
        <v>128</v>
      </c>
      <c r="B49" s="220">
        <v>198</v>
      </c>
      <c r="C49" s="656" t="e">
        <f>SUMIF(#REF!,B49,#REF!)</f>
        <v>#REF!</v>
      </c>
      <c r="D49" s="234"/>
      <c r="E49" s="657"/>
      <c r="F49" s="655">
        <f ca="1">'SEN INIL'!BV48</f>
        <v>6.0666666666666718</v>
      </c>
      <c r="G49" s="203"/>
      <c r="H49" s="203"/>
      <c r="I49" s="103"/>
      <c r="J49" s="103"/>
      <c r="K49" s="884" t="e">
        <f t="shared" si="0"/>
        <v>#REF!</v>
      </c>
      <c r="L49" s="876">
        <f>'INV. RATIO(FINAL EXAM)'!AM51</f>
        <v>25</v>
      </c>
      <c r="M49" s="877" t="e">
        <f t="shared" si="7"/>
        <v>#REF!</v>
      </c>
      <c r="N49" s="878">
        <v>4.75</v>
      </c>
      <c r="O49" s="879">
        <v>22</v>
      </c>
      <c r="P49" s="878">
        <v>3.7543160690570998</v>
      </c>
      <c r="Q49" s="894">
        <v>12.8</v>
      </c>
      <c r="R49" s="895">
        <v>39.4</v>
      </c>
      <c r="S49" s="896">
        <v>13.7498906276291</v>
      </c>
      <c r="T49" s="680">
        <v>6.9</v>
      </c>
      <c r="U49" s="681">
        <v>18.600000000000001</v>
      </c>
      <c r="V49" s="682">
        <v>5.9503896103896103</v>
      </c>
      <c r="W49" s="504" t="e">
        <f t="shared" si="2"/>
        <v>#REF!</v>
      </c>
      <c r="X49" s="266" t="str">
        <f t="shared" si="9"/>
        <v>YLS</v>
      </c>
      <c r="Y49" s="690">
        <f t="shared" si="10"/>
        <v>198</v>
      </c>
      <c r="Z49" s="103"/>
      <c r="AA49" s="603">
        <v>208</v>
      </c>
      <c r="AB49" s="603">
        <v>3</v>
      </c>
      <c r="AC49" s="103"/>
      <c r="AD49" s="103"/>
      <c r="AE49" s="103"/>
      <c r="AF49" s="103"/>
      <c r="AG49" s="103"/>
      <c r="AH49" s="616"/>
      <c r="AI49" s="21"/>
      <c r="AJ49" s="21"/>
      <c r="AK49" s="591"/>
      <c r="AL49" s="21"/>
      <c r="AM49" s="21"/>
      <c r="AN49" s="21"/>
      <c r="AO49" s="21"/>
      <c r="AP49" s="21"/>
      <c r="AQ49" s="21"/>
      <c r="AR49" s="21"/>
      <c r="AS49" s="21"/>
      <c r="AT49" s="21"/>
      <c r="AU49" s="21"/>
    </row>
    <row r="50" spans="1:47" ht="15.75" customHeight="1">
      <c r="A50" s="5" t="s">
        <v>129</v>
      </c>
      <c r="B50" s="406">
        <v>201</v>
      </c>
      <c r="C50" s="652" t="e">
        <f>SUMIF(#REF!,B50,#REF!)</f>
        <v>#REF!</v>
      </c>
      <c r="D50" s="653"/>
      <c r="E50" s="654"/>
      <c r="F50" s="655">
        <f ca="1">'SEN INIL'!BV49</f>
        <v>1.4500000000000082</v>
      </c>
      <c r="G50" s="205"/>
      <c r="H50" s="205"/>
      <c r="I50" s="574"/>
      <c r="J50" s="512">
        <f>AI34</f>
        <v>1</v>
      </c>
      <c r="K50" s="880" t="e">
        <f t="shared" si="0"/>
        <v>#REF!</v>
      </c>
      <c r="L50" s="868">
        <f>'INV. RATIO(FINAL EXAM)'!AM52</f>
        <v>15.5</v>
      </c>
      <c r="M50" s="869" t="e">
        <f t="shared" si="7"/>
        <v>#REF!</v>
      </c>
      <c r="N50" s="870">
        <v>2</v>
      </c>
      <c r="O50" s="871">
        <v>13.3</v>
      </c>
      <c r="P50" s="870">
        <v>2.26965471447543</v>
      </c>
      <c r="Q50" s="888">
        <v>13</v>
      </c>
      <c r="R50" s="889">
        <v>21.9</v>
      </c>
      <c r="S50" s="890">
        <v>7.6427057041898001</v>
      </c>
      <c r="T50" s="672">
        <v>3.9</v>
      </c>
      <c r="U50" s="673">
        <v>9.1</v>
      </c>
      <c r="V50" s="674">
        <v>2.9112121212121198</v>
      </c>
      <c r="W50" s="577" t="e">
        <f t="shared" si="2"/>
        <v>#REF!</v>
      </c>
      <c r="X50" s="241" t="str">
        <f t="shared" si="9"/>
        <v>WKY</v>
      </c>
      <c r="Y50" s="690">
        <f t="shared" si="10"/>
        <v>201</v>
      </c>
      <c r="Z50" s="103"/>
      <c r="AA50" s="603">
        <v>209</v>
      </c>
      <c r="AB50" s="603">
        <v>3</v>
      </c>
      <c r="AC50" s="103"/>
      <c r="AD50" s="103"/>
      <c r="AE50" s="103"/>
      <c r="AF50" s="103"/>
      <c r="AG50" s="103"/>
      <c r="AH50" s="103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</row>
    <row r="51" spans="1:47" ht="15.75" customHeight="1">
      <c r="A51" s="10" t="s">
        <v>130</v>
      </c>
      <c r="B51" s="220">
        <v>202</v>
      </c>
      <c r="C51" s="656" t="e">
        <f>SUMIF(#REF!,B51,#REF!)</f>
        <v>#REF!</v>
      </c>
      <c r="D51" s="234"/>
      <c r="E51" s="657"/>
      <c r="F51" s="655">
        <f ca="1">'SEN INIL'!BV50</f>
        <v>3.7166666666666641</v>
      </c>
      <c r="G51" s="203"/>
      <c r="H51" s="203"/>
      <c r="I51" s="103"/>
      <c r="J51" s="513"/>
      <c r="K51" s="881" t="e">
        <f t="shared" si="0"/>
        <v>#REF!</v>
      </c>
      <c r="L51" s="872">
        <f>'INV. RATIO(FINAL EXAM)'!AM53</f>
        <v>25</v>
      </c>
      <c r="M51" s="873" t="e">
        <f t="shared" si="7"/>
        <v>#REF!</v>
      </c>
      <c r="N51" s="874">
        <v>5</v>
      </c>
      <c r="O51" s="875">
        <v>28.2</v>
      </c>
      <c r="P51" s="874">
        <v>4.8123505976095604</v>
      </c>
      <c r="Q51" s="891">
        <v>13.4</v>
      </c>
      <c r="R51" s="892">
        <v>48.8</v>
      </c>
      <c r="S51" s="893">
        <v>17.030321386505101</v>
      </c>
      <c r="T51" s="676">
        <v>6.3</v>
      </c>
      <c r="U51" s="677">
        <v>23</v>
      </c>
      <c r="V51" s="678">
        <v>7.3580086580086599</v>
      </c>
      <c r="W51" s="580" t="e">
        <f t="shared" si="2"/>
        <v>#REF!</v>
      </c>
      <c r="X51" s="245" t="str">
        <f t="shared" si="9"/>
        <v>WSY</v>
      </c>
      <c r="Y51" s="690">
        <f t="shared" si="10"/>
        <v>202</v>
      </c>
      <c r="Z51" s="103"/>
      <c r="AA51" s="517">
        <v>214</v>
      </c>
      <c r="AB51" s="517">
        <v>3</v>
      </c>
      <c r="AC51" s="103"/>
      <c r="AD51" s="103"/>
      <c r="AE51" s="103"/>
      <c r="AF51" s="103"/>
      <c r="AG51" s="103"/>
      <c r="AH51" s="103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</row>
    <row r="52" spans="1:47" ht="15.75" customHeight="1">
      <c r="A52" s="10" t="s">
        <v>131</v>
      </c>
      <c r="B52" s="220">
        <v>203</v>
      </c>
      <c r="C52" s="656" t="e">
        <f>SUMIF(#REF!,B52,#REF!)</f>
        <v>#REF!</v>
      </c>
      <c r="D52" s="234"/>
      <c r="E52" s="657"/>
      <c r="F52" s="655">
        <f ca="1">'SEN INIL'!BV51</f>
        <v>13.049999999999978</v>
      </c>
      <c r="G52" s="203"/>
      <c r="H52" s="203"/>
      <c r="I52" s="103"/>
      <c r="J52" s="513"/>
      <c r="K52" s="881" t="e">
        <f t="shared" si="0"/>
        <v>#REF!</v>
      </c>
      <c r="L52" s="872">
        <f>'INV. RATIO(FINAL EXAM)'!AM54</f>
        <v>25</v>
      </c>
      <c r="M52" s="873" t="e">
        <f t="shared" si="7"/>
        <v>#REF!</v>
      </c>
      <c r="N52" s="874">
        <v>3.5833333333333299</v>
      </c>
      <c r="O52" s="875">
        <v>23</v>
      </c>
      <c r="P52" s="874">
        <v>3.9249667994687898</v>
      </c>
      <c r="Q52" s="891">
        <v>11.6</v>
      </c>
      <c r="R52" s="892">
        <v>35.4</v>
      </c>
      <c r="S52" s="893">
        <v>12.3539626451287</v>
      </c>
      <c r="T52" s="676">
        <v>5.2</v>
      </c>
      <c r="U52" s="677">
        <v>22.6</v>
      </c>
      <c r="V52" s="678">
        <v>7.23004329004329</v>
      </c>
      <c r="W52" s="580" t="e">
        <f t="shared" si="2"/>
        <v>#REF!</v>
      </c>
      <c r="X52" s="245" t="str">
        <f t="shared" si="9"/>
        <v>CCH</v>
      </c>
      <c r="Y52" s="690">
        <f t="shared" si="10"/>
        <v>203</v>
      </c>
      <c r="Z52" s="103"/>
      <c r="AA52" s="103" t="s">
        <v>49</v>
      </c>
      <c r="AB52" s="604">
        <f>SUM(AB42:AB51)</f>
        <v>30</v>
      </c>
      <c r="AC52" s="103"/>
      <c r="AD52" s="103"/>
      <c r="AE52" s="103"/>
      <c r="AF52" s="103"/>
      <c r="AG52" s="103"/>
      <c r="AH52" s="103"/>
      <c r="AI52" s="21"/>
      <c r="AJ52" s="21"/>
      <c r="AK52" s="591"/>
      <c r="AL52" s="21"/>
      <c r="AM52" s="21"/>
      <c r="AN52" s="21"/>
      <c r="AO52" s="21"/>
      <c r="AP52" s="21"/>
      <c r="AQ52" s="21"/>
      <c r="AR52" s="21"/>
      <c r="AS52" s="21"/>
      <c r="AT52" s="21"/>
      <c r="AU52" s="21"/>
    </row>
    <row r="53" spans="1:47" ht="15.75" customHeight="1">
      <c r="A53" s="10" t="s">
        <v>132</v>
      </c>
      <c r="B53" s="220">
        <v>204</v>
      </c>
      <c r="C53" s="656" t="e">
        <f>SUMIF(#REF!,B53,#REF!)</f>
        <v>#REF!</v>
      </c>
      <c r="D53" s="234"/>
      <c r="E53" s="657"/>
      <c r="F53" s="655">
        <f ca="1">'SEN INIL'!BV52</f>
        <v>0</v>
      </c>
      <c r="G53" s="203"/>
      <c r="H53" s="203"/>
      <c r="I53" s="103"/>
      <c r="J53" s="513">
        <f>AI35</f>
        <v>1</v>
      </c>
      <c r="K53" s="881" t="e">
        <f t="shared" si="0"/>
        <v>#REF!</v>
      </c>
      <c r="L53" s="872">
        <f>'INV. RATIO(FINAL EXAM)'!AM55</f>
        <v>24.5</v>
      </c>
      <c r="M53" s="873" t="e">
        <f t="shared" si="7"/>
        <v>#REF!</v>
      </c>
      <c r="N53" s="874">
        <v>4</v>
      </c>
      <c r="O53" s="875">
        <v>24.3</v>
      </c>
      <c r="P53" s="874">
        <v>4.1468127490039803</v>
      </c>
      <c r="Q53" s="891">
        <v>14.4</v>
      </c>
      <c r="R53" s="892">
        <v>46.9</v>
      </c>
      <c r="S53" s="893">
        <v>16.367255594817401</v>
      </c>
      <c r="T53" s="676">
        <v>5.3</v>
      </c>
      <c r="U53" s="677">
        <v>22.6</v>
      </c>
      <c r="V53" s="678">
        <v>7.23004329004329</v>
      </c>
      <c r="W53" s="580" t="e">
        <f t="shared" si="2"/>
        <v>#REF!</v>
      </c>
      <c r="X53" s="245" t="str">
        <f t="shared" si="9"/>
        <v>WWM</v>
      </c>
      <c r="Y53" s="690">
        <f t="shared" si="10"/>
        <v>204</v>
      </c>
      <c r="Z53" s="103"/>
      <c r="AA53" s="605"/>
      <c r="AB53" s="103"/>
      <c r="AC53" s="103"/>
      <c r="AD53" s="103"/>
      <c r="AE53" s="606"/>
      <c r="AF53" s="103"/>
      <c r="AG53" s="103"/>
      <c r="AH53" s="103"/>
      <c r="AI53" s="21"/>
      <c r="AJ53" s="21"/>
      <c r="AK53" s="591"/>
      <c r="AL53" s="21"/>
      <c r="AM53" s="21"/>
      <c r="AN53" s="21"/>
      <c r="AO53" s="21"/>
      <c r="AP53" s="21"/>
      <c r="AQ53" s="21"/>
      <c r="AR53" s="21"/>
      <c r="AS53" s="21"/>
      <c r="AT53" s="21"/>
      <c r="AU53" s="21"/>
    </row>
    <row r="54" spans="1:47" ht="15.75" customHeight="1">
      <c r="A54" s="10" t="s">
        <v>133</v>
      </c>
      <c r="B54" s="220">
        <v>205</v>
      </c>
      <c r="C54" s="656" t="e">
        <f>SUMIF(#REF!,B54,#REF!)</f>
        <v>#REF!</v>
      </c>
      <c r="D54" s="234"/>
      <c r="E54" s="657"/>
      <c r="F54" s="655">
        <f ca="1">'SEN INIL'!BV53</f>
        <v>0</v>
      </c>
      <c r="G54" s="203"/>
      <c r="H54" s="203">
        <f>AB48</f>
        <v>3</v>
      </c>
      <c r="I54" s="103"/>
      <c r="J54" s="513"/>
      <c r="K54" s="881" t="e">
        <f t="shared" si="0"/>
        <v>#REF!</v>
      </c>
      <c r="L54" s="872">
        <f>'INV. RATIO(FINAL EXAM)'!AM56</f>
        <v>14.5</v>
      </c>
      <c r="M54" s="873" t="e">
        <f t="shared" si="7"/>
        <v>#REF!</v>
      </c>
      <c r="N54" s="874">
        <v>3.75</v>
      </c>
      <c r="O54" s="875">
        <v>13.5</v>
      </c>
      <c r="P54" s="874">
        <v>2.3037848605577702</v>
      </c>
      <c r="Q54" s="891">
        <v>7</v>
      </c>
      <c r="R54" s="892">
        <v>24.5</v>
      </c>
      <c r="S54" s="893">
        <v>8.5500588928150698</v>
      </c>
      <c r="T54" s="676">
        <v>2</v>
      </c>
      <c r="U54" s="677">
        <v>11</v>
      </c>
      <c r="V54" s="678">
        <v>3.5190476190476199</v>
      </c>
      <c r="W54" s="580" t="e">
        <f t="shared" si="2"/>
        <v>#REF!</v>
      </c>
      <c r="X54" s="245" t="str">
        <f t="shared" si="9"/>
        <v>CSC</v>
      </c>
      <c r="Y54" s="690">
        <f t="shared" si="10"/>
        <v>205</v>
      </c>
      <c r="Z54" s="103"/>
      <c r="AA54" s="103"/>
      <c r="AB54" s="103"/>
      <c r="AC54" s="103"/>
      <c r="AD54" s="103"/>
      <c r="AE54" s="606"/>
      <c r="AF54" s="103"/>
      <c r="AG54" s="103"/>
      <c r="AH54" s="103"/>
      <c r="AI54" s="21"/>
      <c r="AJ54" s="21"/>
      <c r="AK54" s="591"/>
      <c r="AL54" s="21"/>
      <c r="AM54" s="21"/>
      <c r="AN54" s="21"/>
      <c r="AO54" s="21"/>
      <c r="AP54" s="21"/>
      <c r="AQ54" s="21"/>
      <c r="AR54" s="21"/>
      <c r="AS54" s="21"/>
      <c r="AT54" s="21"/>
      <c r="AU54" s="21"/>
    </row>
    <row r="55" spans="1:47" ht="15.75" customHeight="1">
      <c r="A55" s="10" t="s">
        <v>134</v>
      </c>
      <c r="B55" s="220">
        <v>206</v>
      </c>
      <c r="C55" s="656" t="e">
        <f>SUMIF(#REF!,B55,#REF!)</f>
        <v>#REF!</v>
      </c>
      <c r="D55" s="234"/>
      <c r="E55" s="657"/>
      <c r="F55" s="655">
        <f ca="1">'SEN INIL'!BV54</f>
        <v>0</v>
      </c>
      <c r="G55" s="203"/>
      <c r="H55" s="203"/>
      <c r="I55" s="103"/>
      <c r="J55" s="103"/>
      <c r="K55" s="881" t="e">
        <f t="shared" si="0"/>
        <v>#REF!</v>
      </c>
      <c r="L55" s="872">
        <f>'INV. RATIO(FINAL EXAM)'!AM57</f>
        <v>25.5</v>
      </c>
      <c r="M55" s="713" t="e">
        <f t="shared" si="7"/>
        <v>#REF!</v>
      </c>
      <c r="N55" s="874">
        <v>4</v>
      </c>
      <c r="O55" s="875">
        <v>27.3</v>
      </c>
      <c r="P55" s="874">
        <v>4.6587649402390401</v>
      </c>
      <c r="Q55" s="897">
        <v>14.2</v>
      </c>
      <c r="R55" s="892">
        <v>38.9</v>
      </c>
      <c r="S55" s="897">
        <v>13.5753996298166</v>
      </c>
      <c r="T55" s="684">
        <v>5.8</v>
      </c>
      <c r="U55" s="677">
        <v>23.1</v>
      </c>
      <c r="V55" s="684">
        <v>7.39</v>
      </c>
      <c r="W55" s="580" t="e">
        <f t="shared" si="2"/>
        <v>#REF!</v>
      </c>
      <c r="X55" s="637" t="str">
        <f t="shared" si="9"/>
        <v>TFC</v>
      </c>
      <c r="Y55" s="690">
        <f t="shared" si="10"/>
        <v>206</v>
      </c>
      <c r="Z55" s="103"/>
      <c r="AA55" s="103"/>
      <c r="AB55" s="103"/>
      <c r="AC55" s="103"/>
      <c r="AD55" s="103"/>
      <c r="AE55" s="606"/>
      <c r="AF55" s="103"/>
      <c r="AG55" s="103"/>
      <c r="AH55" s="103"/>
      <c r="AI55" s="21"/>
      <c r="AJ55" s="21"/>
      <c r="AK55" s="591"/>
      <c r="AL55" s="21"/>
      <c r="AM55" s="21"/>
      <c r="AN55" s="21"/>
      <c r="AO55" s="21"/>
      <c r="AP55" s="21"/>
      <c r="AQ55" s="21"/>
      <c r="AR55" s="21"/>
      <c r="AS55" s="21"/>
      <c r="AT55" s="21"/>
      <c r="AU55" s="21"/>
    </row>
    <row r="56" spans="1:47" ht="15.75" customHeight="1">
      <c r="A56" s="10" t="s">
        <v>135</v>
      </c>
      <c r="B56" s="220">
        <v>207</v>
      </c>
      <c r="C56" s="656" t="e">
        <f>SUMIF(#REF!,B56,#REF!)</f>
        <v>#REF!</v>
      </c>
      <c r="D56" s="234"/>
      <c r="E56" s="657"/>
      <c r="F56" s="655">
        <f ca="1">'SEN INIL'!BV55</f>
        <v>0</v>
      </c>
      <c r="G56" s="203"/>
      <c r="H56" s="203"/>
      <c r="I56" s="103"/>
      <c r="J56" s="103"/>
      <c r="K56" s="881" t="e">
        <f t="shared" si="0"/>
        <v>#REF!</v>
      </c>
      <c r="L56" s="872">
        <f>'INV. RATIO(FINAL EXAM)'!AM58</f>
        <v>25</v>
      </c>
      <c r="M56" s="713" t="e">
        <f t="shared" si="7"/>
        <v>#REF!</v>
      </c>
      <c r="N56" s="874">
        <v>3.5</v>
      </c>
      <c r="O56" s="875">
        <v>23.2</v>
      </c>
      <c r="P56" s="874">
        <v>3.95909694555113</v>
      </c>
      <c r="Q56" s="897">
        <v>14.7</v>
      </c>
      <c r="R56" s="892">
        <v>43.6</v>
      </c>
      <c r="S56" s="897">
        <v>15.2156150092546</v>
      </c>
      <c r="T56" s="684">
        <v>6.5</v>
      </c>
      <c r="U56" s="677">
        <v>23.4</v>
      </c>
      <c r="V56" s="684">
        <v>7.4859740259740297</v>
      </c>
      <c r="W56" s="580" t="e">
        <f t="shared" si="2"/>
        <v>#REF!</v>
      </c>
      <c r="X56" s="637" t="str">
        <f t="shared" si="9"/>
        <v>CST</v>
      </c>
      <c r="Y56" s="690">
        <f t="shared" si="10"/>
        <v>207</v>
      </c>
      <c r="Z56" s="103"/>
      <c r="AA56" s="103"/>
      <c r="AB56" s="103"/>
      <c r="AC56" s="103"/>
      <c r="AD56" s="103"/>
      <c r="AE56" s="606"/>
      <c r="AF56" s="103"/>
      <c r="AG56" s="103"/>
      <c r="AH56" s="103"/>
      <c r="AI56" s="21"/>
      <c r="AJ56" s="21"/>
      <c r="AK56" s="591"/>
      <c r="AL56" s="21"/>
      <c r="AM56" s="21"/>
      <c r="AN56" s="21"/>
      <c r="AO56" s="21"/>
      <c r="AP56" s="21"/>
      <c r="AQ56" s="21"/>
      <c r="AR56" s="21"/>
      <c r="AS56" s="21"/>
      <c r="AT56" s="21"/>
      <c r="AU56" s="21"/>
    </row>
    <row r="57" spans="1:47" ht="15.75" customHeight="1">
      <c r="A57" s="761" t="s">
        <v>136</v>
      </c>
      <c r="B57" s="222">
        <v>208</v>
      </c>
      <c r="C57" s="658" t="e">
        <f>SUMIF(#REF!,B57,#REF!)</f>
        <v>#REF!</v>
      </c>
      <c r="D57" s="659"/>
      <c r="E57" s="660"/>
      <c r="F57" s="655">
        <f ca="1">'SEN INIL'!BV56</f>
        <v>4.4333333333333282</v>
      </c>
      <c r="G57" s="201"/>
      <c r="H57" s="201">
        <f>AB49</f>
        <v>3</v>
      </c>
      <c r="I57" s="581"/>
      <c r="J57" s="581"/>
      <c r="K57" s="882" t="e">
        <f t="shared" si="0"/>
        <v>#REF!</v>
      </c>
      <c r="L57" s="876">
        <f>'INV. RATIO(FINAL EXAM)'!AM59</f>
        <v>22.5</v>
      </c>
      <c r="M57" s="714" t="e">
        <f t="shared" si="7"/>
        <v>#REF!</v>
      </c>
      <c r="N57" s="878">
        <v>5.5833333333333304</v>
      </c>
      <c r="O57" s="879">
        <v>22.3</v>
      </c>
      <c r="P57" s="878">
        <v>3.8055112881806101</v>
      </c>
      <c r="Q57" s="898">
        <v>15</v>
      </c>
      <c r="R57" s="895">
        <v>38.9</v>
      </c>
      <c r="S57" s="898">
        <v>13.5753996298166</v>
      </c>
      <c r="T57" s="685">
        <v>3.3</v>
      </c>
      <c r="U57" s="681">
        <v>18.100000000000001</v>
      </c>
      <c r="V57" s="685">
        <v>5.7904329004328998</v>
      </c>
      <c r="W57" s="584" t="e">
        <f t="shared" si="2"/>
        <v>#REF!</v>
      </c>
      <c r="X57" s="639" t="str">
        <f t="shared" si="9"/>
        <v>CHL</v>
      </c>
      <c r="Y57" s="690">
        <f t="shared" si="10"/>
        <v>208</v>
      </c>
      <c r="Z57" s="103"/>
      <c r="AA57" s="103"/>
      <c r="AB57" s="103"/>
      <c r="AC57" s="21"/>
      <c r="AD57" s="103"/>
      <c r="AE57" s="103"/>
      <c r="AF57" s="103"/>
      <c r="AG57" s="103"/>
      <c r="AH57" s="103"/>
      <c r="AI57" s="21"/>
      <c r="AJ57" s="21"/>
      <c r="AK57" s="591"/>
      <c r="AL57" s="21"/>
      <c r="AM57" s="21"/>
      <c r="AN57" s="21"/>
      <c r="AO57" s="21"/>
      <c r="AP57" s="21"/>
      <c r="AQ57" s="21"/>
      <c r="AR57" s="21"/>
      <c r="AS57" s="21"/>
      <c r="AT57" s="21"/>
      <c r="AU57" s="21"/>
    </row>
    <row r="58" spans="1:47" ht="15.75" customHeight="1">
      <c r="A58" s="663" t="s">
        <v>137</v>
      </c>
      <c r="B58" s="220">
        <v>209</v>
      </c>
      <c r="C58" s="656" t="e">
        <f>SUMIF(#REF!,B58,#REF!)</f>
        <v>#REF!</v>
      </c>
      <c r="D58" s="653"/>
      <c r="E58" s="654"/>
      <c r="F58" s="655">
        <f ca="1">'SEN INIL'!BV57</f>
        <v>0</v>
      </c>
      <c r="G58" s="205"/>
      <c r="H58" s="205">
        <f>AB50</f>
        <v>3</v>
      </c>
      <c r="I58" s="574"/>
      <c r="J58" s="574">
        <f>AI36</f>
        <v>2</v>
      </c>
      <c r="K58" s="881" t="e">
        <f t="shared" si="0"/>
        <v>#REF!</v>
      </c>
      <c r="L58" s="872">
        <f>'INV. RATIO(FINAL EXAM)'!AM60</f>
        <v>16.5</v>
      </c>
      <c r="M58" s="713" t="e">
        <f t="shared" si="7"/>
        <v>#REF!</v>
      </c>
      <c r="N58" s="874">
        <v>3.5</v>
      </c>
      <c r="O58" s="875">
        <v>18.7</v>
      </c>
      <c r="P58" s="874">
        <v>3.1911686586985399</v>
      </c>
      <c r="Q58" s="897">
        <v>14.2</v>
      </c>
      <c r="R58" s="892">
        <v>36.1</v>
      </c>
      <c r="S58" s="897">
        <v>12.598250042066301</v>
      </c>
      <c r="T58" s="684">
        <v>1.3</v>
      </c>
      <c r="U58" s="677">
        <v>15.4</v>
      </c>
      <c r="V58" s="684">
        <v>4.9266666666666703</v>
      </c>
      <c r="W58" s="580" t="e">
        <f t="shared" si="2"/>
        <v>#REF!</v>
      </c>
      <c r="X58" s="637" t="str">
        <f t="shared" si="9"/>
        <v>LCK</v>
      </c>
      <c r="Y58" s="690">
        <f t="shared" si="10"/>
        <v>209</v>
      </c>
      <c r="Z58" s="103"/>
      <c r="AA58" s="103"/>
      <c r="AB58" s="103"/>
      <c r="AC58" s="21"/>
      <c r="AD58" s="103"/>
      <c r="AE58" s="103"/>
      <c r="AF58" s="103"/>
      <c r="AG58" s="103"/>
      <c r="AH58" s="103"/>
      <c r="AI58" s="21"/>
      <c r="AJ58" s="21"/>
      <c r="AK58" s="591"/>
      <c r="AL58" s="21"/>
      <c r="AM58" s="21"/>
      <c r="AN58" s="21"/>
      <c r="AO58" s="21"/>
      <c r="AP58" s="21"/>
      <c r="AQ58" s="21"/>
      <c r="AR58" s="21"/>
      <c r="AS58" s="21"/>
      <c r="AT58" s="21"/>
      <c r="AU58" s="21"/>
    </row>
    <row r="59" spans="1:47" ht="15.75" customHeight="1">
      <c r="A59" s="664" t="s">
        <v>138</v>
      </c>
      <c r="B59" s="220">
        <v>210</v>
      </c>
      <c r="C59" s="656" t="e">
        <f>SUMIF(#REF!,B59,#REF!)</f>
        <v>#REF!</v>
      </c>
      <c r="D59" s="234"/>
      <c r="E59" s="657"/>
      <c r="F59" s="655">
        <f ca="1">'SEN INIL'!BV58</f>
        <v>0</v>
      </c>
      <c r="G59" s="203"/>
      <c r="H59" s="203"/>
      <c r="I59" s="103"/>
      <c r="J59" s="103"/>
      <c r="K59" s="881" t="e">
        <f t="shared" si="0"/>
        <v>#REF!</v>
      </c>
      <c r="L59" s="872">
        <f>'INV. RATIO(FINAL EXAM)'!AM61</f>
        <v>24</v>
      </c>
      <c r="M59" s="713" t="e">
        <f t="shared" si="7"/>
        <v>#REF!</v>
      </c>
      <c r="N59" s="874">
        <v>5.25</v>
      </c>
      <c r="O59" s="875">
        <v>21</v>
      </c>
      <c r="P59" s="874">
        <v>3.58366533864542</v>
      </c>
      <c r="Q59" s="897">
        <v>12.4</v>
      </c>
      <c r="R59" s="892">
        <v>33.9</v>
      </c>
      <c r="S59" s="897">
        <v>11.830489651691099</v>
      </c>
      <c r="T59" s="684">
        <v>4.5</v>
      </c>
      <c r="U59" s="677">
        <v>13.6</v>
      </c>
      <c r="V59" s="684">
        <v>4.3508225108225096</v>
      </c>
      <c r="W59" s="580" t="e">
        <f t="shared" si="2"/>
        <v>#REF!</v>
      </c>
      <c r="X59" s="637" t="str">
        <f t="shared" si="9"/>
        <v>CYC</v>
      </c>
      <c r="Y59" s="690">
        <f t="shared" si="10"/>
        <v>210</v>
      </c>
      <c r="Z59" s="103"/>
      <c r="AA59" s="103"/>
      <c r="AB59" s="103"/>
      <c r="AC59" s="21"/>
      <c r="AD59" s="103"/>
      <c r="AE59" s="591"/>
      <c r="AF59" s="103"/>
      <c r="AG59" s="103"/>
      <c r="AH59" s="103"/>
      <c r="AI59" s="21"/>
      <c r="AJ59" s="21"/>
      <c r="AK59" s="591"/>
      <c r="AL59" s="21"/>
      <c r="AM59" s="21"/>
      <c r="AN59" s="21"/>
      <c r="AO59" s="21"/>
      <c r="AP59" s="21"/>
      <c r="AQ59" s="21"/>
      <c r="AR59" s="21"/>
      <c r="AS59" s="21"/>
      <c r="AT59" s="21"/>
      <c r="AU59" s="21"/>
    </row>
    <row r="60" spans="1:47" ht="15.75" customHeight="1">
      <c r="A60" s="10" t="s">
        <v>139</v>
      </c>
      <c r="B60" s="220">
        <v>211</v>
      </c>
      <c r="C60" s="656" t="e">
        <f>SUMIF(#REF!,B60,#REF!)</f>
        <v>#REF!</v>
      </c>
      <c r="D60" s="234"/>
      <c r="E60" s="657"/>
      <c r="F60" s="655">
        <f ca="1">'SEN INIL'!BV59</f>
        <v>12.299999999999999</v>
      </c>
      <c r="G60" s="203"/>
      <c r="H60" s="203"/>
      <c r="I60" s="103"/>
      <c r="J60" s="103"/>
      <c r="K60" s="881" t="e">
        <f t="shared" si="0"/>
        <v>#REF!</v>
      </c>
      <c r="L60" s="872">
        <f>'INV. RATIO(FINAL EXAM)'!AM62</f>
        <v>25.5</v>
      </c>
      <c r="M60" s="713" t="e">
        <f t="shared" si="7"/>
        <v>#REF!</v>
      </c>
      <c r="N60" s="874">
        <v>4.25</v>
      </c>
      <c r="O60" s="875">
        <v>26.3</v>
      </c>
      <c r="P60" s="874">
        <v>4.4881142098273603</v>
      </c>
      <c r="Q60" s="897">
        <v>12.5</v>
      </c>
      <c r="R60" s="892">
        <v>37.9</v>
      </c>
      <c r="S60" s="897">
        <v>13.226417634191501</v>
      </c>
      <c r="T60" s="684">
        <v>5.8</v>
      </c>
      <c r="U60" s="677">
        <v>20.100000000000001</v>
      </c>
      <c r="V60" s="684">
        <v>6.4302597402597401</v>
      </c>
      <c r="W60" s="580" t="e">
        <f t="shared" si="2"/>
        <v>#REF!</v>
      </c>
      <c r="X60" s="637" t="str">
        <f t="shared" si="9"/>
        <v>CPK</v>
      </c>
      <c r="Y60" s="690">
        <f t="shared" si="10"/>
        <v>211</v>
      </c>
      <c r="Z60" s="103"/>
      <c r="AA60" s="103"/>
      <c r="AB60" s="103"/>
      <c r="AC60" s="21"/>
      <c r="AD60" s="103"/>
      <c r="AE60" s="591"/>
      <c r="AF60" s="103"/>
      <c r="AG60" s="103"/>
      <c r="AH60" s="103"/>
      <c r="AI60" s="21"/>
      <c r="AJ60" s="21"/>
      <c r="AK60" s="591"/>
      <c r="AL60" s="21"/>
      <c r="AM60" s="21"/>
      <c r="AN60" s="21"/>
      <c r="AO60" s="21"/>
      <c r="AP60" s="21"/>
      <c r="AQ60" s="21"/>
      <c r="AR60" s="21"/>
      <c r="AS60" s="21"/>
      <c r="AT60" s="21"/>
      <c r="AU60" s="21"/>
    </row>
    <row r="61" spans="1:47" ht="15.75" customHeight="1">
      <c r="A61" s="10" t="s">
        <v>140</v>
      </c>
      <c r="B61" s="220">
        <v>213</v>
      </c>
      <c r="C61" s="656" t="e">
        <f>SUMIF(#REF!,B61,#REF!)</f>
        <v>#REF!</v>
      </c>
      <c r="D61" s="234"/>
      <c r="E61" s="657"/>
      <c r="F61" s="655">
        <f ca="1">'SEN INIL'!BV60</f>
        <v>0</v>
      </c>
      <c r="G61" s="203"/>
      <c r="H61" s="203"/>
      <c r="I61" s="103"/>
      <c r="J61" s="103">
        <f>AI37</f>
        <v>1</v>
      </c>
      <c r="K61" s="881" t="e">
        <f t="shared" si="0"/>
        <v>#REF!</v>
      </c>
      <c r="L61" s="872">
        <f>'INV. RATIO(FINAL EXAM)'!AM63</f>
        <v>13</v>
      </c>
      <c r="M61" s="713" t="e">
        <f t="shared" si="7"/>
        <v>#REF!</v>
      </c>
      <c r="N61" s="874">
        <v>0</v>
      </c>
      <c r="O61" s="875">
        <v>11</v>
      </c>
      <c r="P61" s="874">
        <v>1.8771580345285499</v>
      </c>
      <c r="Q61" s="897">
        <v>15.3</v>
      </c>
      <c r="R61" s="892">
        <v>19</v>
      </c>
      <c r="S61" s="897">
        <v>6.6306579168770003</v>
      </c>
      <c r="T61" s="684">
        <v>11.4</v>
      </c>
      <c r="U61" s="677">
        <v>7</v>
      </c>
      <c r="V61" s="684">
        <v>2.2393939393939402</v>
      </c>
      <c r="W61" s="580" t="e">
        <f t="shared" si="2"/>
        <v>#REF!</v>
      </c>
      <c r="X61" s="637" t="str">
        <f t="shared" si="9"/>
        <v>LZJ</v>
      </c>
      <c r="Y61" s="690">
        <f t="shared" si="10"/>
        <v>213</v>
      </c>
      <c r="Z61" s="103"/>
      <c r="AA61" s="103"/>
      <c r="AB61" s="103"/>
      <c r="AC61" s="21"/>
      <c r="AD61" s="103"/>
      <c r="AE61" s="591"/>
      <c r="AF61" s="103"/>
      <c r="AG61" s="103"/>
      <c r="AH61" s="103"/>
      <c r="AI61" s="21"/>
      <c r="AJ61" s="21"/>
      <c r="AK61" s="591"/>
      <c r="AL61" s="21"/>
      <c r="AM61" s="21"/>
      <c r="AN61" s="21"/>
      <c r="AO61" s="21"/>
      <c r="AP61" s="21"/>
      <c r="AQ61" s="21"/>
      <c r="AR61" s="21"/>
      <c r="AS61" s="21"/>
      <c r="AT61" s="21"/>
      <c r="AU61" s="21"/>
    </row>
    <row r="62" spans="1:47" ht="15.75" customHeight="1">
      <c r="A62" s="10" t="s">
        <v>141</v>
      </c>
      <c r="B62" s="220">
        <v>214</v>
      </c>
      <c r="C62" s="656" t="e">
        <f>SUMIF(#REF!,B62,#REF!)</f>
        <v>#REF!</v>
      </c>
      <c r="D62" s="234"/>
      <c r="E62" s="657"/>
      <c r="F62" s="655">
        <f ca="1">'SEN INIL'!BV61</f>
        <v>2.7333333333333356</v>
      </c>
      <c r="G62" s="203"/>
      <c r="H62" s="203">
        <f>AB51</f>
        <v>3</v>
      </c>
      <c r="I62" s="103"/>
      <c r="J62" s="203">
        <f>AI13</f>
        <v>5.7166666666666703</v>
      </c>
      <c r="K62" s="881" t="e">
        <f t="shared" si="0"/>
        <v>#REF!</v>
      </c>
      <c r="L62" s="872">
        <f>'INV. RATIO(FINAL EXAM)'!AM64</f>
        <v>26.5</v>
      </c>
      <c r="M62" s="713" t="e">
        <f t="shared" si="7"/>
        <v>#REF!</v>
      </c>
      <c r="N62" s="874">
        <v>6</v>
      </c>
      <c r="O62" s="875">
        <v>25.7</v>
      </c>
      <c r="P62" s="874">
        <v>4.3857237715803503</v>
      </c>
      <c r="Q62" s="897">
        <v>14</v>
      </c>
      <c r="R62" s="892">
        <v>53.1</v>
      </c>
      <c r="S62" s="897">
        <v>18.530943967693101</v>
      </c>
      <c r="T62" s="684">
        <v>6.8</v>
      </c>
      <c r="U62" s="677">
        <v>25.9</v>
      </c>
      <c r="V62" s="684">
        <v>8.2857575757575805</v>
      </c>
      <c r="W62" s="580" t="e">
        <f t="shared" si="2"/>
        <v>#REF!</v>
      </c>
      <c r="X62" s="637" t="str">
        <f t="shared" si="9"/>
        <v>CKH</v>
      </c>
      <c r="Y62" s="690">
        <f t="shared" si="10"/>
        <v>214</v>
      </c>
      <c r="Z62" s="103"/>
      <c r="AA62" s="103"/>
      <c r="AB62" s="103"/>
      <c r="AC62" s="21"/>
      <c r="AD62" s="103"/>
      <c r="AE62" s="591"/>
      <c r="AF62" s="103"/>
      <c r="AG62" s="103"/>
      <c r="AH62" s="103"/>
      <c r="AI62" s="21"/>
      <c r="AJ62" s="21"/>
      <c r="AK62" s="591"/>
      <c r="AL62" s="21"/>
      <c r="AM62" s="21"/>
      <c r="AN62" s="21"/>
      <c r="AO62" s="21"/>
      <c r="AP62" s="21"/>
      <c r="AQ62" s="21"/>
      <c r="AR62" s="21"/>
      <c r="AS62" s="21"/>
      <c r="AT62" s="21"/>
      <c r="AU62" s="21"/>
    </row>
    <row r="63" spans="1:47" ht="15.75" customHeight="1">
      <c r="A63" s="10" t="s">
        <v>142</v>
      </c>
      <c r="B63" s="220">
        <v>216</v>
      </c>
      <c r="C63" s="656" t="e">
        <f>SUMIF(#REF!,B63,#REF!)</f>
        <v>#REF!</v>
      </c>
      <c r="D63" s="234"/>
      <c r="E63" s="657"/>
      <c r="F63" s="655">
        <f ca="1">'SEN INIL'!BV62</f>
        <v>0</v>
      </c>
      <c r="G63" s="203"/>
      <c r="H63" s="203"/>
      <c r="I63" s="103"/>
      <c r="J63" s="188">
        <f>AI14</f>
        <v>5.7166666666666703</v>
      </c>
      <c r="K63" s="881" t="e">
        <f t="shared" si="0"/>
        <v>#REF!</v>
      </c>
      <c r="L63" s="872">
        <f>'INV. RATIO(FINAL EXAM)'!AM65</f>
        <v>25</v>
      </c>
      <c r="M63" s="873" t="e">
        <f t="shared" si="7"/>
        <v>#REF!</v>
      </c>
      <c r="N63" s="874">
        <v>4.25</v>
      </c>
      <c r="O63" s="875">
        <v>21</v>
      </c>
      <c r="P63" s="874">
        <v>3.58366533864542</v>
      </c>
      <c r="Q63" s="891">
        <v>12.4</v>
      </c>
      <c r="R63" s="892">
        <v>39.799999999999997</v>
      </c>
      <c r="S63" s="893">
        <v>13.889483425879201</v>
      </c>
      <c r="T63" s="676">
        <v>6.7</v>
      </c>
      <c r="U63" s="677">
        <v>16.8</v>
      </c>
      <c r="V63" s="678">
        <v>5.3745454545454603</v>
      </c>
      <c r="W63" s="580" t="e">
        <f t="shared" si="2"/>
        <v>#REF!</v>
      </c>
      <c r="X63" s="245" t="str">
        <f t="shared" si="9"/>
        <v>Waterlily</v>
      </c>
      <c r="Y63" s="690">
        <f t="shared" si="10"/>
        <v>216</v>
      </c>
      <c r="Z63" s="103"/>
      <c r="AA63" s="103"/>
      <c r="AB63" s="103"/>
      <c r="AC63" s="21"/>
      <c r="AD63" s="103"/>
      <c r="AE63" s="591"/>
      <c r="AF63" s="103"/>
      <c r="AG63" s="103"/>
      <c r="AH63" s="103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</row>
    <row r="64" spans="1:47" ht="15.75" customHeight="1">
      <c r="A64" s="10" t="s">
        <v>143</v>
      </c>
      <c r="B64" s="220">
        <v>217</v>
      </c>
      <c r="C64" s="656" t="e">
        <f>SUMIF(#REF!,B64,#REF!)</f>
        <v>#REF!</v>
      </c>
      <c r="D64" s="234"/>
      <c r="E64" s="657"/>
      <c r="F64" s="655">
        <f ca="1">'SEN INIL'!BV63</f>
        <v>0</v>
      </c>
      <c r="G64" s="203"/>
      <c r="H64" s="203"/>
      <c r="I64" s="103"/>
      <c r="J64" s="513">
        <f>AI38</f>
        <v>1</v>
      </c>
      <c r="K64" s="881" t="e">
        <f t="shared" si="0"/>
        <v>#REF!</v>
      </c>
      <c r="L64" s="872">
        <f>'INV. RATIO(FINAL EXAM)'!AM66</f>
        <v>13</v>
      </c>
      <c r="M64" s="873" t="e">
        <f t="shared" si="7"/>
        <v>#REF!</v>
      </c>
      <c r="N64" s="874">
        <v>4.5833333333333304</v>
      </c>
      <c r="O64" s="875">
        <v>13</v>
      </c>
      <c r="P64" s="874">
        <v>2.2184594953519299</v>
      </c>
      <c r="Q64" s="891">
        <v>4.2</v>
      </c>
      <c r="R64" s="892">
        <v>20</v>
      </c>
      <c r="S64" s="893">
        <v>6.9796399125021003</v>
      </c>
      <c r="T64" s="676">
        <v>0</v>
      </c>
      <c r="U64" s="677">
        <v>9</v>
      </c>
      <c r="V64" s="678">
        <v>2.87922077922078</v>
      </c>
      <c r="W64" s="580" t="e">
        <f t="shared" si="2"/>
        <v>#REF!</v>
      </c>
      <c r="X64" s="245" t="str">
        <f t="shared" si="9"/>
        <v>YSM</v>
      </c>
      <c r="Y64" s="690">
        <f t="shared" si="10"/>
        <v>217</v>
      </c>
      <c r="Z64" s="103"/>
      <c r="AA64" s="103"/>
      <c r="AB64" s="103"/>
      <c r="AC64" s="21"/>
      <c r="AD64" s="103"/>
      <c r="AE64" s="591"/>
      <c r="AF64" s="103"/>
      <c r="AG64" s="103"/>
      <c r="AH64" s="103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</row>
    <row r="65" spans="1:47" ht="15.75" customHeight="1">
      <c r="A65" s="8" t="s">
        <v>144</v>
      </c>
      <c r="B65" s="222">
        <v>218</v>
      </c>
      <c r="C65" s="658" t="e">
        <f>SUMIF(#REF!,B65,#REF!)</f>
        <v>#REF!</v>
      </c>
      <c r="D65" s="659"/>
      <c r="E65" s="660"/>
      <c r="F65" s="655">
        <f ca="1">'SEN INIL'!BV64</f>
        <v>16.200000000000049</v>
      </c>
      <c r="G65" s="201"/>
      <c r="H65" s="201"/>
      <c r="I65" s="581"/>
      <c r="J65" s="514"/>
      <c r="K65" s="882" t="e">
        <f t="shared" si="0"/>
        <v>#REF!</v>
      </c>
      <c r="L65" s="876">
        <f>'INV. RATIO(FINAL EXAM)'!AM67</f>
        <v>25</v>
      </c>
      <c r="M65" s="877" t="e">
        <f t="shared" si="7"/>
        <v>#REF!</v>
      </c>
      <c r="N65" s="878">
        <v>3.5</v>
      </c>
      <c r="O65" s="879">
        <v>27</v>
      </c>
      <c r="P65" s="878">
        <v>4.6075697211155404</v>
      </c>
      <c r="Q65" s="894">
        <v>12.8</v>
      </c>
      <c r="R65" s="895">
        <v>45.4</v>
      </c>
      <c r="S65" s="896">
        <v>15.8437826013798</v>
      </c>
      <c r="T65" s="680">
        <v>4.8</v>
      </c>
      <c r="U65" s="681">
        <v>24.6</v>
      </c>
      <c r="V65" s="682">
        <v>7.8698701298701303</v>
      </c>
      <c r="W65" s="584" t="e">
        <f t="shared" si="2"/>
        <v>#REF!</v>
      </c>
      <c r="X65" s="266" t="str">
        <f t="shared" si="9"/>
        <v>YKF</v>
      </c>
      <c r="Y65" s="690">
        <f t="shared" si="10"/>
        <v>218</v>
      </c>
      <c r="Z65" s="103"/>
      <c r="AA65" s="103"/>
      <c r="AB65" s="103"/>
      <c r="AC65" s="21"/>
      <c r="AD65" s="103"/>
      <c r="AE65" s="591"/>
      <c r="AF65" s="103"/>
      <c r="AG65" s="103"/>
      <c r="AH65" s="103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</row>
    <row r="66" spans="1:47" ht="15.75" customHeight="1">
      <c r="A66" s="1"/>
      <c r="B66" s="220"/>
      <c r="C66" s="656" t="e">
        <f>SUMIF(#REF!,B66,#REF!)</f>
        <v>#REF!</v>
      </c>
      <c r="D66" s="234"/>
      <c r="E66" s="657"/>
      <c r="F66" s="655">
        <f ca="1">'SEN INIL'!BV65</f>
        <v>0</v>
      </c>
      <c r="G66" s="203"/>
      <c r="H66" s="203"/>
      <c r="I66" s="103"/>
      <c r="J66" s="103" t="s">
        <v>49</v>
      </c>
      <c r="K66" s="899" t="e">
        <f>SUM(K3:K65)</f>
        <v>#REF!</v>
      </c>
      <c r="L66" s="900">
        <f>SUM(L3:L65)</f>
        <v>1359.5</v>
      </c>
      <c r="M66" s="901" t="e">
        <f>SUM(M3:M65)</f>
        <v>#REF!</v>
      </c>
      <c r="N66" s="902">
        <v>235.583333333333</v>
      </c>
      <c r="O66" s="903">
        <v>1380.5</v>
      </c>
      <c r="P66" s="902">
        <v>235.583333333333</v>
      </c>
      <c r="Q66" s="905">
        <v>829.6</v>
      </c>
      <c r="R66" s="906">
        <v>2377.1999999999998</v>
      </c>
      <c r="S66" s="905">
        <v>829.6</v>
      </c>
      <c r="T66" s="686">
        <v>369.5</v>
      </c>
      <c r="U66" s="687">
        <v>1155</v>
      </c>
      <c r="V66" s="686">
        <v>369.5</v>
      </c>
      <c r="W66" s="679" t="e">
        <f>SUM(W3:W65)</f>
        <v>#REF!</v>
      </c>
      <c r="X66" s="245"/>
      <c r="Y66" s="690" t="s">
        <v>145</v>
      </c>
      <c r="Z66" s="103"/>
      <c r="AA66" s="103"/>
      <c r="AB66" s="103"/>
      <c r="AC66" s="21"/>
      <c r="AD66" s="103"/>
      <c r="AE66" s="591"/>
      <c r="AF66" s="103"/>
      <c r="AG66" s="103"/>
      <c r="AH66" s="103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</row>
    <row r="67" spans="1:47" ht="15.75" customHeight="1">
      <c r="A67" s="1"/>
      <c r="B67" s="220"/>
      <c r="C67" s="656" t="e">
        <f>SUMIF(#REF!,B67,#REF!)</f>
        <v>#REF!</v>
      </c>
      <c r="D67" s="234"/>
      <c r="E67" s="657"/>
      <c r="F67" s="655">
        <f ca="1">'SEN INIL'!BV66</f>
        <v>0</v>
      </c>
      <c r="G67" s="203"/>
      <c r="H67" s="203"/>
      <c r="I67" s="103"/>
      <c r="J67" s="103"/>
      <c r="K67" s="904"/>
      <c r="L67" s="194"/>
      <c r="M67" s="194"/>
      <c r="N67" s="194"/>
      <c r="O67" s="194"/>
      <c r="P67" s="194"/>
      <c r="Q67" s="194"/>
      <c r="R67" s="194"/>
      <c r="S67" s="194"/>
      <c r="T67" s="194"/>
      <c r="U67" s="194"/>
      <c r="V67" s="194"/>
      <c r="W67" s="911" t="s">
        <v>146</v>
      </c>
      <c r="X67" s="266">
        <f t="shared" ref="X67:X78" si="11">A67</f>
        <v>0</v>
      </c>
      <c r="Y67" s="690">
        <f t="shared" ref="Y67:Y78" si="12">B67</f>
        <v>0</v>
      </c>
      <c r="Z67" s="103"/>
      <c r="AA67" s="103"/>
      <c r="AB67" s="103"/>
      <c r="AC67" s="21"/>
      <c r="AD67" s="103"/>
      <c r="AE67" s="591"/>
      <c r="AF67" s="103"/>
      <c r="AG67" s="103"/>
      <c r="AH67" s="103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</row>
    <row r="68" spans="1:47" ht="15.75" customHeight="1">
      <c r="A68" s="21"/>
      <c r="B68" s="220" t="s">
        <v>147</v>
      </c>
      <c r="C68" s="656" t="e">
        <f>SUMIF(#REF!,B68,#REF!)</f>
        <v>#REF!</v>
      </c>
      <c r="D68" s="234"/>
      <c r="E68" s="657"/>
      <c r="F68" s="655">
        <f ca="1">'SEN INIL'!BV67</f>
        <v>8.2999999999999918</v>
      </c>
      <c r="G68" s="203"/>
      <c r="H68" s="203"/>
      <c r="I68" s="103"/>
      <c r="J68" s="103"/>
      <c r="K68" s="882" t="e">
        <f t="shared" ref="K68:K78" si="13">SUM(C68:J68)</f>
        <v>#REF!</v>
      </c>
      <c r="L68" s="629"/>
      <c r="M68" s="629"/>
      <c r="N68" s="629"/>
      <c r="O68" s="629"/>
      <c r="P68" s="629"/>
      <c r="Q68" s="629"/>
      <c r="R68" s="629"/>
      <c r="S68" s="629"/>
      <c r="T68" s="629"/>
      <c r="U68" s="629"/>
      <c r="V68" s="629"/>
      <c r="W68" s="632"/>
      <c r="X68" s="252">
        <f t="shared" si="11"/>
        <v>0</v>
      </c>
      <c r="Y68" s="690" t="str">
        <f t="shared" si="12"/>
        <v>TAP</v>
      </c>
      <c r="Z68" s="103"/>
      <c r="AA68" s="103"/>
      <c r="AB68" s="103"/>
      <c r="AC68" s="21"/>
      <c r="AD68" s="103"/>
      <c r="AE68" s="591"/>
      <c r="AF68" s="103"/>
      <c r="AG68" s="103"/>
      <c r="AH68" s="103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</row>
    <row r="69" spans="1:47" ht="15.75" customHeight="1">
      <c r="A69" s="21"/>
      <c r="B69" s="700"/>
      <c r="C69" s="656" t="e">
        <f>SUMIF(#REF!,B69,#REF!)</f>
        <v>#REF!</v>
      </c>
      <c r="D69" s="234"/>
      <c r="E69" s="657"/>
      <c r="F69" s="655">
        <f ca="1">'SEN INIL'!BV68</f>
        <v>0</v>
      </c>
      <c r="G69" s="203"/>
      <c r="H69" s="203"/>
      <c r="I69" s="103"/>
      <c r="J69" s="103"/>
      <c r="K69" s="882" t="e">
        <f t="shared" si="13"/>
        <v>#REF!</v>
      </c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580"/>
      <c r="X69" s="637">
        <f t="shared" si="11"/>
        <v>0</v>
      </c>
      <c r="Y69" s="690">
        <f t="shared" si="12"/>
        <v>0</v>
      </c>
      <c r="Z69" s="103"/>
      <c r="AA69" s="103"/>
      <c r="AB69" s="103"/>
      <c r="AC69" s="21"/>
      <c r="AD69" s="103"/>
      <c r="AE69" s="591"/>
      <c r="AF69" s="103"/>
      <c r="AG69" s="103"/>
      <c r="AH69" s="103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</row>
    <row r="70" spans="1:47" ht="15.75" customHeight="1">
      <c r="A70" s="21"/>
      <c r="B70" s="220" t="s">
        <v>148</v>
      </c>
      <c r="C70" s="656" t="e">
        <f>SUMIF(#REF!,B70,#REF!)</f>
        <v>#REF!</v>
      </c>
      <c r="D70" s="234"/>
      <c r="E70" s="657"/>
      <c r="F70" s="655">
        <f ca="1">'SEN INIL'!BV69</f>
        <v>8.0166666666666231</v>
      </c>
      <c r="G70" s="203"/>
      <c r="H70" s="203"/>
      <c r="I70" s="103"/>
      <c r="J70" s="103"/>
      <c r="K70" s="882" t="e">
        <f t="shared" si="13"/>
        <v>#REF!</v>
      </c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580"/>
      <c r="X70" s="638">
        <f t="shared" si="11"/>
        <v>0</v>
      </c>
      <c r="Y70" s="690" t="str">
        <f t="shared" si="12"/>
        <v>IEC3</v>
      </c>
      <c r="Z70" s="103"/>
      <c r="AA70" s="103"/>
      <c r="AB70" s="103"/>
      <c r="AC70" s="21"/>
      <c r="AD70" s="103"/>
      <c r="AE70" s="591"/>
      <c r="AF70" s="103"/>
      <c r="AG70" s="103"/>
      <c r="AH70" s="103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</row>
    <row r="71" spans="1:47" ht="15.75" customHeight="1">
      <c r="A71" s="21"/>
      <c r="B71" s="220" t="s">
        <v>50</v>
      </c>
      <c r="C71" s="656" t="e">
        <f>SUMIF(#REF!,B71,#REF!)</f>
        <v>#REF!</v>
      </c>
      <c r="D71" s="234"/>
      <c r="E71" s="657"/>
      <c r="F71" s="655">
        <f ca="1">'SEN INIL'!BV70</f>
        <v>7.0333333333333181</v>
      </c>
      <c r="G71" s="203"/>
      <c r="H71" s="203"/>
      <c r="I71" s="103"/>
      <c r="J71" s="103"/>
      <c r="K71" s="882" t="e">
        <f t="shared" si="13"/>
        <v>#REF!</v>
      </c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580"/>
      <c r="X71" s="638">
        <f t="shared" si="11"/>
        <v>0</v>
      </c>
      <c r="Y71" s="690" t="str">
        <f t="shared" si="12"/>
        <v>IES2</v>
      </c>
      <c r="Z71" s="103"/>
      <c r="AA71" s="103"/>
      <c r="AB71" s="103"/>
      <c r="AC71" s="21"/>
      <c r="AD71" s="103"/>
      <c r="AE71" s="591"/>
      <c r="AF71" s="103"/>
      <c r="AG71" s="103"/>
      <c r="AH71" s="103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</row>
    <row r="72" spans="1:47" ht="15.75" customHeight="1">
      <c r="A72" s="21"/>
      <c r="B72" s="220" t="s">
        <v>149</v>
      </c>
      <c r="C72" s="656" t="e">
        <f>SUMIF(#REF!,B72,#REF!)</f>
        <v>#REF!</v>
      </c>
      <c r="D72" s="234"/>
      <c r="E72" s="657"/>
      <c r="F72" s="655">
        <f ca="1">'SEN INIL'!BV71</f>
        <v>3.8833333333333675</v>
      </c>
      <c r="G72" s="203"/>
      <c r="H72" s="203"/>
      <c r="I72" s="103"/>
      <c r="J72" s="103"/>
      <c r="K72" s="882" t="e">
        <f t="shared" si="13"/>
        <v>#REF!</v>
      </c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580"/>
      <c r="X72" s="638">
        <f t="shared" si="11"/>
        <v>0</v>
      </c>
      <c r="Y72" s="690" t="str">
        <f t="shared" si="12"/>
        <v>PTC</v>
      </c>
      <c r="Z72" s="103"/>
      <c r="AA72" s="103"/>
      <c r="AB72" s="103"/>
      <c r="AC72" s="21"/>
      <c r="AD72" s="103"/>
      <c r="AE72" s="591"/>
      <c r="AF72" s="103"/>
      <c r="AG72" s="103"/>
      <c r="AH72" s="103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</row>
    <row r="73" spans="1:47" ht="15.75" customHeight="1">
      <c r="A73" s="21"/>
      <c r="B73" s="220"/>
      <c r="C73" s="656" t="e">
        <f>SUMIF(#REF!,B73,#REF!)</f>
        <v>#REF!</v>
      </c>
      <c r="D73" s="234"/>
      <c r="E73" s="657"/>
      <c r="F73" s="655">
        <f ca="1">'SEN INIL'!BV72</f>
        <v>0</v>
      </c>
      <c r="G73" s="203"/>
      <c r="H73" s="203"/>
      <c r="I73" s="103"/>
      <c r="J73" s="103"/>
      <c r="K73" s="882" t="e">
        <f t="shared" si="13"/>
        <v>#REF!</v>
      </c>
      <c r="L73" s="194"/>
      <c r="M73" s="194"/>
      <c r="N73" s="194"/>
      <c r="O73" s="194"/>
      <c r="P73" s="194"/>
      <c r="Q73" s="194"/>
      <c r="R73" s="194"/>
      <c r="S73" s="194"/>
      <c r="T73" s="194"/>
      <c r="U73" s="194"/>
      <c r="V73" s="194"/>
      <c r="W73" s="584"/>
      <c r="X73" s="639">
        <f t="shared" si="11"/>
        <v>0</v>
      </c>
      <c r="Y73" s="690">
        <f t="shared" si="12"/>
        <v>0</v>
      </c>
      <c r="Z73" s="103"/>
      <c r="AA73" s="103"/>
      <c r="AB73" s="103"/>
      <c r="AC73" s="21"/>
      <c r="AD73" s="103"/>
      <c r="AE73" s="591"/>
      <c r="AF73" s="103"/>
      <c r="AG73" s="103"/>
      <c r="AH73" s="103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</row>
    <row r="74" spans="1:47" ht="15.75" customHeight="1">
      <c r="A74" s="21" t="s">
        <v>150</v>
      </c>
      <c r="B74" s="220">
        <v>88</v>
      </c>
      <c r="C74" s="656" t="e">
        <f>SUMIF(#REF!,B74,#REF!)</f>
        <v>#REF!</v>
      </c>
      <c r="D74" s="234"/>
      <c r="E74" s="657"/>
      <c r="F74" s="655">
        <f ca="1">'SEN INIL'!BV73</f>
        <v>3</v>
      </c>
      <c r="G74" s="203"/>
      <c r="H74" s="203"/>
      <c r="I74" s="103"/>
      <c r="J74" s="103"/>
      <c r="K74" s="882" t="e">
        <f t="shared" si="13"/>
        <v>#REF!</v>
      </c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231"/>
      <c r="X74" s="640" t="str">
        <f t="shared" si="11"/>
        <v>Lun</v>
      </c>
      <c r="Y74" s="690">
        <f t="shared" si="12"/>
        <v>88</v>
      </c>
      <c r="Z74" s="103"/>
      <c r="AA74" s="103"/>
      <c r="AB74" s="103"/>
      <c r="AC74" s="21"/>
      <c r="AD74" s="103"/>
      <c r="AE74" s="591"/>
      <c r="AF74" s="103"/>
      <c r="AG74" s="103"/>
      <c r="AH74" s="103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</row>
    <row r="75" spans="1:47" ht="15.75" customHeight="1">
      <c r="A75" s="21" t="s">
        <v>151</v>
      </c>
      <c r="B75" s="220">
        <v>154</v>
      </c>
      <c r="C75" s="656" t="e">
        <f>SUMIF(#REF!,B75,#REF!)</f>
        <v>#REF!</v>
      </c>
      <c r="D75" s="234"/>
      <c r="E75" s="657"/>
      <c r="F75" s="655">
        <f ca="1">'SEN INIL'!BV74</f>
        <v>3</v>
      </c>
      <c r="G75" s="203"/>
      <c r="H75" s="203"/>
      <c r="I75" s="103"/>
      <c r="J75" s="103"/>
      <c r="K75" s="882" t="e">
        <f t="shared" si="13"/>
        <v>#REF!</v>
      </c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231"/>
      <c r="X75" s="637" t="str">
        <f t="shared" si="11"/>
        <v>Ann</v>
      </c>
      <c r="Y75" s="690">
        <f t="shared" si="12"/>
        <v>154</v>
      </c>
      <c r="Z75" s="103"/>
      <c r="AA75" s="103"/>
      <c r="AB75" s="103"/>
      <c r="AC75" s="21"/>
      <c r="AD75" s="103"/>
      <c r="AE75" s="591"/>
      <c r="AF75" s="103"/>
      <c r="AG75" s="103"/>
      <c r="AH75" s="103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</row>
    <row r="76" spans="1:47" ht="15.75" customHeight="1">
      <c r="A76" s="21" t="s">
        <v>152</v>
      </c>
      <c r="B76" s="220">
        <v>220</v>
      </c>
      <c r="C76" s="656" t="e">
        <f>SUMIF(#REF!,B76,#REF!)</f>
        <v>#REF!</v>
      </c>
      <c r="D76" s="234"/>
      <c r="E76" s="657"/>
      <c r="F76" s="655">
        <f ca="1">'SEN INIL'!BV75</f>
        <v>0</v>
      </c>
      <c r="G76" s="203"/>
      <c r="H76" s="203"/>
      <c r="I76" s="103"/>
      <c r="J76" s="103"/>
      <c r="K76" s="882" t="e">
        <f t="shared" si="13"/>
        <v>#REF!</v>
      </c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231"/>
      <c r="X76" s="637" t="str">
        <f t="shared" si="11"/>
        <v>William</v>
      </c>
      <c r="Y76" s="690">
        <f t="shared" si="12"/>
        <v>220</v>
      </c>
      <c r="Z76" s="103"/>
      <c r="AA76" s="103"/>
      <c r="AB76" s="103"/>
      <c r="AC76" s="21"/>
      <c r="AD76" s="103"/>
      <c r="AE76" s="103"/>
      <c r="AF76" s="103"/>
      <c r="AG76" s="103"/>
      <c r="AH76" s="103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</row>
    <row r="77" spans="1:47" ht="15.75" customHeight="1">
      <c r="A77" s="21" t="s">
        <v>153</v>
      </c>
      <c r="B77" s="220">
        <v>221</v>
      </c>
      <c r="C77" s="656" t="e">
        <f>SUMIF(#REF!,B77,#REF!)</f>
        <v>#REF!</v>
      </c>
      <c r="D77" s="234"/>
      <c r="E77" s="657"/>
      <c r="F77" s="655">
        <f ca="1">'SEN INIL'!BV76</f>
        <v>0</v>
      </c>
      <c r="G77" s="203"/>
      <c r="H77" s="203"/>
      <c r="I77" s="103"/>
      <c r="J77" s="103"/>
      <c r="K77" s="882" t="e">
        <f t="shared" si="13"/>
        <v>#REF!</v>
      </c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231"/>
      <c r="X77" s="637" t="str">
        <f t="shared" si="11"/>
        <v>Joslyn</v>
      </c>
      <c r="Y77" s="690">
        <f t="shared" si="12"/>
        <v>221</v>
      </c>
      <c r="Z77" s="103"/>
      <c r="AA77" s="103"/>
      <c r="AB77" s="103"/>
      <c r="AC77" s="21"/>
      <c r="AD77" s="103"/>
      <c r="AE77" s="103"/>
      <c r="AF77" s="103"/>
      <c r="AG77" s="103"/>
      <c r="AH77" s="103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</row>
    <row r="78" spans="1:47" ht="15.75" customHeight="1">
      <c r="A78" s="21"/>
      <c r="B78" s="222" t="s">
        <v>90</v>
      </c>
      <c r="C78" s="658" t="e">
        <f>SUMIF(#REF!,B78,#REF!)</f>
        <v>#REF!</v>
      </c>
      <c r="D78" s="234"/>
      <c r="E78" s="657"/>
      <c r="F78" s="655">
        <f>'SEN INIL'!BV77</f>
        <v>0</v>
      </c>
      <c r="G78" s="203"/>
      <c r="H78" s="203"/>
      <c r="I78" s="103"/>
      <c r="J78" s="203">
        <f>AI15</f>
        <v>0</v>
      </c>
      <c r="K78" s="882" t="e">
        <f t="shared" si="13"/>
        <v>#REF!</v>
      </c>
      <c r="L78" s="194"/>
      <c r="M78" s="194"/>
      <c r="N78" s="194"/>
      <c r="O78" s="194"/>
      <c r="P78" s="194"/>
      <c r="Q78" s="194"/>
      <c r="R78" s="194"/>
      <c r="S78" s="194"/>
      <c r="T78" s="194"/>
      <c r="U78" s="194"/>
      <c r="V78" s="194"/>
      <c r="W78" s="232"/>
      <c r="X78" s="639">
        <f t="shared" si="11"/>
        <v>0</v>
      </c>
      <c r="Y78" s="690" t="str">
        <f t="shared" si="12"/>
        <v>S67</v>
      </c>
      <c r="Z78" s="103"/>
      <c r="AA78" s="103"/>
      <c r="AB78" s="103"/>
      <c r="AC78" s="21"/>
      <c r="AD78" s="103"/>
      <c r="AE78" s="103"/>
      <c r="AF78" s="103"/>
      <c r="AG78" s="103"/>
      <c r="AH78" s="103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</row>
    <row r="79" spans="1:47" ht="15.75" customHeight="1">
      <c r="A79" s="702"/>
      <c r="B79" s="703"/>
      <c r="C79" s="704"/>
      <c r="D79" s="704">
        <f>SUM(D3:D78)</f>
        <v>0</v>
      </c>
      <c r="E79" s="228"/>
      <c r="F79" s="704">
        <f ca="1">SUM(F3:F78)</f>
        <v>190.49999999999997</v>
      </c>
      <c r="G79" s="704">
        <f>SUM(G3:G78)</f>
        <v>0</v>
      </c>
      <c r="H79" s="704">
        <f>SUM(H3:H78)</f>
        <v>30</v>
      </c>
      <c r="I79" s="704"/>
      <c r="J79" s="704">
        <f>SUM(J3:J78)</f>
        <v>80.953333333333362</v>
      </c>
      <c r="K79" s="228"/>
      <c r="L79" s="228"/>
      <c r="M79" s="228"/>
      <c r="N79" s="228"/>
      <c r="O79" s="228"/>
      <c r="P79" s="228"/>
      <c r="Q79" s="228"/>
      <c r="R79" s="228"/>
      <c r="S79" s="228"/>
      <c r="T79" s="228"/>
      <c r="U79" s="228"/>
      <c r="V79" s="228"/>
      <c r="W79" s="228"/>
      <c r="X79" s="709"/>
      <c r="Y79" s="711"/>
      <c r="Z79" s="103"/>
      <c r="AA79" s="103"/>
      <c r="AB79" s="103"/>
      <c r="AC79" s="21"/>
      <c r="AD79" s="103"/>
      <c r="AE79" s="103"/>
      <c r="AF79" s="103"/>
      <c r="AG79" s="103"/>
      <c r="AH79" s="103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</row>
    <row r="80" spans="1:47" ht="15.75" customHeight="1">
      <c r="A80" s="21"/>
      <c r="B80" s="705"/>
      <c r="C80" s="706" t="e">
        <f>AVERAGE(#REF!,#REF!,#REF!,#REF!,#REF!,#REF!,#REF!,#REF!,#REF!,#REF!,#REF!,#REF!,#REF!,#REF!,#REF!,#REF!,#REF!,#REF!,#REF!,#REF!,#REF!,#REF!,#REF!,#REF!,#REF!,#REF!,#REF!,#REF!,#REF!,#REF!,#REF!,#REF!,#REF!,#REF!,#REF!)</f>
        <v>#REF!</v>
      </c>
      <c r="D80" s="706"/>
      <c r="E80" s="707" t="s">
        <v>154</v>
      </c>
      <c r="F80" s="708"/>
      <c r="G80" s="708"/>
      <c r="H80" s="708"/>
      <c r="I80" s="708"/>
      <c r="J80" s="708"/>
      <c r="K80" s="708"/>
      <c r="L80" s="708"/>
      <c r="M80" s="708"/>
      <c r="N80" s="708"/>
      <c r="O80" s="708"/>
      <c r="P80" s="708"/>
      <c r="Q80" s="708"/>
      <c r="R80" s="708"/>
      <c r="S80" s="708"/>
      <c r="T80" s="708"/>
      <c r="U80" s="708"/>
      <c r="V80" s="708"/>
      <c r="W80" s="710"/>
      <c r="X80" s="1"/>
      <c r="Y80" s="592"/>
      <c r="Z80" s="103"/>
      <c r="AA80" s="103"/>
      <c r="AB80" s="103"/>
      <c r="AC80" s="103"/>
      <c r="AD80" s="103"/>
      <c r="AE80" s="103"/>
      <c r="AF80" s="103"/>
      <c r="AG80" s="103"/>
      <c r="AH80" s="103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</row>
    <row r="81" spans="1:47" ht="15.75" customHeight="1">
      <c r="A81" s="21"/>
      <c r="B81" s="21"/>
      <c r="C81" s="1"/>
      <c r="D81" s="1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"/>
      <c r="Y81" s="592"/>
      <c r="Z81" s="103"/>
      <c r="AA81" s="103"/>
      <c r="AB81" s="592"/>
      <c r="AC81" s="103"/>
      <c r="AD81" s="103"/>
      <c r="AE81" s="103"/>
      <c r="AF81" s="103"/>
      <c r="AG81" s="103"/>
      <c r="AH81" s="103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</row>
    <row r="82" spans="1:47" ht="15.75" customHeight="1">
      <c r="A82" s="21"/>
      <c r="B82" s="617"/>
      <c r="C82" s="1"/>
      <c r="D82" s="1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"/>
      <c r="Y82" s="592"/>
      <c r="Z82" s="103"/>
      <c r="AA82" s="103"/>
      <c r="AB82" s="103"/>
      <c r="AC82" s="103"/>
      <c r="AD82" s="103"/>
      <c r="AE82" s="103"/>
      <c r="AF82" s="103"/>
      <c r="AG82" s="103"/>
      <c r="AH82" s="103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</row>
    <row r="83" spans="1:47" ht="15.75" customHeight="1">
      <c r="A83" s="21"/>
      <c r="B83" s="21"/>
      <c r="C83" s="1"/>
      <c r="D83" s="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1"/>
      <c r="Y83" s="592"/>
      <c r="Z83" s="103"/>
      <c r="AA83" s="103"/>
      <c r="AB83" s="103"/>
      <c r="AC83" s="103"/>
      <c r="AD83" s="103"/>
      <c r="AE83" s="103"/>
      <c r="AF83" s="103"/>
      <c r="AG83" s="103"/>
      <c r="AH83" s="103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</row>
    <row r="84" spans="1:47" ht="15.75" customHeight="1">
      <c r="A84" s="21"/>
      <c r="B84" s="21"/>
      <c r="C84" s="1"/>
      <c r="D84" s="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1"/>
      <c r="Y84" s="591"/>
      <c r="Z84" s="103"/>
      <c r="AA84" s="103"/>
      <c r="AB84" s="103"/>
      <c r="AC84" s="103"/>
      <c r="AD84" s="103"/>
      <c r="AE84" s="103"/>
      <c r="AF84" s="103"/>
      <c r="AG84" s="103"/>
      <c r="AH84" s="103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</row>
    <row r="85" spans="1:47" ht="15.75" customHeight="1">
      <c r="A85" s="239"/>
      <c r="B85" s="21"/>
      <c r="C85" s="1"/>
      <c r="D85" s="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1"/>
      <c r="Y85" s="591"/>
      <c r="Z85" s="103"/>
      <c r="AA85" s="103"/>
      <c r="AB85" s="103"/>
      <c r="AC85" s="103"/>
      <c r="AD85" s="103"/>
      <c r="AE85" s="103"/>
      <c r="AF85" s="103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</row>
    <row r="86" spans="1:47" ht="15.75" customHeight="1">
      <c r="A86" s="21"/>
      <c r="B86" s="21"/>
      <c r="C86" s="1"/>
      <c r="D86" s="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1"/>
      <c r="Y86" s="591"/>
      <c r="Z86" s="103"/>
      <c r="AA86" s="103"/>
      <c r="AB86" s="103"/>
      <c r="AC86" s="103"/>
      <c r="AD86" s="103"/>
      <c r="AE86" s="103"/>
      <c r="AF86" s="103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</row>
    <row r="87" spans="1:47" ht="15.75" customHeight="1">
      <c r="A87" s="21"/>
      <c r="B87" s="21"/>
      <c r="C87" s="1"/>
      <c r="D87" s="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1"/>
      <c r="Y87" s="591"/>
      <c r="Z87" s="103"/>
      <c r="AA87" s="103"/>
      <c r="AB87" s="103"/>
      <c r="AC87" s="103"/>
      <c r="AD87" s="103"/>
      <c r="AE87" s="103"/>
      <c r="AF87" s="103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</row>
    <row r="88" spans="1:47" ht="15.75" customHeight="1">
      <c r="A88" s="21"/>
      <c r="B88" s="21"/>
      <c r="C88" s="1"/>
      <c r="D88" s="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1"/>
      <c r="Y88" s="591"/>
      <c r="Z88" s="103"/>
      <c r="AA88" s="103"/>
      <c r="AB88" s="103"/>
      <c r="AC88" s="103"/>
      <c r="AD88" s="103"/>
      <c r="AE88" s="103"/>
      <c r="AF88" s="103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</row>
    <row r="89" spans="1:47" ht="15.75" customHeight="1">
      <c r="A89" s="21"/>
      <c r="B89" s="21"/>
      <c r="C89" s="1"/>
      <c r="D89" s="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1"/>
      <c r="Y89" s="591"/>
      <c r="Z89" s="103"/>
      <c r="AA89" s="103"/>
      <c r="AB89" s="103"/>
      <c r="AC89" s="103"/>
      <c r="AD89" s="103"/>
      <c r="AE89" s="103"/>
      <c r="AF89" s="103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</row>
    <row r="90" spans="1:47" ht="15.75" customHeight="1">
      <c r="A90" s="21"/>
      <c r="B90" s="21"/>
      <c r="C90" s="1"/>
      <c r="D90" s="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1"/>
      <c r="Y90" s="591"/>
      <c r="Z90" s="103"/>
      <c r="AA90" s="103"/>
      <c r="AB90" s="103"/>
      <c r="AC90" s="103"/>
      <c r="AD90" s="103"/>
      <c r="AE90" s="103"/>
      <c r="AF90" s="103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</row>
    <row r="91" spans="1:47" ht="15.75" customHeight="1">
      <c r="A91" s="21"/>
      <c r="B91" s="21"/>
      <c r="C91" s="1"/>
      <c r="D91" s="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1"/>
      <c r="Y91" s="591"/>
      <c r="Z91" s="103"/>
      <c r="AA91" s="103"/>
      <c r="AB91" s="103"/>
      <c r="AC91" s="103"/>
      <c r="AD91" s="103"/>
      <c r="AE91" s="103"/>
      <c r="AF91" s="103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</row>
    <row r="92" spans="1:47" ht="15.75" customHeight="1">
      <c r="A92" s="21"/>
      <c r="B92" s="21"/>
      <c r="C92" s="1"/>
      <c r="D92" s="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1"/>
      <c r="Y92" s="591"/>
      <c r="Z92" s="103"/>
      <c r="AA92" s="103"/>
      <c r="AB92" s="103"/>
      <c r="AC92" s="103"/>
      <c r="AD92" s="103"/>
      <c r="AE92" s="103"/>
      <c r="AF92" s="103"/>
      <c r="AG92" s="103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</row>
    <row r="93" spans="1:47" ht="15.75" customHeight="1">
      <c r="A93" s="21"/>
      <c r="B93" s="21"/>
      <c r="C93" s="1"/>
      <c r="D93" s="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1"/>
      <c r="Y93" s="591"/>
      <c r="Z93" s="103"/>
      <c r="AA93" s="103"/>
      <c r="AB93" s="103"/>
      <c r="AC93" s="103"/>
      <c r="AD93" s="103"/>
      <c r="AE93" s="103"/>
      <c r="AF93" s="103"/>
      <c r="AG93" s="103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</row>
    <row r="94" spans="1:47" ht="15.75" customHeight="1">
      <c r="A94" s="21"/>
      <c r="B94" s="21"/>
      <c r="C94" s="1"/>
      <c r="D94" s="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1"/>
      <c r="Y94" s="591"/>
      <c r="Z94" s="103"/>
      <c r="AA94" s="103"/>
      <c r="AB94" s="103"/>
      <c r="AC94" s="103"/>
      <c r="AD94" s="103"/>
      <c r="AE94" s="103"/>
      <c r="AF94" s="103"/>
      <c r="AG94" s="103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</row>
    <row r="95" spans="1:47" ht="15.75" customHeight="1">
      <c r="A95" s="21"/>
      <c r="B95" s="21"/>
      <c r="C95" s="1"/>
      <c r="D95" s="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1"/>
      <c r="Y95" s="591"/>
      <c r="Z95" s="103"/>
      <c r="AA95" s="103"/>
      <c r="AB95" s="103"/>
      <c r="AC95" s="103"/>
      <c r="AD95" s="103"/>
      <c r="AE95" s="103"/>
      <c r="AF95" s="103"/>
      <c r="AG95" s="103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</row>
    <row r="96" spans="1:47" ht="15.75" customHeight="1">
      <c r="A96" s="21"/>
      <c r="B96" s="21"/>
      <c r="C96" s="1"/>
      <c r="D96" s="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1"/>
      <c r="Y96" s="591"/>
      <c r="Z96" s="103"/>
      <c r="AA96" s="103"/>
      <c r="AB96" s="103"/>
      <c r="AC96" s="103"/>
      <c r="AD96" s="103"/>
      <c r="AE96" s="103"/>
      <c r="AF96" s="103"/>
      <c r="AG96" s="103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</row>
    <row r="97" spans="1:47" ht="15.75" customHeight="1">
      <c r="A97" s="21"/>
      <c r="B97" s="21"/>
      <c r="C97" s="1"/>
      <c r="D97" s="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1"/>
      <c r="Y97" s="591"/>
      <c r="Z97" s="103"/>
      <c r="AA97" s="103"/>
      <c r="AB97" s="103"/>
      <c r="AC97" s="103"/>
      <c r="AD97" s="103"/>
      <c r="AE97" s="103"/>
      <c r="AF97" s="103"/>
      <c r="AG97" s="103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</row>
    <row r="98" spans="1:47" ht="15.75" customHeight="1">
      <c r="A98" s="21"/>
      <c r="B98" s="21"/>
      <c r="C98" s="1"/>
      <c r="D98" s="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1"/>
      <c r="Y98" s="591"/>
      <c r="Z98" s="103"/>
      <c r="AA98" s="103"/>
      <c r="AB98" s="103"/>
      <c r="AC98" s="103"/>
      <c r="AD98" s="103"/>
      <c r="AE98" s="103"/>
      <c r="AF98" s="103"/>
      <c r="AG98" s="103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</row>
    <row r="99" spans="1:47" ht="15.75" customHeight="1">
      <c r="A99" s="21"/>
      <c r="B99" s="21"/>
      <c r="C99" s="1"/>
      <c r="D99" s="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1"/>
      <c r="Y99" s="591"/>
      <c r="Z99" s="103"/>
      <c r="AA99" s="103"/>
      <c r="AB99" s="103"/>
      <c r="AC99" s="103"/>
      <c r="AD99" s="103"/>
      <c r="AE99" s="103"/>
      <c r="AF99" s="103"/>
      <c r="AG99" s="103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</row>
    <row r="100" spans="1:47" ht="15.75" customHeight="1">
      <c r="A100" s="21"/>
      <c r="B100" s="21"/>
      <c r="C100" s="1"/>
      <c r="D100" s="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1"/>
      <c r="Y100" s="591"/>
      <c r="Z100" s="103"/>
      <c r="AA100" s="103"/>
      <c r="AB100" s="103"/>
      <c r="AC100" s="103"/>
      <c r="AD100" s="103"/>
      <c r="AE100" s="103"/>
      <c r="AF100" s="103"/>
      <c r="AG100" s="103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</row>
    <row r="101" spans="1:47" ht="15.75" customHeight="1">
      <c r="A101" s="21"/>
      <c r="B101" s="21"/>
      <c r="C101" s="1"/>
      <c r="D101" s="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1"/>
      <c r="Y101" s="591"/>
      <c r="Z101" s="103"/>
      <c r="AA101" s="103"/>
      <c r="AB101" s="103"/>
      <c r="AC101" s="103"/>
      <c r="AD101" s="103"/>
      <c r="AE101" s="103"/>
      <c r="AF101" s="103"/>
      <c r="AG101" s="103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</row>
    <row r="102" spans="1:47" ht="15.75" customHeight="1">
      <c r="A102" s="21"/>
      <c r="B102" s="21"/>
      <c r="C102" s="1"/>
      <c r="D102" s="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1"/>
      <c r="Y102" s="591"/>
      <c r="Z102" s="103"/>
      <c r="AA102" s="103"/>
      <c r="AB102" s="103"/>
      <c r="AC102" s="103"/>
      <c r="AD102" s="103"/>
      <c r="AE102" s="103"/>
      <c r="AF102" s="103"/>
      <c r="AG102" s="103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</row>
    <row r="103" spans="1:47" ht="15.75" customHeight="1">
      <c r="A103" s="21"/>
      <c r="B103" s="21"/>
      <c r="C103" s="1"/>
      <c r="D103" s="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1"/>
      <c r="Y103" s="591"/>
      <c r="Z103" s="103"/>
      <c r="AA103" s="103"/>
      <c r="AB103" s="103"/>
      <c r="AC103" s="103"/>
      <c r="AD103" s="103"/>
      <c r="AE103" s="103"/>
      <c r="AF103" s="103"/>
      <c r="AG103" s="103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</row>
    <row r="104" spans="1:47" ht="15.75" customHeight="1">
      <c r="A104" s="21"/>
      <c r="B104" s="21"/>
      <c r="C104" s="1"/>
      <c r="D104" s="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1"/>
      <c r="Y104" s="591"/>
      <c r="Z104" s="103"/>
      <c r="AA104" s="103"/>
      <c r="AB104" s="103"/>
      <c r="AC104" s="103"/>
      <c r="AD104" s="103"/>
      <c r="AE104" s="103"/>
      <c r="AF104" s="103"/>
      <c r="AG104" s="103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</row>
    <row r="105" spans="1:47" ht="15.75" customHeight="1">
      <c r="A105" s="21"/>
      <c r="B105" s="21"/>
      <c r="C105" s="1"/>
      <c r="D105" s="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1"/>
      <c r="Y105" s="591"/>
      <c r="Z105" s="103"/>
      <c r="AA105" s="103"/>
      <c r="AB105" s="103"/>
      <c r="AC105" s="103"/>
      <c r="AD105" s="103"/>
      <c r="AE105" s="103"/>
      <c r="AF105" s="103"/>
      <c r="AG105" s="103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</row>
    <row r="106" spans="1:47" ht="15.75" customHeight="1">
      <c r="A106" s="21"/>
      <c r="B106" s="21"/>
      <c r="C106" s="1"/>
      <c r="D106" s="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1"/>
      <c r="Y106" s="591"/>
      <c r="Z106" s="21"/>
      <c r="AA106" s="103"/>
      <c r="AB106" s="103"/>
      <c r="AC106" s="103"/>
      <c r="AD106" s="103"/>
      <c r="AE106" s="103"/>
      <c r="AF106" s="103"/>
      <c r="AG106" s="103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</row>
    <row r="107" spans="1:47" ht="15.75" customHeight="1">
      <c r="A107" s="21"/>
      <c r="B107" s="21"/>
      <c r="C107" s="1"/>
      <c r="D107" s="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1"/>
      <c r="Y107" s="591"/>
      <c r="Z107" s="21"/>
      <c r="AA107" s="103"/>
      <c r="AB107" s="103"/>
      <c r="AC107" s="103"/>
      <c r="AD107" s="103"/>
      <c r="AE107" s="103"/>
      <c r="AF107" s="103"/>
      <c r="AG107" s="103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</row>
    <row r="108" spans="1:47" ht="15.75" customHeight="1">
      <c r="A108" s="21"/>
      <c r="B108" s="21"/>
      <c r="C108" s="1"/>
      <c r="D108" s="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1"/>
      <c r="Y108" s="591"/>
      <c r="Z108" s="21"/>
      <c r="AA108" s="103"/>
      <c r="AB108" s="103"/>
      <c r="AC108" s="103"/>
      <c r="AD108" s="103"/>
      <c r="AE108" s="103"/>
      <c r="AF108" s="103"/>
      <c r="AG108" s="103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</row>
    <row r="109" spans="1:47" ht="15.75" customHeight="1">
      <c r="A109" s="21"/>
      <c r="B109" s="21"/>
      <c r="C109" s="1"/>
      <c r="D109" s="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1"/>
      <c r="Y109" s="591"/>
      <c r="Z109" s="21"/>
      <c r="AA109" s="21"/>
      <c r="AB109" s="103"/>
      <c r="AC109" s="103"/>
      <c r="AD109" s="103"/>
      <c r="AE109" s="103"/>
      <c r="AF109" s="103"/>
      <c r="AG109" s="103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</row>
    <row r="110" spans="1:47" ht="15.75" customHeight="1">
      <c r="A110" s="21"/>
      <c r="B110" s="21"/>
      <c r="C110" s="1"/>
      <c r="D110" s="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1"/>
      <c r="Y110" s="591"/>
      <c r="Z110" s="21"/>
      <c r="AA110" s="21"/>
      <c r="AB110" s="103"/>
      <c r="AC110" s="103"/>
      <c r="AD110" s="103"/>
      <c r="AE110" s="103"/>
      <c r="AF110" s="103"/>
      <c r="AG110" s="103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</row>
    <row r="111" spans="1:47" ht="15.75" customHeight="1">
      <c r="A111" s="21"/>
      <c r="B111" s="21"/>
      <c r="C111" s="1"/>
      <c r="D111" s="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1"/>
      <c r="Y111" s="591"/>
      <c r="Z111" s="21"/>
      <c r="AA111" s="21"/>
      <c r="AB111" s="103"/>
      <c r="AC111" s="102"/>
      <c r="AD111" s="21"/>
      <c r="AE111" s="21"/>
      <c r="AF111" s="1"/>
      <c r="AG111" s="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</row>
    <row r="112" spans="1:47" ht="15.75" customHeight="1">
      <c r="A112" s="21"/>
      <c r="B112" s="21"/>
      <c r="C112" s="1"/>
      <c r="D112" s="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1"/>
      <c r="Y112" s="591"/>
      <c r="Z112" s="21"/>
      <c r="AA112" s="21"/>
      <c r="AB112" s="103"/>
      <c r="AC112" s="103"/>
      <c r="AD112" s="103"/>
      <c r="AE112" s="103"/>
      <c r="AF112" s="1"/>
      <c r="AG112" s="1"/>
      <c r="AH112" s="21"/>
      <c r="AI112" s="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</row>
    <row r="113" spans="1:47" ht="15.75" customHeight="1">
      <c r="A113" s="21"/>
      <c r="B113" s="21"/>
      <c r="C113" s="1"/>
      <c r="D113" s="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1"/>
      <c r="Y113" s="591"/>
      <c r="Z113" s="21"/>
      <c r="AA113" s="21"/>
      <c r="AB113" s="103"/>
      <c r="AC113" s="21"/>
      <c r="AD113" s="21"/>
      <c r="AE113" s="21"/>
      <c r="AF113" s="1"/>
      <c r="AG113" s="1"/>
      <c r="AH113" s="1"/>
      <c r="AI113" s="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</row>
    <row r="114" spans="1:47" ht="15.75" customHeight="1">
      <c r="A114" s="21"/>
      <c r="B114" s="21"/>
      <c r="C114" s="1"/>
      <c r="D114" s="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1"/>
      <c r="Y114" s="591"/>
      <c r="Z114" s="21"/>
      <c r="AA114" s="21"/>
      <c r="AB114" s="103"/>
      <c r="AC114" s="21"/>
      <c r="AD114" s="21"/>
      <c r="AE114" s="21"/>
      <c r="AF114" s="1"/>
      <c r="AG114" s="1"/>
      <c r="AH114" s="1"/>
      <c r="AI114" s="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</row>
    <row r="115" spans="1:47" ht="15.75" customHeight="1">
      <c r="A115" s="21"/>
      <c r="B115" s="21"/>
      <c r="C115" s="1"/>
      <c r="D115" s="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1"/>
      <c r="Y115" s="591"/>
      <c r="Z115" s="21"/>
      <c r="AA115" s="21"/>
      <c r="AB115" s="21"/>
      <c r="AC115" s="21"/>
      <c r="AD115" s="21"/>
      <c r="AE115" s="21"/>
      <c r="AF115" s="1"/>
      <c r="AG115" s="1"/>
      <c r="AH115" s="1"/>
      <c r="AI115" s="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</row>
    <row r="116" spans="1:47" ht="15.75" customHeight="1">
      <c r="A116" s="21"/>
      <c r="B116" s="21"/>
      <c r="C116" s="1"/>
      <c r="D116" s="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1"/>
      <c r="Y116" s="591"/>
      <c r="Z116" s="21"/>
      <c r="AA116" s="21"/>
      <c r="AB116" s="21"/>
      <c r="AC116" s="21"/>
      <c r="AD116" s="21"/>
      <c r="AE116" s="21"/>
      <c r="AF116" s="1"/>
      <c r="AG116" s="1"/>
      <c r="AH116" s="1"/>
      <c r="AI116" s="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</row>
    <row r="117" spans="1:47" ht="15.75" customHeight="1">
      <c r="A117" s="21"/>
      <c r="B117" s="21"/>
      <c r="C117" s="1"/>
      <c r="D117" s="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1"/>
      <c r="Y117" s="591"/>
      <c r="Z117" s="21"/>
      <c r="AA117" s="21"/>
      <c r="AB117" s="21"/>
      <c r="AC117" s="21"/>
      <c r="AD117" s="21"/>
      <c r="AE117" s="21"/>
      <c r="AF117" s="1"/>
      <c r="AG117" s="1"/>
      <c r="AH117" s="1"/>
      <c r="AI117" s="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</row>
    <row r="118" spans="1:47" ht="15.75" customHeight="1">
      <c r="A118" s="21"/>
      <c r="B118" s="21"/>
      <c r="C118" s="1"/>
      <c r="D118" s="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1"/>
      <c r="Y118" s="591"/>
      <c r="Z118" s="21"/>
      <c r="AA118" s="21"/>
      <c r="AB118" s="21"/>
      <c r="AC118" s="21"/>
      <c r="AD118" s="21"/>
      <c r="AE118" s="21"/>
      <c r="AF118" s="1"/>
      <c r="AG118" s="1"/>
      <c r="AH118" s="1"/>
      <c r="AI118" s="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</row>
    <row r="119" spans="1:47" ht="15.75" customHeight="1">
      <c r="A119" s="21"/>
      <c r="B119" s="21"/>
      <c r="C119" s="1"/>
      <c r="D119" s="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1"/>
      <c r="Y119" s="591"/>
      <c r="Z119" s="21"/>
      <c r="AA119" s="21"/>
      <c r="AB119" s="21"/>
      <c r="AC119" s="21"/>
      <c r="AD119" s="21"/>
      <c r="AE119" s="21"/>
      <c r="AF119" s="1"/>
      <c r="AG119" s="1"/>
      <c r="AH119" s="1"/>
      <c r="AI119" s="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</row>
    <row r="120" spans="1:47" ht="15.75" customHeight="1">
      <c r="A120" s="21"/>
      <c r="B120" s="21"/>
      <c r="C120" s="1"/>
      <c r="D120" s="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1"/>
      <c r="Y120" s="591"/>
      <c r="Z120" s="21"/>
      <c r="AA120" s="21"/>
      <c r="AB120" s="21"/>
      <c r="AC120" s="21"/>
      <c r="AD120" s="21"/>
      <c r="AE120" s="21"/>
      <c r="AF120" s="1"/>
      <c r="AG120" s="1"/>
      <c r="AH120" s="1"/>
      <c r="AI120" s="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</row>
    <row r="121" spans="1:47" ht="15.75" customHeight="1">
      <c r="A121" s="21"/>
      <c r="B121" s="21"/>
      <c r="C121" s="1"/>
      <c r="D121" s="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1"/>
      <c r="Y121" s="591"/>
      <c r="Z121" s="21"/>
      <c r="AA121" s="21"/>
      <c r="AB121" s="21"/>
      <c r="AC121" s="21"/>
      <c r="AD121" s="21"/>
      <c r="AE121" s="21"/>
      <c r="AF121" s="1"/>
      <c r="AG121" s="1"/>
      <c r="AH121" s="1"/>
      <c r="AI121" s="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</row>
    <row r="122" spans="1:47" ht="15.75" customHeight="1">
      <c r="A122" s="21"/>
      <c r="B122" s="21"/>
      <c r="C122" s="1"/>
      <c r="D122" s="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1"/>
      <c r="Y122" s="591"/>
      <c r="Z122" s="21"/>
      <c r="AA122" s="21"/>
      <c r="AB122" s="21"/>
      <c r="AC122" s="21"/>
      <c r="AD122" s="21"/>
      <c r="AE122" s="21"/>
      <c r="AF122" s="1"/>
      <c r="AG122" s="1"/>
      <c r="AH122" s="1"/>
      <c r="AI122" s="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</row>
    <row r="123" spans="1:47" ht="15.75" customHeight="1">
      <c r="A123" s="21"/>
      <c r="B123" s="21"/>
      <c r="C123" s="1"/>
      <c r="D123" s="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1"/>
      <c r="Y123" s="591"/>
      <c r="Z123" s="21"/>
      <c r="AA123" s="21"/>
      <c r="AB123" s="21"/>
      <c r="AC123" s="21"/>
      <c r="AD123" s="21"/>
      <c r="AE123" s="21"/>
      <c r="AF123" s="1"/>
      <c r="AG123" s="1"/>
      <c r="AH123" s="1"/>
      <c r="AI123" s="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</row>
    <row r="124" spans="1:47" ht="15.75" customHeight="1">
      <c r="A124" s="21"/>
      <c r="B124" s="21"/>
      <c r="C124" s="1"/>
      <c r="D124" s="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1"/>
      <c r="Y124" s="591"/>
      <c r="Z124" s="21"/>
      <c r="AA124" s="21"/>
      <c r="AB124" s="21"/>
      <c r="AC124" s="21"/>
      <c r="AD124" s="21"/>
      <c r="AE124" s="21"/>
      <c r="AF124" s="1"/>
      <c r="AG124" s="1"/>
      <c r="AH124" s="1"/>
      <c r="AI124" s="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</row>
    <row r="125" spans="1:47" ht="15.75" customHeight="1">
      <c r="A125" s="21"/>
      <c r="B125" s="21"/>
      <c r="C125" s="1"/>
      <c r="D125" s="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1"/>
      <c r="Y125" s="591"/>
      <c r="Z125" s="21"/>
      <c r="AA125" s="21"/>
      <c r="AB125" s="21"/>
      <c r="AC125" s="21"/>
      <c r="AD125" s="21"/>
      <c r="AE125" s="21"/>
      <c r="AF125" s="1"/>
      <c r="AG125" s="1"/>
      <c r="AH125" s="1"/>
      <c r="AI125" s="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</row>
    <row r="126" spans="1:47" ht="15.75" customHeight="1">
      <c r="A126" s="21"/>
      <c r="B126" s="21"/>
      <c r="C126" s="1"/>
      <c r="D126" s="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1"/>
      <c r="Y126" s="591"/>
      <c r="Z126" s="21"/>
      <c r="AA126" s="21"/>
      <c r="AB126" s="21"/>
      <c r="AC126" s="21"/>
      <c r="AD126" s="21"/>
      <c r="AE126" s="21"/>
      <c r="AF126" s="1"/>
      <c r="AG126" s="1"/>
      <c r="AH126" s="1"/>
      <c r="AI126" s="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</row>
    <row r="127" spans="1:47" ht="15.75" customHeight="1">
      <c r="A127" s="21"/>
      <c r="B127" s="21"/>
      <c r="C127" s="1"/>
      <c r="D127" s="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1"/>
      <c r="Y127" s="591"/>
      <c r="Z127" s="21"/>
      <c r="AA127" s="21"/>
      <c r="AB127" s="21"/>
      <c r="AC127" s="21"/>
      <c r="AD127" s="21"/>
      <c r="AE127" s="21"/>
      <c r="AF127" s="1"/>
      <c r="AG127" s="1"/>
      <c r="AH127" s="1"/>
      <c r="AI127" s="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</row>
    <row r="128" spans="1:47" ht="15.75" customHeight="1">
      <c r="A128" s="21"/>
      <c r="B128" s="21"/>
      <c r="C128" s="1"/>
      <c r="D128" s="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1"/>
      <c r="Y128" s="591"/>
      <c r="Z128" s="21"/>
      <c r="AA128" s="21"/>
      <c r="AB128" s="21"/>
      <c r="AC128" s="21"/>
      <c r="AD128" s="21"/>
      <c r="AE128" s="21"/>
      <c r="AF128" s="1"/>
      <c r="AG128" s="1"/>
      <c r="AH128" s="1"/>
      <c r="AI128" s="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</row>
    <row r="129" spans="1:47" ht="15.75" customHeight="1">
      <c r="A129" s="21"/>
      <c r="B129" s="21"/>
      <c r="C129" s="1"/>
      <c r="D129" s="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1"/>
      <c r="Y129" s="591"/>
      <c r="Z129" s="21"/>
      <c r="AA129" s="21"/>
      <c r="AB129" s="21"/>
      <c r="AC129" s="21"/>
      <c r="AD129" s="21"/>
      <c r="AE129" s="21"/>
      <c r="AF129" s="1"/>
      <c r="AG129" s="1"/>
      <c r="AH129" s="1"/>
      <c r="AI129" s="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</row>
    <row r="130" spans="1:47" ht="15.75" customHeight="1">
      <c r="A130" s="21"/>
      <c r="B130" s="21"/>
      <c r="C130" s="1"/>
      <c r="D130" s="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1"/>
      <c r="Y130" s="591"/>
      <c r="Z130" s="21"/>
      <c r="AA130" s="21"/>
      <c r="AB130" s="21"/>
      <c r="AC130" s="21"/>
      <c r="AD130" s="21"/>
      <c r="AE130" s="21"/>
      <c r="AF130" s="1"/>
      <c r="AG130" s="1"/>
      <c r="AH130" s="1"/>
      <c r="AI130" s="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</row>
    <row r="131" spans="1:47" ht="15.75" customHeight="1">
      <c r="A131" s="21"/>
      <c r="B131" s="21"/>
      <c r="C131" s="1"/>
      <c r="D131" s="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1"/>
      <c r="Y131" s="591"/>
      <c r="Z131" s="21"/>
      <c r="AA131" s="21"/>
      <c r="AB131" s="21"/>
      <c r="AC131" s="21"/>
      <c r="AD131" s="21"/>
      <c r="AE131" s="21"/>
      <c r="AF131" s="1"/>
      <c r="AG131" s="1"/>
      <c r="AH131" s="1"/>
      <c r="AI131" s="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</row>
    <row r="132" spans="1:47" ht="15.75" customHeight="1">
      <c r="A132" s="21"/>
      <c r="B132" s="21"/>
      <c r="C132" s="1"/>
      <c r="D132" s="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1"/>
      <c r="Y132" s="591"/>
      <c r="Z132" s="21"/>
      <c r="AA132" s="21"/>
      <c r="AB132" s="21"/>
      <c r="AC132" s="21"/>
      <c r="AD132" s="21"/>
      <c r="AE132" s="21"/>
      <c r="AF132" s="1"/>
      <c r="AG132" s="1"/>
      <c r="AH132" s="1"/>
      <c r="AI132" s="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</row>
    <row r="133" spans="1:47" ht="15.75" customHeight="1">
      <c r="A133" s="21"/>
      <c r="B133" s="21"/>
      <c r="C133" s="1"/>
      <c r="D133" s="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1"/>
      <c r="Y133" s="591"/>
      <c r="Z133" s="21"/>
      <c r="AA133" s="21"/>
      <c r="AB133" s="21"/>
      <c r="AC133" s="21"/>
      <c r="AD133" s="21"/>
      <c r="AE133" s="21"/>
      <c r="AF133" s="1"/>
      <c r="AG133" s="1"/>
      <c r="AH133" s="1"/>
      <c r="AI133" s="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</row>
    <row r="134" spans="1:47" ht="15.75" customHeight="1">
      <c r="A134" s="21"/>
      <c r="B134" s="21"/>
      <c r="C134" s="1"/>
      <c r="D134" s="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1"/>
      <c r="Y134" s="591"/>
      <c r="Z134" s="21"/>
      <c r="AA134" s="21"/>
      <c r="AB134" s="21"/>
      <c r="AC134" s="21"/>
      <c r="AD134" s="21"/>
      <c r="AE134" s="21"/>
      <c r="AF134" s="1"/>
      <c r="AG134" s="1"/>
      <c r="AH134" s="1"/>
      <c r="AI134" s="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</row>
    <row r="135" spans="1:47" ht="15.75" customHeight="1">
      <c r="A135" s="21"/>
      <c r="B135" s="21"/>
      <c r="C135" s="1"/>
      <c r="D135" s="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1"/>
      <c r="Y135" s="591"/>
      <c r="Z135" s="21"/>
      <c r="AA135" s="21"/>
      <c r="AB135" s="21"/>
      <c r="AC135" s="21"/>
      <c r="AD135" s="21"/>
      <c r="AE135" s="21"/>
      <c r="AF135" s="1"/>
      <c r="AG135" s="1"/>
      <c r="AH135" s="1"/>
      <c r="AI135" s="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</row>
    <row r="136" spans="1:47" ht="15.75" customHeight="1">
      <c r="A136" s="21"/>
      <c r="B136" s="21"/>
      <c r="C136" s="1"/>
      <c r="D136" s="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1"/>
      <c r="Y136" s="591"/>
      <c r="Z136" s="21"/>
      <c r="AA136" s="21"/>
      <c r="AB136" s="21"/>
      <c r="AC136" s="21"/>
      <c r="AD136" s="21"/>
      <c r="AE136" s="21"/>
      <c r="AF136" s="1"/>
      <c r="AG136" s="1"/>
      <c r="AH136" s="1"/>
      <c r="AI136" s="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</row>
    <row r="137" spans="1:47" ht="15.75" customHeight="1">
      <c r="A137" s="21"/>
      <c r="B137" s="21"/>
      <c r="C137" s="1"/>
      <c r="D137" s="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1"/>
      <c r="Y137" s="591"/>
      <c r="Z137" s="21"/>
      <c r="AA137" s="21"/>
      <c r="AB137" s="21"/>
      <c r="AC137" s="21"/>
      <c r="AD137" s="21"/>
      <c r="AE137" s="21"/>
      <c r="AF137" s="1"/>
      <c r="AG137" s="1"/>
      <c r="AH137" s="1"/>
      <c r="AI137" s="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</row>
    <row r="138" spans="1:47" ht="15.75" customHeight="1">
      <c r="A138" s="21"/>
      <c r="B138" s="21"/>
      <c r="C138" s="1"/>
      <c r="D138" s="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1"/>
      <c r="Y138" s="591"/>
      <c r="Z138" s="21"/>
      <c r="AA138" s="21"/>
      <c r="AB138" s="21"/>
      <c r="AC138" s="21"/>
      <c r="AD138" s="21"/>
      <c r="AE138" s="21"/>
      <c r="AF138" s="1"/>
      <c r="AG138" s="1"/>
      <c r="AH138" s="1"/>
      <c r="AI138" s="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</row>
    <row r="139" spans="1:47" ht="15.75" customHeight="1">
      <c r="A139" s="21"/>
      <c r="B139" s="21"/>
      <c r="C139" s="1"/>
      <c r="D139" s="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1"/>
      <c r="Y139" s="591"/>
      <c r="Z139" s="21"/>
      <c r="AA139" s="21"/>
      <c r="AB139" s="21"/>
      <c r="AC139" s="21"/>
      <c r="AD139" s="21"/>
      <c r="AE139" s="21"/>
      <c r="AF139" s="1"/>
      <c r="AG139" s="1"/>
      <c r="AH139" s="1"/>
      <c r="AI139" s="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</row>
    <row r="140" spans="1:47" ht="15.75" customHeight="1">
      <c r="A140" s="21"/>
      <c r="B140" s="21"/>
      <c r="C140" s="1"/>
      <c r="D140" s="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1"/>
      <c r="Y140" s="591"/>
      <c r="Z140" s="21"/>
      <c r="AA140" s="21"/>
      <c r="AB140" s="21"/>
      <c r="AC140" s="21"/>
      <c r="AD140" s="21"/>
      <c r="AE140" s="21"/>
      <c r="AF140" s="1"/>
      <c r="AG140" s="1"/>
      <c r="AH140" s="1"/>
      <c r="AI140" s="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</row>
    <row r="141" spans="1:47" ht="15.75" customHeight="1">
      <c r="A141" s="21"/>
      <c r="B141" s="21"/>
      <c r="C141" s="1"/>
      <c r="D141" s="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1"/>
      <c r="Y141" s="591"/>
      <c r="Z141" s="21"/>
      <c r="AA141" s="21"/>
      <c r="AB141" s="21"/>
      <c r="AC141" s="21"/>
      <c r="AD141" s="21"/>
      <c r="AE141" s="21"/>
      <c r="AF141" s="1"/>
      <c r="AG141" s="1"/>
      <c r="AH141" s="1"/>
      <c r="AI141" s="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</row>
    <row r="142" spans="1:47" ht="15.75" customHeight="1">
      <c r="A142" s="21"/>
      <c r="B142" s="21"/>
      <c r="C142" s="1"/>
      <c r="D142" s="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1"/>
      <c r="Y142" s="591"/>
      <c r="Z142" s="21"/>
      <c r="AA142" s="21"/>
      <c r="AB142" s="21"/>
      <c r="AC142" s="21"/>
      <c r="AD142" s="21"/>
      <c r="AE142" s="21"/>
      <c r="AF142" s="1"/>
      <c r="AG142" s="1"/>
      <c r="AH142" s="1"/>
      <c r="AI142" s="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</row>
    <row r="143" spans="1:47" ht="15.75" customHeight="1">
      <c r="A143" s="21"/>
      <c r="B143" s="21"/>
      <c r="C143" s="1"/>
      <c r="D143" s="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1"/>
      <c r="Y143" s="591"/>
      <c r="Z143" s="21"/>
      <c r="AA143" s="21"/>
      <c r="AB143" s="21"/>
      <c r="AC143" s="21"/>
      <c r="AD143" s="21"/>
      <c r="AE143" s="21"/>
      <c r="AF143" s="1"/>
      <c r="AG143" s="1"/>
      <c r="AH143" s="1"/>
      <c r="AI143" s="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</row>
    <row r="144" spans="1:47" ht="15.75" customHeight="1">
      <c r="A144" s="21"/>
      <c r="B144" s="21"/>
      <c r="C144" s="1"/>
      <c r="D144" s="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1"/>
      <c r="Y144" s="591"/>
      <c r="Z144" s="21"/>
      <c r="AA144" s="21"/>
      <c r="AB144" s="21"/>
      <c r="AC144" s="21"/>
      <c r="AD144" s="21"/>
      <c r="AE144" s="21"/>
      <c r="AF144" s="1"/>
      <c r="AG144" s="1"/>
      <c r="AH144" s="1"/>
      <c r="AI144" s="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</row>
    <row r="145" spans="1:47" ht="15.75" customHeight="1">
      <c r="A145" s="21"/>
      <c r="B145" s="21"/>
      <c r="C145" s="1"/>
      <c r="D145" s="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1"/>
      <c r="Y145" s="591"/>
      <c r="Z145" s="21"/>
      <c r="AA145" s="21"/>
      <c r="AB145" s="21"/>
      <c r="AC145" s="21"/>
      <c r="AD145" s="21"/>
      <c r="AE145" s="21"/>
      <c r="AF145" s="1"/>
      <c r="AG145" s="1"/>
      <c r="AH145" s="1"/>
      <c r="AI145" s="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</row>
    <row r="146" spans="1:47" ht="15.75" customHeight="1">
      <c r="A146" s="21"/>
      <c r="B146" s="21"/>
      <c r="C146" s="1"/>
      <c r="D146" s="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1"/>
      <c r="Y146" s="591"/>
      <c r="Z146" s="21"/>
      <c r="AA146" s="21"/>
      <c r="AB146" s="21"/>
      <c r="AC146" s="21"/>
      <c r="AD146" s="21"/>
      <c r="AE146" s="21"/>
      <c r="AF146" s="1"/>
      <c r="AG146" s="1"/>
      <c r="AH146" s="1"/>
      <c r="AI146" s="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</row>
    <row r="147" spans="1:47" ht="15.75" customHeight="1">
      <c r="A147" s="21"/>
      <c r="B147" s="21"/>
      <c r="C147" s="1"/>
      <c r="D147" s="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1"/>
      <c r="Y147" s="591"/>
      <c r="Z147" s="21"/>
      <c r="AA147" s="21"/>
      <c r="AB147" s="21"/>
      <c r="AC147" s="21"/>
      <c r="AD147" s="21"/>
      <c r="AE147" s="21"/>
      <c r="AF147" s="1"/>
      <c r="AG147" s="1"/>
      <c r="AH147" s="1"/>
      <c r="AI147" s="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</row>
    <row r="148" spans="1:47" ht="15.75" customHeight="1">
      <c r="A148" s="21"/>
      <c r="B148" s="21"/>
      <c r="C148" s="1"/>
      <c r="D148" s="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1"/>
      <c r="Y148" s="591"/>
      <c r="Z148" s="21"/>
      <c r="AA148" s="21"/>
      <c r="AB148" s="21"/>
      <c r="AC148" s="21"/>
      <c r="AD148" s="21"/>
      <c r="AE148" s="21"/>
      <c r="AF148" s="1"/>
      <c r="AG148" s="1"/>
      <c r="AH148" s="1"/>
      <c r="AI148" s="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</row>
    <row r="149" spans="1:47" ht="15.75" customHeight="1">
      <c r="A149" s="21"/>
      <c r="B149" s="21"/>
      <c r="C149" s="1"/>
      <c r="D149" s="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1"/>
      <c r="Y149" s="591"/>
      <c r="Z149" s="21"/>
      <c r="AA149" s="21"/>
      <c r="AB149" s="21"/>
      <c r="AC149" s="21"/>
      <c r="AD149" s="21"/>
      <c r="AE149" s="21"/>
      <c r="AF149" s="1"/>
      <c r="AG149" s="1"/>
      <c r="AH149" s="1"/>
      <c r="AI149" s="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</row>
    <row r="150" spans="1:47" ht="15.75" customHeight="1">
      <c r="A150" s="21"/>
      <c r="B150" s="21"/>
      <c r="C150" s="1"/>
      <c r="D150" s="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1"/>
      <c r="Y150" s="591"/>
      <c r="Z150" s="21"/>
      <c r="AA150" s="21"/>
      <c r="AB150" s="21"/>
      <c r="AC150" s="21"/>
      <c r="AD150" s="21"/>
      <c r="AE150" s="21"/>
      <c r="AF150" s="1"/>
      <c r="AG150" s="1"/>
      <c r="AH150" s="1"/>
      <c r="AI150" s="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</row>
    <row r="151" spans="1:47" ht="15.75" customHeight="1">
      <c r="A151" s="21"/>
      <c r="B151" s="21"/>
      <c r="C151" s="1"/>
      <c r="D151" s="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1"/>
      <c r="Y151" s="591"/>
      <c r="Z151" s="21"/>
      <c r="AA151" s="21"/>
      <c r="AB151" s="21"/>
      <c r="AC151" s="21"/>
      <c r="AD151" s="21"/>
      <c r="AE151" s="21"/>
      <c r="AF151" s="1"/>
      <c r="AG151" s="1"/>
      <c r="AH151" s="1"/>
      <c r="AI151" s="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</row>
    <row r="152" spans="1:47" ht="15.75" customHeight="1">
      <c r="A152" s="21"/>
      <c r="B152" s="21"/>
      <c r="C152" s="1"/>
      <c r="D152" s="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1"/>
      <c r="Y152" s="591"/>
      <c r="Z152" s="21"/>
      <c r="AA152" s="21"/>
      <c r="AB152" s="21"/>
      <c r="AC152" s="21"/>
      <c r="AD152" s="21"/>
      <c r="AE152" s="21"/>
      <c r="AF152" s="1"/>
      <c r="AG152" s="1"/>
      <c r="AH152" s="1"/>
      <c r="AI152" s="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</row>
    <row r="153" spans="1:47" ht="15.75" customHeight="1">
      <c r="A153" s="21"/>
      <c r="B153" s="21"/>
      <c r="C153" s="1"/>
      <c r="D153" s="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1"/>
      <c r="Y153" s="591"/>
      <c r="Z153" s="21"/>
      <c r="AA153" s="21"/>
      <c r="AB153" s="21"/>
      <c r="AC153" s="21"/>
      <c r="AD153" s="21"/>
      <c r="AE153" s="21"/>
      <c r="AF153" s="1"/>
      <c r="AG153" s="1"/>
      <c r="AH153" s="1"/>
      <c r="AI153" s="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</row>
    <row r="154" spans="1:47" ht="15.75" customHeight="1">
      <c r="A154" s="21"/>
      <c r="B154" s="21"/>
      <c r="C154" s="1"/>
      <c r="D154" s="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1"/>
      <c r="Y154" s="591"/>
      <c r="Z154" s="21"/>
      <c r="AA154" s="21"/>
      <c r="AB154" s="21"/>
      <c r="AC154" s="21"/>
      <c r="AD154" s="21"/>
      <c r="AE154" s="21"/>
      <c r="AF154" s="1"/>
      <c r="AG154" s="1"/>
      <c r="AH154" s="1"/>
      <c r="AI154" s="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</row>
    <row r="155" spans="1:47" ht="15.75" customHeight="1">
      <c r="A155" s="21"/>
      <c r="B155" s="21"/>
      <c r="C155" s="1"/>
      <c r="D155" s="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1"/>
      <c r="Y155" s="591"/>
      <c r="Z155" s="21"/>
      <c r="AA155" s="21"/>
      <c r="AB155" s="21"/>
      <c r="AC155" s="21"/>
      <c r="AD155" s="21"/>
      <c r="AE155" s="21"/>
      <c r="AF155" s="1"/>
      <c r="AG155" s="1"/>
      <c r="AH155" s="1"/>
      <c r="AI155" s="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</row>
    <row r="156" spans="1:47" ht="15.75" customHeight="1">
      <c r="A156" s="21"/>
      <c r="B156" s="21"/>
      <c r="C156" s="1"/>
      <c r="D156" s="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1"/>
      <c r="Y156" s="591"/>
      <c r="Z156" s="21"/>
      <c r="AA156" s="21"/>
      <c r="AB156" s="21"/>
      <c r="AC156" s="21"/>
      <c r="AD156" s="21"/>
      <c r="AE156" s="21"/>
      <c r="AF156" s="1"/>
      <c r="AG156" s="1"/>
      <c r="AH156" s="1"/>
      <c r="AI156" s="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</row>
    <row r="157" spans="1:47" ht="15.75" customHeight="1">
      <c r="A157" s="21"/>
      <c r="B157" s="21"/>
      <c r="C157" s="1"/>
      <c r="D157" s="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1"/>
      <c r="Y157" s="591"/>
      <c r="Z157" s="21"/>
      <c r="AA157" s="21"/>
      <c r="AB157" s="21"/>
      <c r="AC157" s="21"/>
      <c r="AD157" s="21"/>
      <c r="AE157" s="21"/>
      <c r="AF157" s="1"/>
      <c r="AG157" s="1"/>
      <c r="AH157" s="1"/>
      <c r="AI157" s="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</row>
    <row r="158" spans="1:47" ht="15.75" customHeight="1">
      <c r="A158" s="21"/>
      <c r="B158" s="21"/>
      <c r="C158" s="1"/>
      <c r="D158" s="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1"/>
      <c r="Y158" s="591"/>
      <c r="Z158" s="21"/>
      <c r="AA158" s="21"/>
      <c r="AB158" s="21"/>
      <c r="AC158" s="21"/>
      <c r="AD158" s="21"/>
      <c r="AE158" s="21"/>
      <c r="AF158" s="1"/>
      <c r="AG158" s="1"/>
      <c r="AH158" s="1"/>
      <c r="AI158" s="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</row>
    <row r="159" spans="1:47" ht="15.75" customHeight="1">
      <c r="A159" s="21"/>
      <c r="B159" s="21"/>
      <c r="C159" s="1"/>
      <c r="D159" s="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1"/>
      <c r="Y159" s="591"/>
      <c r="Z159" s="21"/>
      <c r="AA159" s="21"/>
      <c r="AB159" s="21"/>
      <c r="AC159" s="21"/>
      <c r="AD159" s="21"/>
      <c r="AE159" s="21"/>
      <c r="AF159" s="1"/>
      <c r="AG159" s="1"/>
      <c r="AH159" s="1"/>
      <c r="AI159" s="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</row>
    <row r="160" spans="1:47" ht="15.75" customHeight="1">
      <c r="A160" s="21"/>
      <c r="B160" s="21"/>
      <c r="C160" s="1"/>
      <c r="D160" s="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1"/>
      <c r="Y160" s="591"/>
      <c r="Z160" s="21"/>
      <c r="AA160" s="21"/>
      <c r="AB160" s="21"/>
      <c r="AC160" s="21"/>
      <c r="AD160" s="21"/>
      <c r="AE160" s="21"/>
      <c r="AF160" s="1"/>
      <c r="AG160" s="1"/>
      <c r="AH160" s="1"/>
      <c r="AI160" s="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</row>
    <row r="161" spans="1:47" ht="15.75" customHeight="1">
      <c r="A161" s="21"/>
      <c r="B161" s="21"/>
      <c r="C161" s="1"/>
      <c r="D161" s="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1"/>
      <c r="Y161" s="591"/>
      <c r="Z161" s="21"/>
      <c r="AA161" s="21"/>
      <c r="AB161" s="21"/>
      <c r="AC161" s="21"/>
      <c r="AD161" s="21"/>
      <c r="AE161" s="21"/>
      <c r="AF161" s="1"/>
      <c r="AG161" s="1"/>
      <c r="AH161" s="1"/>
      <c r="AI161" s="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</row>
    <row r="162" spans="1:47" ht="15.75" customHeight="1">
      <c r="A162" s="21"/>
      <c r="B162" s="21"/>
      <c r="C162" s="1"/>
      <c r="D162" s="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1"/>
      <c r="Y162" s="591"/>
      <c r="Z162" s="21"/>
      <c r="AA162" s="21"/>
      <c r="AB162" s="21"/>
      <c r="AC162" s="21"/>
      <c r="AD162" s="21"/>
      <c r="AE162" s="21"/>
      <c r="AF162" s="1"/>
      <c r="AG162" s="1"/>
      <c r="AH162" s="1"/>
      <c r="AI162" s="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</row>
    <row r="163" spans="1:47" ht="15.75" customHeight="1">
      <c r="A163" s="21"/>
      <c r="B163" s="21"/>
      <c r="C163" s="1"/>
      <c r="D163" s="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1"/>
      <c r="Y163" s="591"/>
      <c r="Z163" s="21"/>
      <c r="AA163" s="21"/>
      <c r="AB163" s="21"/>
      <c r="AC163" s="21"/>
      <c r="AD163" s="21"/>
      <c r="AE163" s="21"/>
      <c r="AF163" s="1"/>
      <c r="AG163" s="1"/>
      <c r="AH163" s="1"/>
      <c r="AI163" s="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</row>
    <row r="164" spans="1:47" ht="15.75" customHeight="1">
      <c r="A164" s="21"/>
      <c r="B164" s="21"/>
      <c r="C164" s="1"/>
      <c r="D164" s="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1"/>
      <c r="Y164" s="591"/>
      <c r="Z164" s="21"/>
      <c r="AA164" s="21"/>
      <c r="AB164" s="21"/>
      <c r="AC164" s="21"/>
      <c r="AD164" s="21"/>
      <c r="AE164" s="21"/>
      <c r="AF164" s="1"/>
      <c r="AG164" s="1"/>
      <c r="AH164" s="1"/>
      <c r="AI164" s="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</row>
    <row r="165" spans="1:47" ht="15.75" customHeight="1">
      <c r="A165" s="21"/>
      <c r="B165" s="21"/>
      <c r="C165" s="1"/>
      <c r="D165" s="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1"/>
      <c r="Y165" s="591"/>
      <c r="Z165" s="21"/>
      <c r="AA165" s="21"/>
      <c r="AB165" s="21"/>
      <c r="AC165" s="21"/>
      <c r="AD165" s="21"/>
      <c r="AE165" s="21"/>
      <c r="AF165" s="1"/>
      <c r="AG165" s="1"/>
      <c r="AH165" s="1"/>
      <c r="AI165" s="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</row>
    <row r="166" spans="1:47" ht="15.75" customHeight="1">
      <c r="A166" s="21"/>
      <c r="B166" s="21"/>
      <c r="C166" s="1"/>
      <c r="D166" s="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1"/>
      <c r="Y166" s="591"/>
      <c r="Z166" s="21"/>
      <c r="AA166" s="21"/>
      <c r="AB166" s="21"/>
      <c r="AC166" s="21"/>
      <c r="AD166" s="21"/>
      <c r="AE166" s="21"/>
      <c r="AF166" s="1"/>
      <c r="AG166" s="1"/>
      <c r="AH166" s="1"/>
      <c r="AI166" s="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</row>
    <row r="167" spans="1:47" ht="15.75" customHeight="1">
      <c r="A167" s="21"/>
      <c r="B167" s="21"/>
      <c r="C167" s="1"/>
      <c r="D167" s="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1"/>
      <c r="Y167" s="591"/>
      <c r="Z167" s="21"/>
      <c r="AA167" s="21"/>
      <c r="AB167" s="21"/>
      <c r="AC167" s="21"/>
      <c r="AD167" s="21"/>
      <c r="AE167" s="21"/>
      <c r="AF167" s="1"/>
      <c r="AG167" s="1"/>
      <c r="AH167" s="1"/>
      <c r="AI167" s="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</row>
    <row r="168" spans="1:47" ht="15.75" customHeight="1">
      <c r="A168" s="21"/>
      <c r="B168" s="21"/>
      <c r="C168" s="1"/>
      <c r="D168" s="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1"/>
      <c r="Y168" s="591"/>
      <c r="Z168" s="21"/>
      <c r="AA168" s="21"/>
      <c r="AB168" s="21"/>
      <c r="AC168" s="21"/>
      <c r="AD168" s="21"/>
      <c r="AE168" s="21"/>
      <c r="AF168" s="1"/>
      <c r="AG168" s="1"/>
      <c r="AH168" s="1"/>
      <c r="AI168" s="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</row>
    <row r="169" spans="1:47" ht="15.75" customHeight="1">
      <c r="A169" s="21"/>
      <c r="B169" s="21"/>
      <c r="C169" s="1"/>
      <c r="D169" s="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1"/>
      <c r="Y169" s="591"/>
      <c r="Z169" s="21"/>
      <c r="AA169" s="21"/>
      <c r="AB169" s="21"/>
      <c r="AC169" s="21"/>
      <c r="AD169" s="21"/>
      <c r="AE169" s="21"/>
      <c r="AF169" s="1"/>
      <c r="AG169" s="1"/>
      <c r="AH169" s="1"/>
      <c r="AI169" s="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</row>
    <row r="170" spans="1:47" ht="15.75" customHeight="1">
      <c r="A170" s="21"/>
      <c r="B170" s="21"/>
      <c r="C170" s="1"/>
      <c r="D170" s="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1"/>
      <c r="Y170" s="591"/>
      <c r="Z170" s="21"/>
      <c r="AA170" s="21"/>
      <c r="AB170" s="21"/>
      <c r="AC170" s="21"/>
      <c r="AD170" s="21"/>
      <c r="AE170" s="21"/>
      <c r="AF170" s="1"/>
      <c r="AG170" s="1"/>
      <c r="AH170" s="1"/>
      <c r="AI170" s="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</row>
    <row r="171" spans="1:47" ht="15.75" customHeight="1">
      <c r="A171" s="21"/>
      <c r="B171" s="21"/>
      <c r="C171" s="1"/>
      <c r="D171" s="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1"/>
      <c r="Y171" s="591"/>
      <c r="Z171" s="21"/>
      <c r="AA171" s="21"/>
      <c r="AB171" s="21"/>
      <c r="AC171" s="21"/>
      <c r="AD171" s="21"/>
      <c r="AE171" s="21"/>
      <c r="AF171" s="1"/>
      <c r="AG171" s="1"/>
      <c r="AH171" s="1"/>
      <c r="AI171" s="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</row>
    <row r="172" spans="1:47" ht="15.75" customHeight="1">
      <c r="A172" s="21"/>
      <c r="B172" s="21"/>
      <c r="C172" s="1"/>
      <c r="D172" s="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1"/>
      <c r="Y172" s="591"/>
      <c r="Z172" s="21"/>
      <c r="AA172" s="21"/>
      <c r="AB172" s="21"/>
      <c r="AC172" s="21"/>
      <c r="AD172" s="21"/>
      <c r="AE172" s="21"/>
      <c r="AF172" s="1"/>
      <c r="AG172" s="1"/>
      <c r="AH172" s="1"/>
      <c r="AI172" s="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</row>
    <row r="173" spans="1:47" ht="15.75" customHeight="1">
      <c r="A173" s="21"/>
      <c r="B173" s="21"/>
      <c r="C173" s="1"/>
      <c r="D173" s="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1"/>
      <c r="Y173" s="591"/>
      <c r="Z173" s="21"/>
      <c r="AA173" s="21"/>
      <c r="AB173" s="21"/>
      <c r="AC173" s="21"/>
      <c r="AD173" s="21"/>
      <c r="AE173" s="21"/>
      <c r="AF173" s="1"/>
      <c r="AG173" s="1"/>
      <c r="AH173" s="1"/>
      <c r="AI173" s="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</row>
    <row r="174" spans="1:47" ht="15.75" customHeight="1">
      <c r="A174" s="21"/>
      <c r="B174" s="21"/>
      <c r="C174" s="1"/>
      <c r="D174" s="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1"/>
      <c r="Y174" s="591"/>
      <c r="Z174" s="21"/>
      <c r="AA174" s="21"/>
      <c r="AB174" s="21"/>
      <c r="AC174" s="21"/>
      <c r="AD174" s="21"/>
      <c r="AE174" s="21"/>
      <c r="AF174" s="1"/>
      <c r="AG174" s="1"/>
      <c r="AH174" s="1"/>
      <c r="AI174" s="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</row>
    <row r="175" spans="1:47" ht="15.75" customHeight="1">
      <c r="A175" s="21"/>
      <c r="B175" s="21"/>
      <c r="C175" s="1"/>
      <c r="D175" s="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1"/>
      <c r="Y175" s="591"/>
      <c r="Z175" s="21"/>
      <c r="AA175" s="21"/>
      <c r="AB175" s="21"/>
      <c r="AC175" s="21"/>
      <c r="AD175" s="21"/>
      <c r="AE175" s="21"/>
      <c r="AF175" s="1"/>
      <c r="AG175" s="1"/>
      <c r="AH175" s="1"/>
      <c r="AI175" s="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</row>
    <row r="176" spans="1:47" ht="15.75" customHeight="1">
      <c r="A176" s="21"/>
      <c r="B176" s="21"/>
      <c r="C176" s="1"/>
      <c r="D176" s="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1"/>
      <c r="Y176" s="591"/>
      <c r="Z176" s="21"/>
      <c r="AA176" s="21"/>
      <c r="AB176" s="21"/>
      <c r="AC176" s="21"/>
      <c r="AD176" s="21"/>
      <c r="AE176" s="21"/>
      <c r="AF176" s="1"/>
      <c r="AG176" s="1"/>
      <c r="AH176" s="1"/>
      <c r="AI176" s="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</row>
    <row r="177" spans="1:47" ht="15.75" customHeight="1">
      <c r="A177" s="21"/>
      <c r="B177" s="21"/>
      <c r="C177" s="1"/>
      <c r="D177" s="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1"/>
      <c r="Y177" s="591"/>
      <c r="Z177" s="21"/>
      <c r="AA177" s="21"/>
      <c r="AB177" s="21"/>
      <c r="AC177" s="21"/>
      <c r="AD177" s="21"/>
      <c r="AE177" s="21"/>
      <c r="AF177" s="1"/>
      <c r="AG177" s="1"/>
      <c r="AH177" s="1"/>
      <c r="AI177" s="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</row>
    <row r="178" spans="1:47" ht="15.75" customHeight="1">
      <c r="A178" s="21"/>
      <c r="B178" s="21"/>
      <c r="C178" s="1"/>
      <c r="D178" s="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1"/>
      <c r="Y178" s="591"/>
      <c r="Z178" s="21"/>
      <c r="AA178" s="21"/>
      <c r="AB178" s="21"/>
      <c r="AC178" s="21"/>
      <c r="AD178" s="21"/>
      <c r="AE178" s="21"/>
      <c r="AF178" s="1"/>
      <c r="AG178" s="1"/>
      <c r="AH178" s="1"/>
      <c r="AI178" s="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</row>
    <row r="179" spans="1:47" ht="15.75" customHeight="1">
      <c r="A179" s="21"/>
      <c r="B179" s="21"/>
      <c r="C179" s="1"/>
      <c r="D179" s="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1"/>
      <c r="Y179" s="591"/>
      <c r="Z179" s="21"/>
      <c r="AA179" s="21"/>
      <c r="AB179" s="21"/>
      <c r="AC179" s="21"/>
      <c r="AD179" s="21"/>
      <c r="AE179" s="21"/>
      <c r="AF179" s="1"/>
      <c r="AG179" s="1"/>
      <c r="AH179" s="1"/>
      <c r="AI179" s="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</row>
    <row r="180" spans="1:47" ht="15.75" customHeight="1">
      <c r="A180" s="21"/>
      <c r="B180" s="21"/>
      <c r="C180" s="1"/>
      <c r="D180" s="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1"/>
      <c r="Y180" s="591"/>
      <c r="Z180" s="21"/>
      <c r="AA180" s="21"/>
      <c r="AB180" s="21"/>
      <c r="AC180" s="21"/>
      <c r="AD180" s="21"/>
      <c r="AE180" s="21"/>
      <c r="AF180" s="1"/>
      <c r="AG180" s="1"/>
      <c r="AH180" s="1"/>
      <c r="AI180" s="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</row>
    <row r="181" spans="1:47" ht="15.75" customHeight="1">
      <c r="A181" s="21"/>
      <c r="B181" s="21"/>
      <c r="C181" s="1"/>
      <c r="D181" s="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1"/>
      <c r="Y181" s="591"/>
      <c r="Z181" s="21"/>
      <c r="AA181" s="21"/>
      <c r="AB181" s="21"/>
      <c r="AC181" s="21"/>
      <c r="AD181" s="21"/>
      <c r="AE181" s="21"/>
      <c r="AF181" s="1"/>
      <c r="AG181" s="1"/>
      <c r="AH181" s="1"/>
      <c r="AI181" s="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</row>
    <row r="182" spans="1:47" ht="15.75" customHeight="1">
      <c r="A182" s="21"/>
      <c r="B182" s="21"/>
      <c r="C182" s="1"/>
      <c r="D182" s="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1"/>
      <c r="Y182" s="591"/>
      <c r="Z182" s="21"/>
      <c r="AA182" s="21"/>
      <c r="AB182" s="21"/>
      <c r="AC182" s="21"/>
      <c r="AD182" s="21"/>
      <c r="AE182" s="21"/>
      <c r="AF182" s="1"/>
      <c r="AG182" s="1"/>
      <c r="AH182" s="1"/>
      <c r="AI182" s="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</row>
    <row r="183" spans="1:47" ht="15.75" customHeight="1">
      <c r="A183" s="21"/>
      <c r="B183" s="21"/>
      <c r="C183" s="1"/>
      <c r="D183" s="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1"/>
      <c r="Y183" s="591"/>
      <c r="Z183" s="21"/>
      <c r="AA183" s="21"/>
      <c r="AB183" s="21"/>
      <c r="AC183" s="21"/>
      <c r="AD183" s="21"/>
      <c r="AE183" s="21"/>
      <c r="AF183" s="1"/>
      <c r="AG183" s="1"/>
      <c r="AH183" s="1"/>
      <c r="AI183" s="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</row>
    <row r="184" spans="1:47" ht="15.75" customHeight="1">
      <c r="A184" s="21"/>
      <c r="B184" s="21"/>
      <c r="C184" s="1"/>
      <c r="D184" s="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1"/>
      <c r="Y184" s="591"/>
      <c r="Z184" s="21"/>
      <c r="AA184" s="21"/>
      <c r="AB184" s="21"/>
      <c r="AC184" s="21"/>
      <c r="AD184" s="21"/>
      <c r="AE184" s="21"/>
      <c r="AF184" s="1"/>
      <c r="AG184" s="1"/>
      <c r="AH184" s="1"/>
      <c r="AI184" s="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</row>
    <row r="185" spans="1:47" ht="15.75" customHeight="1">
      <c r="A185" s="21"/>
      <c r="B185" s="21"/>
      <c r="C185" s="1"/>
      <c r="D185" s="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1"/>
      <c r="Y185" s="591"/>
      <c r="Z185" s="21"/>
      <c r="AA185" s="21"/>
      <c r="AB185" s="21"/>
      <c r="AC185" s="21"/>
      <c r="AD185" s="21"/>
      <c r="AE185" s="21"/>
      <c r="AF185" s="1"/>
      <c r="AG185" s="1"/>
      <c r="AH185" s="1"/>
      <c r="AI185" s="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</row>
    <row r="186" spans="1:47" ht="15.75" customHeight="1">
      <c r="A186" s="21"/>
      <c r="B186" s="21"/>
      <c r="C186" s="1"/>
      <c r="D186" s="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1"/>
      <c r="Y186" s="591"/>
      <c r="Z186" s="21"/>
      <c r="AA186" s="21"/>
      <c r="AB186" s="21"/>
      <c r="AC186" s="21"/>
      <c r="AD186" s="21"/>
      <c r="AE186" s="21"/>
      <c r="AF186" s="1"/>
      <c r="AG186" s="1"/>
      <c r="AH186" s="1"/>
      <c r="AI186" s="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</row>
    <row r="187" spans="1:47" ht="15.75" customHeight="1">
      <c r="A187" s="21"/>
      <c r="B187" s="21"/>
      <c r="C187" s="1"/>
      <c r="D187" s="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1"/>
      <c r="Y187" s="591"/>
      <c r="Z187" s="21"/>
      <c r="AA187" s="21"/>
      <c r="AB187" s="21"/>
      <c r="AC187" s="21"/>
      <c r="AD187" s="21"/>
      <c r="AE187" s="21"/>
      <c r="AF187" s="1"/>
      <c r="AG187" s="1"/>
      <c r="AH187" s="1"/>
      <c r="AI187" s="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</row>
    <row r="188" spans="1:47" ht="15.75" customHeight="1">
      <c r="A188" s="21"/>
      <c r="B188" s="21"/>
      <c r="C188" s="1"/>
      <c r="D188" s="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1"/>
      <c r="Y188" s="591"/>
      <c r="Z188" s="21"/>
      <c r="AA188" s="21"/>
      <c r="AB188" s="21"/>
      <c r="AC188" s="21"/>
      <c r="AD188" s="21"/>
      <c r="AE188" s="21"/>
      <c r="AF188" s="1"/>
      <c r="AG188" s="1"/>
      <c r="AH188" s="1"/>
      <c r="AI188" s="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</row>
    <row r="189" spans="1:47" ht="15.75" customHeight="1">
      <c r="A189" s="21"/>
      <c r="B189" s="21"/>
      <c r="C189" s="1"/>
      <c r="D189" s="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1"/>
      <c r="Y189" s="591"/>
      <c r="Z189" s="21"/>
      <c r="AA189" s="21"/>
      <c r="AB189" s="21"/>
      <c r="AC189" s="21"/>
      <c r="AD189" s="21"/>
      <c r="AE189" s="21"/>
      <c r="AF189" s="1"/>
      <c r="AG189" s="1"/>
      <c r="AH189" s="1"/>
      <c r="AI189" s="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</row>
    <row r="190" spans="1:47" ht="15.75" customHeight="1">
      <c r="A190" s="21"/>
      <c r="B190" s="21"/>
      <c r="C190" s="1"/>
      <c r="D190" s="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1"/>
      <c r="Y190" s="591"/>
      <c r="Z190" s="21"/>
      <c r="AA190" s="21"/>
      <c r="AB190" s="21"/>
      <c r="AC190" s="21"/>
      <c r="AD190" s="21"/>
      <c r="AE190" s="21"/>
      <c r="AF190" s="1"/>
      <c r="AG190" s="1"/>
      <c r="AH190" s="1"/>
      <c r="AI190" s="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</row>
    <row r="191" spans="1:47" ht="15.75" customHeight="1">
      <c r="A191" s="21"/>
      <c r="B191" s="21"/>
      <c r="C191" s="1"/>
      <c r="D191" s="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1"/>
      <c r="Y191" s="591"/>
      <c r="Z191" s="21"/>
      <c r="AA191" s="21"/>
      <c r="AB191" s="21"/>
      <c r="AC191" s="21"/>
      <c r="AD191" s="21"/>
      <c r="AE191" s="21"/>
      <c r="AF191" s="1"/>
      <c r="AG191" s="1"/>
      <c r="AH191" s="1"/>
      <c r="AI191" s="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</row>
    <row r="192" spans="1:47" ht="15.75" customHeight="1">
      <c r="A192" s="21"/>
      <c r="B192" s="21"/>
      <c r="C192" s="1"/>
      <c r="D192" s="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1"/>
      <c r="Y192" s="591"/>
      <c r="Z192" s="21"/>
      <c r="AA192" s="21"/>
      <c r="AB192" s="21"/>
      <c r="AC192" s="21"/>
      <c r="AD192" s="21"/>
      <c r="AE192" s="21"/>
      <c r="AF192" s="1"/>
      <c r="AG192" s="1"/>
      <c r="AH192" s="1"/>
      <c r="AI192" s="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</row>
    <row r="193" spans="1:47" ht="15.75" customHeight="1">
      <c r="A193" s="21"/>
      <c r="B193" s="21"/>
      <c r="C193" s="1"/>
      <c r="D193" s="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1"/>
      <c r="Y193" s="591"/>
      <c r="Z193" s="21"/>
      <c r="AA193" s="21"/>
      <c r="AB193" s="21"/>
      <c r="AC193" s="21"/>
      <c r="AD193" s="21"/>
      <c r="AE193" s="21"/>
      <c r="AF193" s="1"/>
      <c r="AG193" s="1"/>
      <c r="AH193" s="1"/>
      <c r="AI193" s="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</row>
    <row r="194" spans="1:47" ht="15.75" customHeight="1">
      <c r="A194" s="21"/>
      <c r="B194" s="21"/>
      <c r="C194" s="1"/>
      <c r="D194" s="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1"/>
      <c r="Y194" s="591"/>
      <c r="Z194" s="21"/>
      <c r="AA194" s="21"/>
      <c r="AB194" s="21"/>
      <c r="AC194" s="21"/>
      <c r="AD194" s="21"/>
      <c r="AE194" s="21"/>
      <c r="AF194" s="1"/>
      <c r="AG194" s="1"/>
      <c r="AH194" s="1"/>
      <c r="AI194" s="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</row>
    <row r="195" spans="1:47" ht="15.75" customHeight="1">
      <c r="A195" s="21"/>
      <c r="B195" s="21"/>
      <c r="C195" s="1"/>
      <c r="D195" s="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1"/>
      <c r="Y195" s="591"/>
      <c r="Z195" s="21"/>
      <c r="AA195" s="21"/>
      <c r="AB195" s="21"/>
      <c r="AC195" s="21"/>
      <c r="AD195" s="21"/>
      <c r="AE195" s="21"/>
      <c r="AF195" s="1"/>
      <c r="AG195" s="1"/>
      <c r="AH195" s="1"/>
      <c r="AI195" s="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</row>
    <row r="196" spans="1:47" ht="15.75" customHeight="1">
      <c r="A196" s="21"/>
      <c r="B196" s="21"/>
      <c r="C196" s="1"/>
      <c r="D196" s="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1"/>
      <c r="Y196" s="591"/>
      <c r="Z196" s="21"/>
      <c r="AA196" s="21"/>
      <c r="AB196" s="21"/>
      <c r="AC196" s="21"/>
      <c r="AD196" s="21"/>
      <c r="AE196" s="21"/>
      <c r="AF196" s="1"/>
      <c r="AG196" s="1"/>
      <c r="AH196" s="1"/>
      <c r="AI196" s="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</row>
    <row r="197" spans="1:47" ht="15.75" customHeight="1">
      <c r="A197" s="21"/>
      <c r="B197" s="21"/>
      <c r="C197" s="1"/>
      <c r="D197" s="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1"/>
      <c r="Y197" s="591"/>
      <c r="Z197" s="21"/>
      <c r="AA197" s="21"/>
      <c r="AB197" s="21"/>
      <c r="AC197" s="21"/>
      <c r="AD197" s="21"/>
      <c r="AE197" s="21"/>
      <c r="AF197" s="1"/>
      <c r="AG197" s="1"/>
      <c r="AH197" s="1"/>
      <c r="AI197" s="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</row>
    <row r="198" spans="1:47" ht="15.75" customHeight="1">
      <c r="A198" s="21"/>
      <c r="B198" s="21"/>
      <c r="C198" s="1"/>
      <c r="D198" s="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1"/>
      <c r="Y198" s="591"/>
      <c r="Z198" s="21"/>
      <c r="AA198" s="21"/>
      <c r="AB198" s="21"/>
      <c r="AC198" s="21"/>
      <c r="AD198" s="21"/>
      <c r="AE198" s="21"/>
      <c r="AF198" s="1"/>
      <c r="AG198" s="1"/>
      <c r="AH198" s="1"/>
      <c r="AI198" s="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</row>
    <row r="199" spans="1:47" ht="15.75" customHeight="1">
      <c r="A199" s="21"/>
      <c r="B199" s="21"/>
      <c r="C199" s="1"/>
      <c r="D199" s="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1"/>
      <c r="Y199" s="591"/>
      <c r="Z199" s="21"/>
      <c r="AA199" s="21"/>
      <c r="AB199" s="21"/>
      <c r="AC199" s="21"/>
      <c r="AD199" s="21"/>
      <c r="AE199" s="21"/>
      <c r="AF199" s="1"/>
      <c r="AG199" s="1"/>
      <c r="AH199" s="1"/>
      <c r="AI199" s="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</row>
    <row r="200" spans="1:47" ht="15.75" customHeight="1">
      <c r="A200" s="21"/>
      <c r="B200" s="21"/>
      <c r="C200" s="1"/>
      <c r="D200" s="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1"/>
      <c r="Y200" s="591"/>
      <c r="Z200" s="21"/>
      <c r="AA200" s="21"/>
      <c r="AB200" s="21"/>
      <c r="AC200" s="21"/>
      <c r="AD200" s="21"/>
      <c r="AE200" s="21"/>
      <c r="AF200" s="1"/>
      <c r="AG200" s="1"/>
      <c r="AH200" s="1"/>
      <c r="AI200" s="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</row>
    <row r="201" spans="1:47" ht="15.75" customHeight="1">
      <c r="A201" s="21"/>
      <c r="B201" s="21"/>
      <c r="C201" s="1"/>
      <c r="D201" s="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1"/>
      <c r="Y201" s="591"/>
      <c r="Z201" s="21"/>
      <c r="AA201" s="21"/>
      <c r="AB201" s="21"/>
      <c r="AC201" s="21"/>
      <c r="AD201" s="21"/>
      <c r="AE201" s="21"/>
      <c r="AF201" s="1"/>
      <c r="AG201" s="1"/>
      <c r="AH201" s="1"/>
      <c r="AI201" s="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</row>
    <row r="202" spans="1:47" ht="15.75" customHeight="1">
      <c r="A202" s="21"/>
      <c r="B202" s="21"/>
      <c r="C202" s="1"/>
      <c r="D202" s="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1"/>
      <c r="Y202" s="591"/>
      <c r="Z202" s="21"/>
      <c r="AA202" s="21"/>
      <c r="AB202" s="21"/>
      <c r="AC202" s="21"/>
      <c r="AD202" s="21"/>
      <c r="AE202" s="21"/>
      <c r="AF202" s="1"/>
      <c r="AG202" s="1"/>
      <c r="AH202" s="1"/>
      <c r="AI202" s="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</row>
    <row r="203" spans="1:47" ht="15.75" customHeight="1">
      <c r="A203" s="21"/>
      <c r="B203" s="21"/>
      <c r="C203" s="1"/>
      <c r="D203" s="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1"/>
      <c r="Y203" s="591"/>
      <c r="Z203" s="21"/>
      <c r="AA203" s="21"/>
      <c r="AB203" s="21"/>
      <c r="AC203" s="21"/>
      <c r="AD203" s="21"/>
      <c r="AE203" s="21"/>
      <c r="AF203" s="1"/>
      <c r="AG203" s="1"/>
      <c r="AH203" s="1"/>
      <c r="AI203" s="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</row>
    <row r="204" spans="1:47" ht="15.75" customHeight="1">
      <c r="A204" s="21"/>
      <c r="B204" s="21"/>
      <c r="C204" s="1"/>
      <c r="D204" s="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1"/>
      <c r="Y204" s="591"/>
      <c r="Z204" s="21"/>
      <c r="AA204" s="21"/>
      <c r="AB204" s="21"/>
      <c r="AC204" s="21"/>
      <c r="AD204" s="21"/>
      <c r="AE204" s="21"/>
      <c r="AF204" s="1"/>
      <c r="AG204" s="1"/>
      <c r="AH204" s="1"/>
      <c r="AI204" s="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</row>
    <row r="205" spans="1:47" ht="15.75" customHeight="1">
      <c r="A205" s="21"/>
      <c r="B205" s="21"/>
      <c r="C205" s="1"/>
      <c r="D205" s="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1"/>
      <c r="Y205" s="591"/>
      <c r="Z205" s="21"/>
      <c r="AA205" s="21"/>
      <c r="AB205" s="21"/>
      <c r="AC205" s="21"/>
      <c r="AD205" s="21"/>
      <c r="AE205" s="21"/>
      <c r="AF205" s="1"/>
      <c r="AG205" s="1"/>
      <c r="AH205" s="1"/>
      <c r="AI205" s="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</row>
    <row r="206" spans="1:47" ht="15.75" customHeight="1">
      <c r="A206" s="21"/>
      <c r="B206" s="21"/>
      <c r="C206" s="1"/>
      <c r="D206" s="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1"/>
      <c r="Y206" s="591"/>
      <c r="Z206" s="21"/>
      <c r="AA206" s="21"/>
      <c r="AB206" s="21"/>
      <c r="AC206" s="21"/>
      <c r="AD206" s="21"/>
      <c r="AE206" s="21"/>
      <c r="AF206" s="1"/>
      <c r="AG206" s="1"/>
      <c r="AH206" s="1"/>
      <c r="AI206" s="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</row>
    <row r="207" spans="1:47" ht="15.75" customHeight="1">
      <c r="A207" s="21"/>
      <c r="B207" s="21"/>
      <c r="C207" s="1"/>
      <c r="D207" s="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1"/>
      <c r="Y207" s="591"/>
      <c r="Z207" s="21"/>
      <c r="AA207" s="21"/>
      <c r="AB207" s="21"/>
      <c r="AC207" s="21"/>
      <c r="AD207" s="21"/>
      <c r="AE207" s="21"/>
      <c r="AF207" s="1"/>
      <c r="AG207" s="1"/>
      <c r="AH207" s="1"/>
      <c r="AI207" s="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</row>
    <row r="208" spans="1:47" ht="15.75" customHeight="1">
      <c r="A208" s="21"/>
      <c r="B208" s="21"/>
      <c r="C208" s="1"/>
      <c r="D208" s="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1"/>
      <c r="Y208" s="591"/>
      <c r="Z208" s="21"/>
      <c r="AA208" s="21"/>
      <c r="AB208" s="21"/>
      <c r="AC208" s="21"/>
      <c r="AD208" s="21"/>
      <c r="AE208" s="21"/>
      <c r="AF208" s="1"/>
      <c r="AG208" s="1"/>
      <c r="AH208" s="1"/>
      <c r="AI208" s="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</row>
    <row r="209" spans="1:47" ht="15.75" customHeight="1">
      <c r="A209" s="21"/>
      <c r="B209" s="21"/>
      <c r="C209" s="1"/>
      <c r="D209" s="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1"/>
      <c r="Y209" s="591"/>
      <c r="Z209" s="21"/>
      <c r="AA209" s="21"/>
      <c r="AB209" s="21"/>
      <c r="AC209" s="21"/>
      <c r="AD209" s="21"/>
      <c r="AE209" s="21"/>
      <c r="AF209" s="1"/>
      <c r="AG209" s="1"/>
      <c r="AH209" s="1"/>
      <c r="AI209" s="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</row>
    <row r="210" spans="1:47" ht="15.75" customHeight="1">
      <c r="A210" s="21"/>
      <c r="B210" s="21"/>
      <c r="C210" s="1"/>
      <c r="D210" s="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1"/>
      <c r="Y210" s="591"/>
      <c r="Z210" s="21"/>
      <c r="AA210" s="21"/>
      <c r="AB210" s="21"/>
      <c r="AC210" s="21"/>
      <c r="AD210" s="21"/>
      <c r="AE210" s="21"/>
      <c r="AF210" s="1"/>
      <c r="AG210" s="1"/>
      <c r="AH210" s="1"/>
      <c r="AI210" s="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</row>
    <row r="211" spans="1:47" ht="15.75" customHeight="1">
      <c r="A211" s="21"/>
      <c r="B211" s="21"/>
      <c r="C211" s="1"/>
      <c r="D211" s="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1"/>
      <c r="Y211" s="591"/>
      <c r="Z211" s="21"/>
      <c r="AA211" s="21"/>
      <c r="AB211" s="21"/>
      <c r="AC211" s="21"/>
      <c r="AD211" s="21"/>
      <c r="AE211" s="21"/>
      <c r="AF211" s="1"/>
      <c r="AG211" s="1"/>
      <c r="AH211" s="1"/>
      <c r="AI211" s="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</row>
    <row r="212" spans="1:47" ht="15.75" customHeight="1">
      <c r="A212" s="21"/>
      <c r="B212" s="21"/>
      <c r="C212" s="1"/>
      <c r="D212" s="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1"/>
      <c r="Y212" s="591"/>
      <c r="Z212" s="21"/>
      <c r="AA212" s="21"/>
      <c r="AB212" s="21"/>
      <c r="AC212" s="21"/>
      <c r="AD212" s="21"/>
      <c r="AE212" s="21"/>
      <c r="AF212" s="1"/>
      <c r="AG212" s="1"/>
      <c r="AH212" s="1"/>
      <c r="AI212" s="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</row>
    <row r="213" spans="1:47" ht="15.75" customHeight="1">
      <c r="A213" s="21"/>
      <c r="B213" s="21"/>
      <c r="C213" s="1"/>
      <c r="D213" s="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1"/>
      <c r="Y213" s="591"/>
      <c r="Z213" s="21"/>
      <c r="AA213" s="21"/>
      <c r="AB213" s="21"/>
      <c r="AC213" s="21"/>
      <c r="AD213" s="21"/>
      <c r="AE213" s="21"/>
      <c r="AF213" s="1"/>
      <c r="AG213" s="1"/>
      <c r="AH213" s="1"/>
      <c r="AI213" s="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</row>
    <row r="214" spans="1:47" ht="15.75" customHeight="1">
      <c r="A214" s="21"/>
      <c r="B214" s="21"/>
      <c r="C214" s="1"/>
      <c r="D214" s="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1"/>
      <c r="Y214" s="591"/>
      <c r="Z214" s="21"/>
      <c r="AA214" s="21"/>
      <c r="AB214" s="21"/>
      <c r="AC214" s="21"/>
      <c r="AD214" s="21"/>
      <c r="AE214" s="21"/>
      <c r="AF214" s="1"/>
      <c r="AG214" s="1"/>
      <c r="AH214" s="1"/>
      <c r="AI214" s="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</row>
    <row r="215" spans="1:47" ht="15.75" customHeight="1">
      <c r="A215" s="21"/>
      <c r="B215" s="21"/>
      <c r="C215" s="1"/>
      <c r="D215" s="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1"/>
      <c r="Y215" s="591"/>
      <c r="Z215" s="21"/>
      <c r="AA215" s="21"/>
      <c r="AB215" s="21"/>
      <c r="AC215" s="21"/>
      <c r="AD215" s="21"/>
      <c r="AE215" s="21"/>
      <c r="AF215" s="1"/>
      <c r="AG215" s="1"/>
      <c r="AH215" s="1"/>
      <c r="AI215" s="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</row>
    <row r="216" spans="1:47" ht="15.75" customHeight="1">
      <c r="A216" s="21"/>
      <c r="B216" s="21"/>
      <c r="C216" s="1"/>
      <c r="D216" s="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1"/>
      <c r="Y216" s="591"/>
      <c r="Z216" s="21"/>
      <c r="AA216" s="21"/>
      <c r="AB216" s="21"/>
      <c r="AC216" s="21"/>
      <c r="AD216" s="21"/>
      <c r="AE216" s="21"/>
      <c r="AF216" s="1"/>
      <c r="AG216" s="1"/>
      <c r="AH216" s="1"/>
      <c r="AI216" s="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</row>
    <row r="217" spans="1:47" ht="15.75" customHeight="1">
      <c r="A217" s="21"/>
      <c r="B217" s="21"/>
      <c r="C217" s="1"/>
      <c r="D217" s="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1"/>
      <c r="Y217" s="591"/>
      <c r="Z217" s="21"/>
      <c r="AA217" s="21"/>
      <c r="AB217" s="21"/>
      <c r="AC217" s="21"/>
      <c r="AD217" s="21"/>
      <c r="AE217" s="21"/>
      <c r="AF217" s="1"/>
      <c r="AG217" s="1"/>
      <c r="AH217" s="1"/>
      <c r="AI217" s="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</row>
    <row r="218" spans="1:47" ht="15.75" customHeight="1">
      <c r="A218" s="21"/>
      <c r="B218" s="21"/>
      <c r="C218" s="1"/>
      <c r="D218" s="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1"/>
      <c r="Y218" s="591"/>
      <c r="Z218" s="21"/>
      <c r="AA218" s="21"/>
      <c r="AB218" s="21"/>
      <c r="AC218" s="21"/>
      <c r="AD218" s="21"/>
      <c r="AE218" s="21"/>
      <c r="AF218" s="1"/>
      <c r="AG218" s="1"/>
      <c r="AH218" s="1"/>
      <c r="AI218" s="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</row>
    <row r="219" spans="1:47" ht="15.75" customHeight="1">
      <c r="A219" s="21"/>
      <c r="B219" s="21"/>
      <c r="C219" s="1"/>
      <c r="D219" s="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1"/>
      <c r="Y219" s="591"/>
      <c r="Z219" s="21"/>
      <c r="AA219" s="21"/>
      <c r="AB219" s="21"/>
      <c r="AC219" s="21"/>
      <c r="AD219" s="21"/>
      <c r="AE219" s="21"/>
      <c r="AF219" s="1"/>
      <c r="AG219" s="1"/>
      <c r="AH219" s="1"/>
      <c r="AI219" s="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</row>
    <row r="220" spans="1:47" ht="15.75" customHeight="1">
      <c r="A220" s="21"/>
      <c r="B220" s="21"/>
      <c r="C220" s="1"/>
      <c r="D220" s="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1"/>
      <c r="Y220" s="591"/>
      <c r="Z220" s="21"/>
      <c r="AA220" s="21"/>
      <c r="AB220" s="21"/>
      <c r="AC220" s="21"/>
      <c r="AD220" s="21"/>
      <c r="AE220" s="21"/>
      <c r="AF220" s="1"/>
      <c r="AG220" s="1"/>
      <c r="AH220" s="1"/>
      <c r="AI220" s="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</row>
    <row r="221" spans="1:47" ht="15.75" customHeight="1">
      <c r="A221" s="21"/>
      <c r="B221" s="21"/>
      <c r="C221" s="1"/>
      <c r="D221" s="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1"/>
      <c r="Y221" s="591"/>
      <c r="Z221" s="21"/>
      <c r="AA221" s="21"/>
      <c r="AB221" s="21"/>
      <c r="AC221" s="21"/>
      <c r="AD221" s="21"/>
      <c r="AE221" s="21"/>
      <c r="AF221" s="1"/>
      <c r="AG221" s="1"/>
      <c r="AH221" s="1"/>
      <c r="AI221" s="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</row>
    <row r="222" spans="1:47" ht="15.75" customHeight="1">
      <c r="A222" s="21"/>
      <c r="B222" s="21"/>
      <c r="C222" s="1"/>
      <c r="D222" s="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1"/>
      <c r="Y222" s="591"/>
      <c r="Z222" s="21"/>
      <c r="AA222" s="21"/>
      <c r="AB222" s="21"/>
      <c r="AC222" s="21"/>
      <c r="AD222" s="21"/>
      <c r="AE222" s="21"/>
      <c r="AF222" s="1"/>
      <c r="AG222" s="1"/>
      <c r="AH222" s="1"/>
      <c r="AI222" s="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</row>
    <row r="223" spans="1:47" ht="15.75" customHeight="1">
      <c r="A223" s="21"/>
      <c r="B223" s="21"/>
      <c r="C223" s="1"/>
      <c r="D223" s="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1"/>
      <c r="Y223" s="591"/>
      <c r="Z223" s="21"/>
      <c r="AA223" s="21"/>
      <c r="AB223" s="21"/>
      <c r="AC223" s="21"/>
      <c r="AD223" s="21"/>
      <c r="AE223" s="21"/>
      <c r="AF223" s="1"/>
      <c r="AG223" s="1"/>
      <c r="AH223" s="1"/>
      <c r="AI223" s="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</row>
    <row r="224" spans="1:47" ht="15.75" customHeight="1">
      <c r="A224" s="21"/>
      <c r="B224" s="21"/>
      <c r="C224" s="1"/>
      <c r="D224" s="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1"/>
      <c r="Y224" s="591"/>
      <c r="Z224" s="21"/>
      <c r="AA224" s="21"/>
      <c r="AB224" s="21"/>
      <c r="AC224" s="21"/>
      <c r="AD224" s="21"/>
      <c r="AE224" s="21"/>
      <c r="AF224" s="1"/>
      <c r="AG224" s="1"/>
      <c r="AH224" s="1"/>
      <c r="AI224" s="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</row>
    <row r="225" spans="1:47" ht="15.75" customHeight="1">
      <c r="A225" s="21"/>
      <c r="B225" s="21"/>
      <c r="C225" s="1"/>
      <c r="D225" s="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1"/>
      <c r="Y225" s="591"/>
      <c r="Z225" s="21"/>
      <c r="AA225" s="21"/>
      <c r="AB225" s="21"/>
      <c r="AC225" s="21"/>
      <c r="AD225" s="21"/>
      <c r="AE225" s="21"/>
      <c r="AF225" s="1"/>
      <c r="AG225" s="1"/>
      <c r="AH225" s="1"/>
      <c r="AI225" s="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</row>
    <row r="226" spans="1:47" ht="15.75" customHeight="1">
      <c r="A226" s="21"/>
      <c r="B226" s="21"/>
      <c r="C226" s="1"/>
      <c r="D226" s="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1"/>
      <c r="Y226" s="591"/>
      <c r="Z226" s="21"/>
      <c r="AA226" s="21"/>
      <c r="AB226" s="21"/>
      <c r="AC226" s="21"/>
      <c r="AD226" s="21"/>
      <c r="AE226" s="21"/>
      <c r="AF226" s="1"/>
      <c r="AG226" s="1"/>
      <c r="AH226" s="1"/>
      <c r="AI226" s="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</row>
    <row r="227" spans="1:47" ht="15.75" customHeight="1">
      <c r="A227" s="21"/>
      <c r="B227" s="21"/>
      <c r="C227" s="1"/>
      <c r="D227" s="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1"/>
      <c r="Y227" s="591"/>
      <c r="Z227" s="21"/>
      <c r="AA227" s="21"/>
      <c r="AB227" s="21"/>
      <c r="AC227" s="21"/>
      <c r="AD227" s="21"/>
      <c r="AE227" s="21"/>
      <c r="AF227" s="1"/>
      <c r="AG227" s="1"/>
      <c r="AH227" s="1"/>
      <c r="AI227" s="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</row>
    <row r="228" spans="1:47" ht="15.75" customHeight="1">
      <c r="A228" s="21"/>
      <c r="B228" s="21"/>
      <c r="C228" s="1"/>
      <c r="D228" s="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1"/>
      <c r="Y228" s="591"/>
      <c r="Z228" s="21"/>
      <c r="AA228" s="21"/>
      <c r="AB228" s="21"/>
      <c r="AC228" s="21"/>
      <c r="AD228" s="21"/>
      <c r="AE228" s="21"/>
      <c r="AF228" s="1"/>
      <c r="AG228" s="1"/>
      <c r="AH228" s="1"/>
      <c r="AI228" s="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</row>
    <row r="229" spans="1:47" ht="15.75" customHeight="1">
      <c r="A229" s="21"/>
      <c r="B229" s="21"/>
      <c r="C229" s="1"/>
      <c r="D229" s="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1"/>
      <c r="Y229" s="591"/>
      <c r="Z229" s="21"/>
      <c r="AA229" s="21"/>
      <c r="AB229" s="21"/>
      <c r="AC229" s="21"/>
      <c r="AD229" s="21"/>
      <c r="AE229" s="21"/>
      <c r="AF229" s="1"/>
      <c r="AG229" s="1"/>
      <c r="AH229" s="1"/>
      <c r="AI229" s="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</row>
    <row r="230" spans="1:47" ht="15.75" customHeight="1">
      <c r="A230" s="21"/>
      <c r="B230" s="21"/>
      <c r="C230" s="1"/>
      <c r="D230" s="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1"/>
      <c r="Y230" s="591"/>
      <c r="Z230" s="21"/>
      <c r="AA230" s="21"/>
      <c r="AB230" s="21"/>
      <c r="AC230" s="21"/>
      <c r="AD230" s="21"/>
      <c r="AE230" s="21"/>
      <c r="AF230" s="1"/>
      <c r="AG230" s="1"/>
      <c r="AH230" s="1"/>
      <c r="AI230" s="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</row>
    <row r="231" spans="1:47" ht="15.75" customHeight="1">
      <c r="A231" s="21"/>
      <c r="B231" s="21"/>
      <c r="C231" s="1"/>
      <c r="D231" s="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1"/>
      <c r="Y231" s="591"/>
      <c r="Z231" s="21"/>
      <c r="AA231" s="21"/>
      <c r="AB231" s="21"/>
      <c r="AC231" s="21"/>
      <c r="AD231" s="21"/>
      <c r="AE231" s="21"/>
      <c r="AF231" s="1"/>
      <c r="AG231" s="1"/>
      <c r="AH231" s="1"/>
      <c r="AI231" s="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</row>
    <row r="232" spans="1:47" ht="15.75" customHeight="1">
      <c r="A232" s="21"/>
      <c r="B232" s="21"/>
      <c r="C232" s="1"/>
      <c r="D232" s="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1"/>
      <c r="Y232" s="591"/>
      <c r="Z232" s="21"/>
      <c r="AA232" s="21"/>
      <c r="AB232" s="21"/>
      <c r="AC232" s="21"/>
      <c r="AD232" s="21"/>
      <c r="AE232" s="21"/>
      <c r="AF232" s="1"/>
      <c r="AG232" s="1"/>
      <c r="AH232" s="1"/>
      <c r="AI232" s="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</row>
    <row r="233" spans="1:47" ht="15.75" customHeight="1">
      <c r="A233" s="21"/>
      <c r="B233" s="21"/>
      <c r="C233" s="1"/>
      <c r="D233" s="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1"/>
      <c r="Y233" s="591"/>
      <c r="Z233" s="21"/>
      <c r="AA233" s="21"/>
      <c r="AB233" s="21"/>
      <c r="AC233" s="21"/>
      <c r="AD233" s="21"/>
      <c r="AE233" s="21"/>
      <c r="AF233" s="1"/>
      <c r="AG233" s="1"/>
      <c r="AH233" s="1"/>
      <c r="AI233" s="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</row>
    <row r="234" spans="1:47" ht="15.75" customHeight="1">
      <c r="A234" s="21"/>
      <c r="B234" s="21"/>
      <c r="C234" s="1"/>
      <c r="D234" s="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1"/>
      <c r="Y234" s="591"/>
      <c r="Z234" s="21"/>
      <c r="AA234" s="21"/>
      <c r="AB234" s="21"/>
      <c r="AC234" s="21"/>
      <c r="AD234" s="21"/>
      <c r="AE234" s="21"/>
      <c r="AF234" s="1"/>
      <c r="AG234" s="1"/>
      <c r="AH234" s="1"/>
      <c r="AI234" s="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</row>
    <row r="235" spans="1:47" ht="15.75" customHeight="1">
      <c r="A235" s="21"/>
      <c r="B235" s="21"/>
      <c r="C235" s="1"/>
      <c r="D235" s="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1"/>
      <c r="Y235" s="591"/>
      <c r="Z235" s="21"/>
      <c r="AA235" s="21"/>
      <c r="AB235" s="21"/>
      <c r="AC235" s="21"/>
      <c r="AD235" s="21"/>
      <c r="AE235" s="21"/>
      <c r="AF235" s="1"/>
      <c r="AG235" s="1"/>
      <c r="AH235" s="1"/>
      <c r="AI235" s="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</row>
    <row r="236" spans="1:47" ht="15.75" customHeight="1">
      <c r="A236" s="21"/>
      <c r="B236" s="21"/>
      <c r="C236" s="1"/>
      <c r="D236" s="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1"/>
      <c r="Y236" s="591"/>
      <c r="Z236" s="21"/>
      <c r="AA236" s="21"/>
      <c r="AB236" s="21"/>
      <c r="AC236" s="21"/>
      <c r="AD236" s="21"/>
      <c r="AE236" s="21"/>
      <c r="AF236" s="1"/>
      <c r="AG236" s="1"/>
      <c r="AH236" s="1"/>
      <c r="AI236" s="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</row>
    <row r="237" spans="1:47" ht="15.75" customHeight="1">
      <c r="A237" s="21"/>
      <c r="B237" s="21"/>
      <c r="C237" s="1"/>
      <c r="D237" s="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1"/>
      <c r="Y237" s="591"/>
      <c r="Z237" s="21"/>
      <c r="AA237" s="21"/>
      <c r="AB237" s="21"/>
      <c r="AC237" s="21"/>
      <c r="AD237" s="21"/>
      <c r="AE237" s="21"/>
      <c r="AF237" s="1"/>
      <c r="AG237" s="1"/>
      <c r="AH237" s="1"/>
      <c r="AI237" s="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</row>
    <row r="238" spans="1:47" ht="15.75" customHeight="1">
      <c r="A238" s="21"/>
      <c r="B238" s="21"/>
      <c r="C238" s="1"/>
      <c r="D238" s="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1"/>
      <c r="Y238" s="591"/>
      <c r="Z238" s="21"/>
      <c r="AA238" s="21"/>
      <c r="AB238" s="21"/>
      <c r="AC238" s="21"/>
      <c r="AD238" s="21"/>
      <c r="AE238" s="21"/>
      <c r="AF238" s="1"/>
      <c r="AG238" s="1"/>
      <c r="AH238" s="1"/>
      <c r="AI238" s="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</row>
    <row r="239" spans="1:47" ht="15.75" customHeight="1">
      <c r="A239" s="21"/>
      <c r="B239" s="21"/>
      <c r="C239" s="1"/>
      <c r="D239" s="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1"/>
      <c r="Y239" s="591"/>
      <c r="Z239" s="21"/>
      <c r="AA239" s="21"/>
      <c r="AB239" s="21"/>
      <c r="AC239" s="21"/>
      <c r="AD239" s="21"/>
      <c r="AE239" s="21"/>
      <c r="AF239" s="1"/>
      <c r="AG239" s="1"/>
      <c r="AH239" s="1"/>
      <c r="AI239" s="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</row>
    <row r="240" spans="1:47" ht="15.75" customHeight="1">
      <c r="A240" s="21"/>
      <c r="B240" s="21"/>
      <c r="C240" s="1"/>
      <c r="D240" s="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1"/>
      <c r="Y240" s="591"/>
      <c r="Z240" s="21"/>
      <c r="AA240" s="21"/>
      <c r="AB240" s="21"/>
      <c r="AC240" s="21"/>
      <c r="AD240" s="21"/>
      <c r="AE240" s="21"/>
      <c r="AF240" s="1"/>
      <c r="AG240" s="1"/>
      <c r="AH240" s="1"/>
      <c r="AI240" s="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</row>
    <row r="241" spans="1:47" ht="15.75" customHeight="1">
      <c r="A241" s="21"/>
      <c r="B241" s="21"/>
      <c r="C241" s="1"/>
      <c r="D241" s="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1"/>
      <c r="Y241" s="591"/>
      <c r="Z241" s="21"/>
      <c r="AA241" s="21"/>
      <c r="AB241" s="21"/>
      <c r="AC241" s="21"/>
      <c r="AD241" s="21"/>
      <c r="AE241" s="21"/>
      <c r="AF241" s="1"/>
      <c r="AG241" s="1"/>
      <c r="AH241" s="1"/>
      <c r="AI241" s="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</row>
    <row r="242" spans="1:47" ht="15.75" customHeight="1">
      <c r="A242" s="21"/>
      <c r="B242" s="21"/>
      <c r="C242" s="1"/>
      <c r="D242" s="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1"/>
      <c r="Y242" s="591"/>
      <c r="Z242" s="21"/>
      <c r="AA242" s="21"/>
      <c r="AB242" s="21"/>
      <c r="AC242" s="21"/>
      <c r="AD242" s="21"/>
      <c r="AE242" s="21"/>
      <c r="AF242" s="1"/>
      <c r="AG242" s="1"/>
      <c r="AH242" s="1"/>
      <c r="AI242" s="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</row>
    <row r="243" spans="1:47" ht="15.75" customHeight="1">
      <c r="A243" s="21"/>
      <c r="B243" s="21"/>
      <c r="C243" s="1"/>
      <c r="D243" s="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1"/>
      <c r="Y243" s="591"/>
      <c r="Z243" s="21"/>
      <c r="AA243" s="21"/>
      <c r="AB243" s="21"/>
      <c r="AC243" s="21"/>
      <c r="AD243" s="21"/>
      <c r="AE243" s="21"/>
      <c r="AF243" s="1"/>
      <c r="AG243" s="1"/>
      <c r="AH243" s="1"/>
      <c r="AI243" s="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</row>
    <row r="244" spans="1:47" ht="15.75" customHeight="1">
      <c r="A244" s="21"/>
      <c r="B244" s="21"/>
      <c r="C244" s="1"/>
      <c r="D244" s="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1"/>
      <c r="Y244" s="591"/>
      <c r="Z244" s="21"/>
      <c r="AA244" s="21"/>
      <c r="AB244" s="21"/>
      <c r="AC244" s="21"/>
      <c r="AD244" s="21"/>
      <c r="AE244" s="21"/>
      <c r="AF244" s="1"/>
      <c r="AG244" s="1"/>
      <c r="AH244" s="1"/>
      <c r="AI244" s="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</row>
    <row r="245" spans="1:47" ht="15.75" customHeight="1">
      <c r="A245" s="21"/>
      <c r="B245" s="21"/>
      <c r="C245" s="1"/>
      <c r="D245" s="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1"/>
      <c r="Y245" s="591"/>
      <c r="Z245" s="21"/>
      <c r="AA245" s="21"/>
      <c r="AB245" s="21"/>
      <c r="AC245" s="21"/>
      <c r="AD245" s="21"/>
      <c r="AE245" s="21"/>
      <c r="AF245" s="1"/>
      <c r="AG245" s="1"/>
      <c r="AH245" s="1"/>
      <c r="AI245" s="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</row>
    <row r="246" spans="1:47" ht="15.75" customHeight="1">
      <c r="A246" s="21"/>
      <c r="B246" s="21"/>
      <c r="C246" s="1"/>
      <c r="D246" s="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1"/>
      <c r="Y246" s="591"/>
      <c r="Z246" s="21"/>
      <c r="AA246" s="21"/>
      <c r="AB246" s="21"/>
      <c r="AC246" s="21"/>
      <c r="AD246" s="21"/>
      <c r="AE246" s="21"/>
      <c r="AF246" s="1"/>
      <c r="AG246" s="1"/>
      <c r="AH246" s="1"/>
      <c r="AI246" s="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</row>
    <row r="247" spans="1:47" ht="15.75" customHeight="1">
      <c r="A247" s="21"/>
      <c r="B247" s="21"/>
      <c r="C247" s="1"/>
      <c r="D247" s="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1"/>
      <c r="Y247" s="591"/>
      <c r="Z247" s="21"/>
      <c r="AA247" s="21"/>
      <c r="AB247" s="21"/>
      <c r="AC247" s="21"/>
      <c r="AD247" s="21"/>
      <c r="AE247" s="21"/>
      <c r="AF247" s="1"/>
      <c r="AG247" s="1"/>
      <c r="AH247" s="1"/>
      <c r="AI247" s="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</row>
    <row r="248" spans="1:47" ht="15.75" customHeight="1">
      <c r="A248" s="21"/>
      <c r="B248" s="21"/>
      <c r="C248" s="1"/>
      <c r="D248" s="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1"/>
      <c r="Y248" s="591"/>
      <c r="Z248" s="21"/>
      <c r="AA248" s="21"/>
      <c r="AB248" s="21"/>
      <c r="AC248" s="21"/>
      <c r="AD248" s="21"/>
      <c r="AE248" s="21"/>
      <c r="AF248" s="1"/>
      <c r="AG248" s="1"/>
      <c r="AH248" s="1"/>
      <c r="AI248" s="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</row>
    <row r="249" spans="1:47" ht="15.75" customHeight="1">
      <c r="A249" s="21"/>
      <c r="B249" s="21"/>
      <c r="C249" s="1"/>
      <c r="D249" s="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1"/>
      <c r="Y249" s="591"/>
      <c r="Z249" s="21"/>
      <c r="AA249" s="21"/>
      <c r="AB249" s="21"/>
      <c r="AC249" s="21"/>
      <c r="AD249" s="21"/>
      <c r="AE249" s="21"/>
      <c r="AF249" s="1"/>
      <c r="AG249" s="1"/>
      <c r="AH249" s="1"/>
      <c r="AI249" s="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</row>
    <row r="250" spans="1:47" ht="15.75" customHeight="1">
      <c r="A250" s="21"/>
      <c r="B250" s="21"/>
      <c r="C250" s="1"/>
      <c r="D250" s="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1"/>
      <c r="Y250" s="591"/>
      <c r="Z250" s="21"/>
      <c r="AA250" s="21"/>
      <c r="AB250" s="21"/>
      <c r="AC250" s="21"/>
      <c r="AD250" s="21"/>
      <c r="AE250" s="21"/>
      <c r="AF250" s="1"/>
      <c r="AG250" s="1"/>
      <c r="AH250" s="1"/>
      <c r="AI250" s="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</row>
    <row r="251" spans="1:47" ht="15.75" customHeight="1">
      <c r="A251" s="21"/>
      <c r="B251" s="21"/>
      <c r="C251" s="1"/>
      <c r="D251" s="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1"/>
      <c r="Y251" s="591"/>
      <c r="Z251" s="21"/>
      <c r="AA251" s="21"/>
      <c r="AB251" s="21"/>
      <c r="AC251" s="21"/>
      <c r="AD251" s="21"/>
      <c r="AE251" s="21"/>
      <c r="AF251" s="1"/>
      <c r="AG251" s="1"/>
      <c r="AH251" s="1"/>
      <c r="AI251" s="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</row>
    <row r="252" spans="1:47" ht="15.75" customHeight="1">
      <c r="A252" s="21"/>
      <c r="B252" s="21"/>
      <c r="C252" s="1"/>
      <c r="D252" s="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1"/>
      <c r="Y252" s="591"/>
      <c r="Z252" s="21"/>
      <c r="AA252" s="21"/>
      <c r="AB252" s="21"/>
      <c r="AC252" s="21"/>
      <c r="AD252" s="21"/>
      <c r="AE252" s="21"/>
      <c r="AF252" s="1"/>
      <c r="AG252" s="1"/>
      <c r="AH252" s="1"/>
      <c r="AI252" s="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</row>
    <row r="253" spans="1:47" ht="15.75" customHeight="1">
      <c r="A253" s="21"/>
      <c r="B253" s="21"/>
      <c r="C253" s="1"/>
      <c r="D253" s="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1"/>
      <c r="Y253" s="591"/>
      <c r="Z253" s="21"/>
      <c r="AA253" s="21"/>
      <c r="AB253" s="21"/>
      <c r="AC253" s="21"/>
      <c r="AD253" s="21"/>
      <c r="AE253" s="21"/>
      <c r="AF253" s="1"/>
      <c r="AG253" s="1"/>
      <c r="AH253" s="1"/>
      <c r="AI253" s="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</row>
    <row r="254" spans="1:47" ht="15.75" customHeight="1">
      <c r="A254" s="21"/>
      <c r="B254" s="21"/>
      <c r="C254" s="1"/>
      <c r="D254" s="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1"/>
      <c r="Y254" s="591"/>
      <c r="Z254" s="21"/>
      <c r="AA254" s="21"/>
      <c r="AB254" s="21"/>
      <c r="AC254" s="21"/>
      <c r="AD254" s="21"/>
      <c r="AE254" s="21"/>
      <c r="AF254" s="1"/>
      <c r="AG254" s="1"/>
      <c r="AH254" s="1"/>
      <c r="AI254" s="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</row>
    <row r="255" spans="1:47" ht="15.75" customHeight="1">
      <c r="A255" s="21"/>
      <c r="B255" s="21"/>
      <c r="C255" s="1"/>
      <c r="D255" s="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1"/>
      <c r="Y255" s="591"/>
      <c r="Z255" s="21"/>
      <c r="AA255" s="21"/>
      <c r="AB255" s="21"/>
      <c r="AC255" s="21"/>
      <c r="AD255" s="21"/>
      <c r="AE255" s="21"/>
      <c r="AF255" s="1"/>
      <c r="AG255" s="1"/>
      <c r="AH255" s="1"/>
      <c r="AI255" s="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</row>
    <row r="256" spans="1:47" ht="15.75" customHeight="1">
      <c r="A256" s="21"/>
      <c r="B256" s="21"/>
      <c r="C256" s="1"/>
      <c r="D256" s="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1"/>
      <c r="Y256" s="591"/>
      <c r="Z256" s="21"/>
      <c r="AA256" s="21"/>
      <c r="AB256" s="21"/>
      <c r="AC256" s="21"/>
      <c r="AD256" s="21"/>
      <c r="AE256" s="21"/>
      <c r="AF256" s="1"/>
      <c r="AG256" s="1"/>
      <c r="AH256" s="1"/>
      <c r="AI256" s="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</row>
    <row r="257" spans="1:47" ht="15.75" customHeight="1">
      <c r="A257" s="21"/>
      <c r="B257" s="21"/>
      <c r="C257" s="1"/>
      <c r="D257" s="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1"/>
      <c r="Y257" s="591"/>
      <c r="Z257" s="21"/>
      <c r="AA257" s="21"/>
      <c r="AB257" s="21"/>
      <c r="AC257" s="21"/>
      <c r="AD257" s="21"/>
      <c r="AE257" s="21"/>
      <c r="AF257" s="1"/>
      <c r="AG257" s="1"/>
      <c r="AH257" s="1"/>
      <c r="AI257" s="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</row>
    <row r="258" spans="1:47" ht="15.75" customHeight="1">
      <c r="A258" s="21"/>
      <c r="B258" s="21"/>
      <c r="C258" s="1"/>
      <c r="D258" s="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1"/>
      <c r="Y258" s="591"/>
      <c r="Z258" s="21"/>
      <c r="AA258" s="21"/>
      <c r="AB258" s="21"/>
      <c r="AC258" s="21"/>
      <c r="AD258" s="21"/>
      <c r="AE258" s="21"/>
      <c r="AF258" s="1"/>
      <c r="AG258" s="1"/>
      <c r="AH258" s="1"/>
      <c r="AI258" s="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</row>
    <row r="259" spans="1:47" ht="15.75" customHeight="1">
      <c r="A259" s="21"/>
      <c r="B259" s="21"/>
      <c r="C259" s="1"/>
      <c r="D259" s="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1"/>
      <c r="Y259" s="591"/>
      <c r="Z259" s="21"/>
      <c r="AA259" s="21"/>
      <c r="AB259" s="21"/>
      <c r="AC259" s="21"/>
      <c r="AD259" s="21"/>
      <c r="AE259" s="21"/>
      <c r="AF259" s="1"/>
      <c r="AG259" s="1"/>
      <c r="AH259" s="1"/>
      <c r="AI259" s="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</row>
    <row r="260" spans="1:47" ht="15.75" customHeight="1">
      <c r="A260" s="21"/>
      <c r="B260" s="21"/>
      <c r="C260" s="1"/>
      <c r="D260" s="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1"/>
      <c r="Y260" s="591"/>
      <c r="Z260" s="21"/>
      <c r="AA260" s="21"/>
      <c r="AB260" s="21"/>
      <c r="AC260" s="21"/>
      <c r="AD260" s="21"/>
      <c r="AE260" s="21"/>
      <c r="AF260" s="1"/>
      <c r="AG260" s="1"/>
      <c r="AH260" s="1"/>
      <c r="AI260" s="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</row>
    <row r="261" spans="1:47" ht="15.75" customHeight="1">
      <c r="A261" s="21"/>
      <c r="B261" s="21"/>
      <c r="C261" s="1"/>
      <c r="D261" s="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1"/>
      <c r="Y261" s="591"/>
      <c r="Z261" s="21"/>
      <c r="AA261" s="21"/>
      <c r="AB261" s="21"/>
      <c r="AC261" s="21"/>
      <c r="AD261" s="21"/>
      <c r="AE261" s="21"/>
      <c r="AF261" s="1"/>
      <c r="AG261" s="1"/>
      <c r="AH261" s="1"/>
      <c r="AI261" s="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</row>
    <row r="262" spans="1:47" ht="15.75" customHeight="1">
      <c r="A262" s="21"/>
      <c r="B262" s="21"/>
      <c r="C262" s="1"/>
      <c r="D262" s="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1"/>
      <c r="Y262" s="591"/>
      <c r="Z262" s="21"/>
      <c r="AA262" s="21"/>
      <c r="AB262" s="21"/>
      <c r="AC262" s="21"/>
      <c r="AD262" s="21"/>
      <c r="AE262" s="21"/>
      <c r="AF262" s="1"/>
      <c r="AG262" s="1"/>
      <c r="AH262" s="1"/>
      <c r="AI262" s="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</row>
    <row r="263" spans="1:47" ht="15.75" customHeight="1">
      <c r="A263" s="21"/>
      <c r="B263" s="21"/>
      <c r="C263" s="1"/>
      <c r="D263" s="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1"/>
      <c r="Y263" s="591"/>
      <c r="Z263" s="21"/>
      <c r="AA263" s="21"/>
      <c r="AB263" s="21"/>
      <c r="AC263" s="21"/>
      <c r="AD263" s="21"/>
      <c r="AE263" s="21"/>
      <c r="AF263" s="1"/>
      <c r="AG263" s="1"/>
      <c r="AH263" s="1"/>
      <c r="AI263" s="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</row>
    <row r="264" spans="1:47" ht="15.75" customHeight="1">
      <c r="A264" s="21"/>
      <c r="B264" s="21"/>
      <c r="C264" s="1"/>
      <c r="D264" s="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1"/>
      <c r="Y264" s="591"/>
      <c r="Z264" s="21"/>
      <c r="AA264" s="21"/>
      <c r="AB264" s="21"/>
      <c r="AC264" s="21"/>
      <c r="AD264" s="21"/>
      <c r="AE264" s="21"/>
      <c r="AF264" s="1"/>
      <c r="AG264" s="1"/>
      <c r="AH264" s="1"/>
      <c r="AI264" s="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</row>
    <row r="265" spans="1:47" ht="15.75" customHeight="1">
      <c r="A265" s="21"/>
      <c r="B265" s="21"/>
      <c r="C265" s="1"/>
      <c r="D265" s="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1"/>
      <c r="Y265" s="591"/>
      <c r="Z265" s="21"/>
      <c r="AA265" s="21"/>
      <c r="AB265" s="21"/>
      <c r="AC265" s="21"/>
      <c r="AD265" s="21"/>
      <c r="AE265" s="21"/>
      <c r="AF265" s="1"/>
      <c r="AG265" s="1"/>
      <c r="AH265" s="1"/>
      <c r="AI265" s="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</row>
    <row r="266" spans="1:47" ht="15.75" customHeight="1">
      <c r="A266" s="21"/>
      <c r="B266" s="21"/>
      <c r="C266" s="1"/>
      <c r="D266" s="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1"/>
      <c r="Y266" s="591"/>
      <c r="Z266" s="21"/>
      <c r="AA266" s="21"/>
      <c r="AB266" s="21"/>
      <c r="AC266" s="21"/>
      <c r="AD266" s="21"/>
      <c r="AE266" s="21"/>
      <c r="AF266" s="1"/>
      <c r="AG266" s="1"/>
      <c r="AH266" s="1"/>
      <c r="AI266" s="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</row>
    <row r="267" spans="1:47" ht="15.75" customHeight="1">
      <c r="A267" s="21"/>
      <c r="B267" s="21"/>
      <c r="C267" s="1"/>
      <c r="D267" s="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1"/>
      <c r="Y267" s="591"/>
      <c r="Z267" s="21"/>
      <c r="AA267" s="21"/>
      <c r="AB267" s="21"/>
      <c r="AC267" s="21"/>
      <c r="AD267" s="21"/>
      <c r="AE267" s="21"/>
      <c r="AF267" s="1"/>
      <c r="AG267" s="1"/>
      <c r="AH267" s="1"/>
      <c r="AI267" s="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</row>
    <row r="268" spans="1:47" ht="15.75" customHeight="1">
      <c r="A268" s="21"/>
      <c r="B268" s="21"/>
      <c r="C268" s="1"/>
      <c r="D268" s="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1"/>
      <c r="Y268" s="591"/>
      <c r="Z268" s="21"/>
      <c r="AA268" s="21"/>
      <c r="AB268" s="21"/>
      <c r="AC268" s="21"/>
      <c r="AD268" s="21"/>
      <c r="AE268" s="21"/>
      <c r="AF268" s="1"/>
      <c r="AG268" s="1"/>
      <c r="AH268" s="1"/>
      <c r="AI268" s="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</row>
    <row r="269" spans="1:47" ht="15.75" customHeight="1">
      <c r="A269" s="21"/>
      <c r="B269" s="21"/>
      <c r="C269" s="1"/>
      <c r="D269" s="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1"/>
      <c r="Y269" s="591"/>
      <c r="Z269" s="21"/>
      <c r="AA269" s="21"/>
      <c r="AB269" s="21"/>
      <c r="AC269" s="21"/>
      <c r="AD269" s="21"/>
      <c r="AE269" s="21"/>
      <c r="AF269" s="1"/>
      <c r="AG269" s="1"/>
      <c r="AH269" s="1"/>
      <c r="AI269" s="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</row>
    <row r="270" spans="1:47" ht="15.75" customHeight="1">
      <c r="A270" s="21"/>
      <c r="B270" s="21"/>
      <c r="C270" s="1"/>
      <c r="D270" s="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1"/>
      <c r="Y270" s="591"/>
      <c r="Z270" s="21"/>
      <c r="AA270" s="21"/>
      <c r="AB270" s="21"/>
      <c r="AC270" s="21"/>
      <c r="AD270" s="21"/>
      <c r="AE270" s="21"/>
      <c r="AF270" s="1"/>
      <c r="AG270" s="1"/>
      <c r="AH270" s="1"/>
      <c r="AI270" s="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</row>
    <row r="271" spans="1:47" ht="15.75" customHeight="1">
      <c r="A271" s="21"/>
      <c r="B271" s="21"/>
      <c r="C271" s="1"/>
      <c r="D271" s="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1"/>
      <c r="Y271" s="591"/>
      <c r="Z271" s="21"/>
      <c r="AA271" s="21"/>
      <c r="AB271" s="21"/>
      <c r="AC271" s="21"/>
      <c r="AD271" s="21"/>
      <c r="AE271" s="21"/>
      <c r="AF271" s="1"/>
      <c r="AG271" s="1"/>
      <c r="AH271" s="1"/>
      <c r="AI271" s="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</row>
    <row r="272" spans="1:47" ht="15.75" customHeight="1">
      <c r="A272" s="21"/>
      <c r="B272" s="21"/>
      <c r="C272" s="1"/>
      <c r="D272" s="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1"/>
      <c r="Y272" s="591"/>
      <c r="Z272" s="21"/>
      <c r="AA272" s="21"/>
      <c r="AB272" s="21"/>
      <c r="AC272" s="21"/>
      <c r="AD272" s="21"/>
      <c r="AE272" s="21"/>
      <c r="AF272" s="1"/>
      <c r="AG272" s="1"/>
      <c r="AH272" s="1"/>
      <c r="AI272" s="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</row>
    <row r="273" spans="1:47" ht="15.75" customHeight="1">
      <c r="A273" s="21"/>
      <c r="B273" s="21"/>
      <c r="C273" s="1"/>
      <c r="D273" s="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1"/>
      <c r="Y273" s="591"/>
      <c r="Z273" s="21"/>
      <c r="AA273" s="21"/>
      <c r="AB273" s="21"/>
      <c r="AC273" s="21"/>
      <c r="AD273" s="21"/>
      <c r="AE273" s="21"/>
      <c r="AF273" s="1"/>
      <c r="AG273" s="1"/>
      <c r="AH273" s="1"/>
      <c r="AI273" s="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</row>
    <row r="274" spans="1:47" ht="15.75" customHeight="1">
      <c r="A274" s="21"/>
      <c r="B274" s="21"/>
      <c r="C274" s="1"/>
      <c r="D274" s="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1"/>
      <c r="Y274" s="591"/>
      <c r="Z274" s="21"/>
      <c r="AA274" s="21"/>
      <c r="AB274" s="21"/>
      <c r="AC274" s="21"/>
      <c r="AD274" s="21"/>
      <c r="AE274" s="21"/>
      <c r="AF274" s="1"/>
      <c r="AG274" s="1"/>
      <c r="AH274" s="1"/>
      <c r="AI274" s="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</row>
    <row r="275" spans="1:47" ht="15.75" customHeight="1">
      <c r="A275" s="21"/>
      <c r="B275" s="21"/>
      <c r="C275" s="1"/>
      <c r="D275" s="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1"/>
      <c r="Y275" s="591"/>
      <c r="Z275" s="21"/>
      <c r="AA275" s="21"/>
      <c r="AB275" s="21"/>
      <c r="AC275" s="21"/>
      <c r="AD275" s="21"/>
      <c r="AE275" s="21"/>
      <c r="AF275" s="1"/>
      <c r="AG275" s="1"/>
      <c r="AH275" s="1"/>
      <c r="AI275" s="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</row>
    <row r="276" spans="1:47" ht="15.75" customHeight="1">
      <c r="A276" s="21"/>
      <c r="B276" s="21"/>
      <c r="C276" s="1"/>
      <c r="D276" s="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1"/>
      <c r="Y276" s="591"/>
      <c r="Z276" s="21"/>
      <c r="AA276" s="21"/>
      <c r="AB276" s="21"/>
      <c r="AC276" s="21"/>
      <c r="AD276" s="21"/>
      <c r="AE276" s="21"/>
      <c r="AF276" s="1"/>
      <c r="AG276" s="1"/>
      <c r="AH276" s="1"/>
      <c r="AI276" s="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</row>
    <row r="277" spans="1:47" ht="15.75" customHeight="1">
      <c r="A277" s="21"/>
      <c r="B277" s="21"/>
      <c r="C277" s="1"/>
      <c r="D277" s="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1"/>
      <c r="Y277" s="591"/>
      <c r="Z277" s="21"/>
      <c r="AA277" s="21"/>
      <c r="AB277" s="21"/>
      <c r="AC277" s="21"/>
      <c r="AD277" s="21"/>
      <c r="AE277" s="21"/>
      <c r="AF277" s="1"/>
      <c r="AG277" s="1"/>
      <c r="AH277" s="1"/>
      <c r="AI277" s="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</row>
    <row r="278" spans="1:47" ht="15.75" customHeight="1">
      <c r="A278" s="21"/>
      <c r="B278" s="21"/>
      <c r="C278" s="1"/>
      <c r="D278" s="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1"/>
      <c r="Y278" s="591"/>
      <c r="Z278" s="21"/>
      <c r="AA278" s="21"/>
      <c r="AB278" s="21"/>
      <c r="AC278" s="21"/>
      <c r="AD278" s="21"/>
      <c r="AE278" s="21"/>
      <c r="AF278" s="1"/>
      <c r="AG278" s="1"/>
      <c r="AH278" s="1"/>
      <c r="AI278" s="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</row>
    <row r="279" spans="1:47" ht="15.75" customHeight="1">
      <c r="A279" s="21"/>
      <c r="B279" s="21"/>
      <c r="C279" s="1"/>
      <c r="D279" s="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1"/>
      <c r="Y279" s="591"/>
      <c r="Z279" s="21"/>
      <c r="AA279" s="21"/>
      <c r="AB279" s="21"/>
      <c r="AC279" s="21"/>
      <c r="AD279" s="21"/>
      <c r="AE279" s="21"/>
      <c r="AF279" s="1"/>
      <c r="AG279" s="1"/>
      <c r="AH279" s="1"/>
      <c r="AI279" s="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</row>
    <row r="280" spans="1:47" ht="15.75" customHeight="1">
      <c r="A280" s="21"/>
      <c r="B280" s="21"/>
      <c r="C280" s="1"/>
      <c r="D280" s="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1"/>
      <c r="Y280" s="591"/>
      <c r="Z280" s="21"/>
      <c r="AA280" s="21"/>
      <c r="AB280" s="21"/>
      <c r="AC280" s="21"/>
      <c r="AD280" s="21"/>
      <c r="AE280" s="21"/>
      <c r="AF280" s="1"/>
      <c r="AG280" s="1"/>
      <c r="AH280" s="1"/>
      <c r="AI280" s="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</row>
    <row r="281" spans="1:47" ht="15.75" customHeight="1"/>
    <row r="282" spans="1:47" ht="15.75" customHeight="1"/>
    <row r="283" spans="1:47" ht="15.75" customHeight="1"/>
    <row r="284" spans="1:47" ht="15.75" customHeight="1"/>
    <row r="285" spans="1:47" ht="15.75" customHeight="1"/>
    <row r="286" spans="1:47" ht="15.75" customHeight="1"/>
    <row r="287" spans="1:47" ht="15.75" customHeight="1"/>
    <row r="288" spans="1:47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D42:AK42"/>
    <mergeCell ref="K1:M1"/>
    <mergeCell ref="N1:P1"/>
    <mergeCell ref="Q1:S1"/>
    <mergeCell ref="T1:V1"/>
    <mergeCell ref="W1:X1"/>
  </mergeCells>
  <phoneticPr fontId="65" type="noConversion"/>
  <conditionalFormatting sqref="B3:C77 X69:X72">
    <cfRule type="cellIs" dxfId="34" priority="1" stopIfTrue="1" operator="equal">
      <formula>$B$81</formula>
    </cfRule>
  </conditionalFormatting>
  <conditionalFormatting sqref="F3:F78">
    <cfRule type="notContainsBlanks" dxfId="33" priority="2">
      <formula>LEN(TRIM(F3))&gt;0</formula>
    </cfRule>
  </conditionalFormatting>
  <conditionalFormatting sqref="G3:G78">
    <cfRule type="notContainsBlanks" dxfId="32" priority="3">
      <formula>LEN(TRIM(G3))&gt;0</formula>
    </cfRule>
  </conditionalFormatting>
  <conditionalFormatting sqref="H3:H68">
    <cfRule type="notContainsBlanks" dxfId="31" priority="4">
      <formula>LEN(TRIM(H3))&gt;0</formula>
    </cfRule>
  </conditionalFormatting>
  <conditionalFormatting sqref="J3:J78">
    <cfRule type="cellIs" dxfId="30" priority="5" stopIfTrue="1" operator="greaterThan">
      <formula>0</formula>
    </cfRule>
  </conditionalFormatting>
  <conditionalFormatting sqref="Y3:Y78">
    <cfRule type="cellIs" dxfId="29" priority="6" operator="equal">
      <formula>$Y$1</formula>
    </cfRule>
  </conditionalFormatting>
  <pageMargins left="0.69930555555555596" right="0.69930555555555596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Y1000"/>
  <sheetViews>
    <sheetView workbookViewId="0"/>
  </sheetViews>
  <sheetFormatPr defaultColWidth="11.09765625" defaultRowHeight="15" customHeight="1"/>
  <cols>
    <col min="7" max="7" width="11.796875" customWidth="1"/>
    <col min="8" max="8" width="15.796875" customWidth="1"/>
    <col min="9" max="9" width="15.59765625" customWidth="1"/>
    <col min="10" max="10" width="34.59765625" customWidth="1"/>
    <col min="11" max="11" width="6.296875" customWidth="1"/>
    <col min="12" max="12" width="1.296875" customWidth="1"/>
    <col min="13" max="13" width="6.59765625" customWidth="1"/>
    <col min="14" max="14" width="6.796875" customWidth="1"/>
    <col min="15" max="16" width="5.59765625" customWidth="1"/>
    <col min="17" max="17" width="4.09765625" customWidth="1"/>
    <col min="18" max="18" width="6.296875" customWidth="1"/>
    <col min="19" max="19" width="1.296875" customWidth="1"/>
    <col min="20" max="20" width="6.296875" customWidth="1"/>
    <col min="21" max="21" width="6.796875" customWidth="1"/>
    <col min="22" max="23" width="5.59765625" customWidth="1"/>
    <col min="24" max="24" width="4.09765625" customWidth="1"/>
    <col min="25" max="25" width="6.296875" customWidth="1"/>
    <col min="26" max="26" width="1.296875" customWidth="1"/>
    <col min="27" max="27" width="6.296875" customWidth="1"/>
    <col min="28" max="28" width="6.796875" customWidth="1"/>
    <col min="29" max="30" width="5.59765625" customWidth="1"/>
    <col min="31" max="31" width="4.296875" customWidth="1"/>
    <col min="32" max="32" width="6.296875" customWidth="1"/>
    <col min="33" max="33" width="1.296875" customWidth="1"/>
    <col min="34" max="34" width="6.296875" customWidth="1"/>
    <col min="35" max="35" width="6.796875" customWidth="1"/>
    <col min="36" max="36" width="5.59765625" customWidth="1"/>
    <col min="37" max="37" width="9.59765625" customWidth="1"/>
    <col min="38" max="38" width="6.296875" customWidth="1"/>
    <col min="39" max="39" width="1.296875" customWidth="1"/>
    <col min="40" max="40" width="6.296875" customWidth="1"/>
    <col min="41" max="41" width="6.796875" customWidth="1"/>
    <col min="42" max="43" width="5.59765625" customWidth="1"/>
    <col min="44" max="44" width="1.296875" customWidth="1"/>
    <col min="45" max="45" width="6.09765625" customWidth="1"/>
    <col min="46" max="46" width="1.296875" customWidth="1"/>
    <col min="47" max="47" width="6.296875" customWidth="1"/>
    <col min="48" max="48" width="6.5" customWidth="1"/>
    <col min="49" max="50" width="5.59765625" customWidth="1"/>
    <col min="51" max="51" width="6.296875" customWidth="1"/>
    <col min="52" max="52" width="2.09765625" customWidth="1"/>
    <col min="53" max="53" width="6.296875" customWidth="1"/>
    <col min="54" max="54" width="6.5" customWidth="1"/>
    <col min="57" max="57" width="6.296875" customWidth="1"/>
    <col min="58" max="62" width="4.59765625" customWidth="1"/>
    <col min="63" max="63" width="4.09765625" customWidth="1"/>
    <col min="68" max="68" width="2.296875" customWidth="1"/>
    <col min="72" max="72" width="2.09765625" customWidth="1"/>
  </cols>
  <sheetData>
    <row r="1" spans="1:77" ht="22.8">
      <c r="A1" s="801"/>
      <c r="B1" s="802" t="s">
        <v>155</v>
      </c>
      <c r="C1" s="803" t="s">
        <v>156</v>
      </c>
      <c r="D1" s="803" t="s">
        <v>157</v>
      </c>
      <c r="E1" s="803" t="s">
        <v>158</v>
      </c>
      <c r="F1" s="803" t="s">
        <v>159</v>
      </c>
      <c r="G1" s="803" t="s">
        <v>160</v>
      </c>
      <c r="H1" s="803" t="s">
        <v>161</v>
      </c>
      <c r="I1" s="803" t="s">
        <v>162</v>
      </c>
      <c r="J1" s="801"/>
      <c r="K1" s="959" t="s">
        <v>155</v>
      </c>
      <c r="L1" s="947"/>
      <c r="M1" s="947"/>
      <c r="N1" s="947"/>
      <c r="O1" s="819" t="s">
        <v>163</v>
      </c>
      <c r="P1" s="819" t="s">
        <v>164</v>
      </c>
      <c r="Q1" s="818"/>
      <c r="R1" s="959" t="s">
        <v>156</v>
      </c>
      <c r="S1" s="947"/>
      <c r="T1" s="947"/>
      <c r="U1" s="947"/>
      <c r="V1" s="819" t="s">
        <v>163</v>
      </c>
      <c r="W1" s="819" t="s">
        <v>164</v>
      </c>
      <c r="X1" s="818"/>
      <c r="Y1" s="818" t="s">
        <v>157</v>
      </c>
      <c r="Z1" s="818"/>
      <c r="AA1" s="818"/>
      <c r="AB1" s="818"/>
      <c r="AC1" s="819" t="s">
        <v>163</v>
      </c>
      <c r="AD1" s="819" t="s">
        <v>164</v>
      </c>
      <c r="AE1" s="818"/>
      <c r="AF1" s="818" t="s">
        <v>158</v>
      </c>
      <c r="AG1" s="818"/>
      <c r="AH1" s="818"/>
      <c r="AI1" s="818"/>
      <c r="AJ1" s="819" t="s">
        <v>163</v>
      </c>
      <c r="AK1" s="825" t="s">
        <v>164</v>
      </c>
      <c r="AL1" s="818" t="s">
        <v>159</v>
      </c>
      <c r="AM1" s="818"/>
      <c r="AN1" s="818"/>
      <c r="AO1" s="818"/>
      <c r="AP1" s="819" t="s">
        <v>163</v>
      </c>
      <c r="AQ1" s="819" t="s">
        <v>164</v>
      </c>
      <c r="AR1" s="818"/>
      <c r="AS1" s="960" t="s">
        <v>161</v>
      </c>
      <c r="AT1" s="947"/>
      <c r="AU1" s="947"/>
      <c r="AV1" s="947"/>
      <c r="AW1" s="819" t="s">
        <v>163</v>
      </c>
      <c r="AX1" s="819" t="s">
        <v>164</v>
      </c>
      <c r="AY1" s="960" t="s">
        <v>162</v>
      </c>
      <c r="AZ1" s="947"/>
      <c r="BA1" s="947"/>
      <c r="BB1" s="947"/>
      <c r="BC1" s="829" t="s">
        <v>163</v>
      </c>
      <c r="BD1" s="819" t="s">
        <v>164</v>
      </c>
      <c r="BE1" s="959" t="s">
        <v>165</v>
      </c>
      <c r="BF1" s="947"/>
      <c r="BG1" s="947"/>
      <c r="BH1" s="947"/>
      <c r="BI1" s="947"/>
      <c r="BJ1" s="947"/>
      <c r="BK1" s="947"/>
      <c r="BL1" s="801"/>
      <c r="BM1" s="852" t="s">
        <v>166</v>
      </c>
      <c r="BN1" s="847" t="s">
        <v>167</v>
      </c>
      <c r="BO1" s="848" t="s">
        <v>168</v>
      </c>
      <c r="BP1" s="818"/>
      <c r="BQ1" s="852" t="s">
        <v>34</v>
      </c>
      <c r="BR1" s="847" t="s">
        <v>167</v>
      </c>
      <c r="BS1" s="848" t="s">
        <v>168</v>
      </c>
      <c r="BT1" s="818"/>
      <c r="BU1" s="801"/>
      <c r="BV1" s="801"/>
      <c r="BW1" s="801"/>
      <c r="BX1" s="801"/>
      <c r="BY1" s="801"/>
    </row>
    <row r="2" spans="1:77" ht="22.8">
      <c r="A2" s="961" t="s">
        <v>169</v>
      </c>
      <c r="B2" s="804" t="s">
        <v>170</v>
      </c>
      <c r="C2" s="805" t="s">
        <v>170</v>
      </c>
      <c r="D2" s="805" t="s">
        <v>170</v>
      </c>
      <c r="E2" s="805" t="s">
        <v>171</v>
      </c>
      <c r="F2" s="805" t="s">
        <v>172</v>
      </c>
      <c r="G2" s="805"/>
      <c r="H2" s="805"/>
      <c r="I2" s="820"/>
      <c r="J2" s="965" t="s">
        <v>169</v>
      </c>
      <c r="K2" s="821">
        <v>0.32638888888888901</v>
      </c>
      <c r="L2" s="822" t="s">
        <v>145</v>
      </c>
      <c r="M2" s="821">
        <v>0.38680555555555601</v>
      </c>
      <c r="N2" s="823">
        <f>M2-K2</f>
        <v>6.0416666666667007E-2</v>
      </c>
      <c r="O2" s="819">
        <v>201</v>
      </c>
      <c r="P2" s="819"/>
      <c r="Q2" s="822"/>
      <c r="R2" s="821">
        <v>0.32638888888888901</v>
      </c>
      <c r="S2" s="822" t="s">
        <v>145</v>
      </c>
      <c r="T2" s="821">
        <v>0.38680555555555601</v>
      </c>
      <c r="U2" s="823">
        <f t="shared" ref="U2:U41" si="0">IF(T2&lt;&gt;"",T2-R2,"")</f>
        <v>6.0416666666667007E-2</v>
      </c>
      <c r="V2" s="819">
        <v>203</v>
      </c>
      <c r="W2" s="819"/>
      <c r="X2" s="822"/>
      <c r="Y2" s="821">
        <v>0.32638888888888901</v>
      </c>
      <c r="Z2" s="822" t="s">
        <v>145</v>
      </c>
      <c r="AA2" s="821">
        <v>0.38680555555555601</v>
      </c>
      <c r="AB2" s="823">
        <f t="shared" ref="AB2:AB41" si="1">IF(AA2&lt;&gt;"",AA2-Y2,"")</f>
        <v>6.0416666666667007E-2</v>
      </c>
      <c r="AC2" s="819">
        <v>49</v>
      </c>
      <c r="AD2" s="819"/>
      <c r="AE2" s="822"/>
      <c r="AF2" s="821">
        <v>0.32638888888888901</v>
      </c>
      <c r="AG2" s="822" t="s">
        <v>145</v>
      </c>
      <c r="AH2" s="821">
        <v>0.41875000000000001</v>
      </c>
      <c r="AI2" s="823">
        <f t="shared" ref="AI2:AI41" si="2">IF(AH2&lt;&gt;"",AH2-AF2,"")</f>
        <v>9.2361111111111005E-2</v>
      </c>
      <c r="AJ2" s="819">
        <v>91</v>
      </c>
      <c r="AK2" s="825">
        <v>198</v>
      </c>
      <c r="AL2" s="821">
        <v>0.32638888888888901</v>
      </c>
      <c r="AM2" s="822" t="s">
        <v>145</v>
      </c>
      <c r="AN2" s="821">
        <v>0.422222222222222</v>
      </c>
      <c r="AO2" s="823">
        <f t="shared" ref="AO2:AO41" si="3">IF(AN2&lt;&gt;"",AN2-AL2,"")</f>
        <v>9.5833333333332993E-2</v>
      </c>
      <c r="AP2" s="819">
        <v>211</v>
      </c>
      <c r="AQ2" s="912" t="s">
        <v>173</v>
      </c>
      <c r="AR2" s="822"/>
      <c r="AS2" s="822"/>
      <c r="AT2" s="822"/>
      <c r="AU2" s="822"/>
      <c r="AV2" s="818" t="str">
        <f t="shared" ref="AV2:AV41" si="4">IF(AU2&lt;&gt;"",AU2-AS2,"")</f>
        <v/>
      </c>
      <c r="AW2" s="819"/>
      <c r="AX2" s="819"/>
      <c r="AY2" s="822"/>
      <c r="AZ2" s="801"/>
      <c r="BA2" s="801"/>
      <c r="BB2" s="818" t="str">
        <f t="shared" ref="BB2:BB41" si="5">IF(BA2&lt;&gt;"",BA2-AY2,"")</f>
        <v/>
      </c>
      <c r="BC2" s="830"/>
      <c r="BD2" s="830"/>
      <c r="BE2" s="832"/>
      <c r="BF2" s="833">
        <v>25</v>
      </c>
      <c r="BG2" s="833">
        <v>114</v>
      </c>
      <c r="BH2" s="833">
        <v>178</v>
      </c>
      <c r="BI2" s="834"/>
      <c r="BJ2" s="834"/>
      <c r="BK2" s="835"/>
      <c r="BL2" s="801"/>
      <c r="BM2" s="837">
        <v>3</v>
      </c>
      <c r="BN2" s="853">
        <f t="shared" ref="BN2:BN76" si="6">SUMIF($O$2:$O$41,BM2,$N$2:$N$41)+SUMIF($V$2:$V$41,BM2,$U$2:$U$41)+SUMIF($AC$2:$AC$41,BM2,$AB$2:$AB$41)+SUMIF($AJ$2:$AJ$41,BM2,$AI$2:$AI$41)+SUMIF($AP$2:$AP$41,BM2,$AO$2:$AO$41)+SUMIF($AW$2:$AW$41,BM2,$AV$2:$AV$41)+SUMIF($BC$2:$BC$41,BM2,$BB$2:$BB$41)</f>
        <v>0.10277777777777802</v>
      </c>
      <c r="BO2" s="854">
        <f t="shared" ref="BO2:BO76" si="7">BN2*24</f>
        <v>2.4666666666666726</v>
      </c>
      <c r="BP2" s="855"/>
      <c r="BQ2" s="837">
        <f t="shared" ref="BQ2:BQ76" si="8">BM2</f>
        <v>3</v>
      </c>
      <c r="BR2" s="853">
        <f t="shared" ref="BR2:BR76" ca="1" si="9">SUMIF($P$2:$P$42,BQ2,$N$2:$N$41)+SUMIF($W$2:$W$42,BQ2,$U$2:$U$41)+SUMIF($AD$2:$AD$42,BQ2,$AB$2:$AB$41)+SUMIF($AK$2:$AK$42,BQ2,$AI$2:$AI$41)+SUMIF($AQ$2:$AQ$42,BQ2,$AO$2:$AO$41)+SUMIF($AX$2:$AX$42,BQ2,$AV$2:$AV$41)+SUMIF($BD$2:$BD$42,BQ2,$BB$2:$BB$41)</f>
        <v>0</v>
      </c>
      <c r="BS2" s="854">
        <f t="shared" ref="BS2:BS76" ca="1" si="10">BR2*24</f>
        <v>0</v>
      </c>
      <c r="BT2" s="855"/>
      <c r="BU2" s="837">
        <f t="shared" ref="BU2:BU76" si="11">BM2</f>
        <v>3</v>
      </c>
      <c r="BV2" s="855">
        <f t="shared" ref="BV2:BV77" ca="1" si="12">BO2+BS2</f>
        <v>2.4666666666666726</v>
      </c>
      <c r="BW2" s="801"/>
      <c r="BX2" s="801"/>
      <c r="BY2" s="801"/>
    </row>
    <row r="3" spans="1:77" ht="22.8">
      <c r="A3" s="962"/>
      <c r="B3" s="804"/>
      <c r="C3" s="805"/>
      <c r="D3" s="805" t="s">
        <v>174</v>
      </c>
      <c r="E3" s="805" t="s">
        <v>175</v>
      </c>
      <c r="F3" s="805" t="s">
        <v>176</v>
      </c>
      <c r="G3" s="805"/>
      <c r="H3" s="805"/>
      <c r="I3" s="820"/>
      <c r="J3" s="962"/>
      <c r="K3" s="822"/>
      <c r="L3" s="822"/>
      <c r="M3" s="822"/>
      <c r="N3" s="818"/>
      <c r="O3" s="819"/>
      <c r="P3" s="819"/>
      <c r="Q3" s="822"/>
      <c r="R3" s="822"/>
      <c r="S3" s="822"/>
      <c r="T3" s="822"/>
      <c r="U3" s="818" t="str">
        <f t="shared" si="0"/>
        <v/>
      </c>
      <c r="V3" s="819"/>
      <c r="W3" s="819"/>
      <c r="X3" s="822"/>
      <c r="Y3" s="821">
        <v>0.39930555555555602</v>
      </c>
      <c r="Z3" s="822"/>
      <c r="AA3" s="821">
        <v>0.44722222222222202</v>
      </c>
      <c r="AB3" s="823">
        <f t="shared" si="1"/>
        <v>4.7916666666665997E-2</v>
      </c>
      <c r="AC3" s="819">
        <v>49</v>
      </c>
      <c r="AD3" s="819"/>
      <c r="AE3" s="822"/>
      <c r="AF3" s="821">
        <v>0.43055555555555602</v>
      </c>
      <c r="AG3" s="822"/>
      <c r="AH3" s="821">
        <v>0.52291666666666703</v>
      </c>
      <c r="AI3" s="823">
        <f t="shared" si="2"/>
        <v>9.2361111111111005E-2</v>
      </c>
      <c r="AJ3" s="819">
        <v>91</v>
      </c>
      <c r="AK3" s="825">
        <v>103</v>
      </c>
      <c r="AL3" s="821">
        <v>0.43402777777777801</v>
      </c>
      <c r="AM3" s="822"/>
      <c r="AN3" s="821">
        <v>0.52083333333333304</v>
      </c>
      <c r="AO3" s="823">
        <f t="shared" si="3"/>
        <v>8.6805555555555025E-2</v>
      </c>
      <c r="AP3" s="819">
        <v>153</v>
      </c>
      <c r="AQ3" s="912" t="s">
        <v>177</v>
      </c>
      <c r="AR3" s="822"/>
      <c r="AS3" s="822"/>
      <c r="AT3" s="822"/>
      <c r="AU3" s="822"/>
      <c r="AV3" s="818" t="str">
        <f t="shared" si="4"/>
        <v/>
      </c>
      <c r="AW3" s="819"/>
      <c r="AX3" s="819"/>
      <c r="AY3" s="822"/>
      <c r="AZ3" s="801"/>
      <c r="BA3" s="801"/>
      <c r="BB3" s="818" t="str">
        <f t="shared" si="5"/>
        <v/>
      </c>
      <c r="BC3" s="830"/>
      <c r="BD3" s="830"/>
      <c r="BE3" s="836"/>
      <c r="BF3" s="837">
        <v>25</v>
      </c>
      <c r="BG3" s="837">
        <v>114</v>
      </c>
      <c r="BH3" s="837">
        <v>178</v>
      </c>
      <c r="BI3" s="801"/>
      <c r="BJ3" s="801"/>
      <c r="BK3" s="838"/>
      <c r="BL3" s="801"/>
      <c r="BM3" s="837">
        <v>4</v>
      </c>
      <c r="BN3" s="853">
        <f t="shared" si="6"/>
        <v>0</v>
      </c>
      <c r="BO3" s="854">
        <f t="shared" si="7"/>
        <v>0</v>
      </c>
      <c r="BP3" s="855"/>
      <c r="BQ3" s="837">
        <f t="shared" si="8"/>
        <v>4</v>
      </c>
      <c r="BR3" s="853">
        <f t="shared" ca="1" si="9"/>
        <v>0</v>
      </c>
      <c r="BS3" s="854">
        <f t="shared" ca="1" si="10"/>
        <v>0</v>
      </c>
      <c r="BT3" s="855"/>
      <c r="BU3" s="837">
        <f t="shared" si="11"/>
        <v>4</v>
      </c>
      <c r="BV3" s="855">
        <f t="shared" ca="1" si="12"/>
        <v>0</v>
      </c>
      <c r="BW3" s="801"/>
      <c r="BX3" s="801"/>
      <c r="BY3" s="801"/>
    </row>
    <row r="4" spans="1:77" ht="22.8">
      <c r="A4" s="962"/>
      <c r="B4" s="804"/>
      <c r="C4" s="805"/>
      <c r="D4" s="805"/>
      <c r="E4" s="805"/>
      <c r="F4" s="805"/>
      <c r="G4" s="805"/>
      <c r="H4" s="805"/>
      <c r="I4" s="820"/>
      <c r="J4" s="962"/>
      <c r="K4" s="822"/>
      <c r="L4" s="822"/>
      <c r="M4" s="822"/>
      <c r="N4" s="818" t="str">
        <f t="shared" ref="N4:N41" si="13">IF(M4&lt;&gt;"",M4-K4,"")</f>
        <v/>
      </c>
      <c r="O4" s="819"/>
      <c r="P4" s="819"/>
      <c r="Q4" s="822"/>
      <c r="R4" s="822"/>
      <c r="S4" s="822"/>
      <c r="T4" s="822"/>
      <c r="U4" s="818" t="str">
        <f t="shared" si="0"/>
        <v/>
      </c>
      <c r="V4" s="819"/>
      <c r="W4" s="819"/>
      <c r="X4" s="822"/>
      <c r="Y4" s="822"/>
      <c r="Z4" s="822"/>
      <c r="AA4" s="822"/>
      <c r="AB4" s="818" t="str">
        <f t="shared" si="1"/>
        <v/>
      </c>
      <c r="AC4" s="819"/>
      <c r="AD4" s="819"/>
      <c r="AE4" s="822"/>
      <c r="AF4" s="822"/>
      <c r="AG4" s="822"/>
      <c r="AH4" s="822"/>
      <c r="AI4" s="818" t="str">
        <f t="shared" si="2"/>
        <v/>
      </c>
      <c r="AJ4" s="819"/>
      <c r="AK4" s="825" t="s">
        <v>50</v>
      </c>
      <c r="AL4" s="821">
        <v>0.52291666666666703</v>
      </c>
      <c r="AM4" s="822"/>
      <c r="AN4" s="821">
        <v>0.57222222222222197</v>
      </c>
      <c r="AO4" s="823">
        <f t="shared" si="3"/>
        <v>4.9305555555554936E-2</v>
      </c>
      <c r="AP4" s="819" t="s">
        <v>148</v>
      </c>
      <c r="AQ4" s="819" t="s">
        <v>178</v>
      </c>
      <c r="AR4" s="822"/>
      <c r="AS4" s="822"/>
      <c r="AT4" s="822"/>
      <c r="AU4" s="822"/>
      <c r="AV4" s="818" t="str">
        <f t="shared" si="4"/>
        <v/>
      </c>
      <c r="AW4" s="819"/>
      <c r="AX4" s="819"/>
      <c r="AY4" s="822"/>
      <c r="AZ4" s="801"/>
      <c r="BA4" s="801"/>
      <c r="BB4" s="818" t="str">
        <f t="shared" si="5"/>
        <v/>
      </c>
      <c r="BC4" s="830"/>
      <c r="BD4" s="830"/>
      <c r="BE4" s="836"/>
      <c r="BF4" s="837">
        <v>25</v>
      </c>
      <c r="BG4" s="837">
        <v>114</v>
      </c>
      <c r="BH4" s="837">
        <v>178</v>
      </c>
      <c r="BI4" s="801"/>
      <c r="BJ4" s="801"/>
      <c r="BK4" s="838"/>
      <c r="BL4" s="801"/>
      <c r="BM4" s="837">
        <v>5</v>
      </c>
      <c r="BN4" s="853">
        <f t="shared" si="6"/>
        <v>0.15416666666666701</v>
      </c>
      <c r="BO4" s="854">
        <f t="shared" si="7"/>
        <v>3.7000000000000082</v>
      </c>
      <c r="BP4" s="855"/>
      <c r="BQ4" s="837">
        <f t="shared" si="8"/>
        <v>5</v>
      </c>
      <c r="BR4" s="853">
        <f t="shared" ca="1" si="9"/>
        <v>0</v>
      </c>
      <c r="BS4" s="854">
        <f t="shared" ca="1" si="10"/>
        <v>0</v>
      </c>
      <c r="BT4" s="855"/>
      <c r="BU4" s="837">
        <f t="shared" si="11"/>
        <v>5</v>
      </c>
      <c r="BV4" s="855">
        <f t="shared" ca="1" si="12"/>
        <v>3.7000000000000082</v>
      </c>
      <c r="BW4" s="801"/>
      <c r="BX4" s="801"/>
      <c r="BY4" s="801"/>
    </row>
    <row r="5" spans="1:77" ht="22.8">
      <c r="A5" s="962"/>
      <c r="B5" s="804"/>
      <c r="C5" s="805"/>
      <c r="D5" s="805"/>
      <c r="E5" s="805"/>
      <c r="F5" s="805"/>
      <c r="G5" s="805"/>
      <c r="H5" s="805"/>
      <c r="I5" s="820"/>
      <c r="J5" s="962"/>
      <c r="K5" s="822"/>
      <c r="L5" s="822"/>
      <c r="M5" s="822"/>
      <c r="N5" s="818" t="str">
        <f t="shared" si="13"/>
        <v/>
      </c>
      <c r="O5" s="819"/>
      <c r="P5" s="819"/>
      <c r="Q5" s="822"/>
      <c r="R5" s="822"/>
      <c r="S5" s="822"/>
      <c r="T5" s="822"/>
      <c r="U5" s="818" t="str">
        <f t="shared" si="0"/>
        <v/>
      </c>
      <c r="V5" s="819"/>
      <c r="W5" s="819"/>
      <c r="X5" s="822"/>
      <c r="Y5" s="822"/>
      <c r="Z5" s="822"/>
      <c r="AA5" s="822"/>
      <c r="AB5" s="818" t="str">
        <f t="shared" si="1"/>
        <v/>
      </c>
      <c r="AC5" s="819"/>
      <c r="AD5" s="819"/>
      <c r="AE5" s="822"/>
      <c r="AF5" s="822"/>
      <c r="AG5" s="822"/>
      <c r="AH5" s="822"/>
      <c r="AI5" s="818" t="str">
        <f t="shared" si="2"/>
        <v/>
      </c>
      <c r="AJ5" s="819"/>
      <c r="AK5" s="825"/>
      <c r="AL5" s="822"/>
      <c r="AM5" s="822"/>
      <c r="AN5" s="822"/>
      <c r="AO5" s="818" t="str">
        <f t="shared" si="3"/>
        <v/>
      </c>
      <c r="AP5" s="819"/>
      <c r="AQ5" s="819"/>
      <c r="AR5" s="822"/>
      <c r="AS5" s="822"/>
      <c r="AT5" s="822"/>
      <c r="AU5" s="822"/>
      <c r="AV5" s="818" t="str">
        <f t="shared" si="4"/>
        <v/>
      </c>
      <c r="AW5" s="819"/>
      <c r="AX5" s="819"/>
      <c r="AY5" s="822"/>
      <c r="AZ5" s="801"/>
      <c r="BA5" s="801"/>
      <c r="BB5" s="818" t="str">
        <f t="shared" si="5"/>
        <v/>
      </c>
      <c r="BC5" s="830"/>
      <c r="BD5" s="830"/>
      <c r="BE5" s="839"/>
      <c r="BF5" s="840">
        <v>25</v>
      </c>
      <c r="BG5" s="840">
        <v>114</v>
      </c>
      <c r="BH5" s="840">
        <v>178</v>
      </c>
      <c r="BI5" s="841"/>
      <c r="BJ5" s="841"/>
      <c r="BK5" s="824"/>
      <c r="BL5" s="801"/>
      <c r="BM5" s="837">
        <v>20</v>
      </c>
      <c r="BN5" s="853">
        <f t="shared" si="6"/>
        <v>0</v>
      </c>
      <c r="BO5" s="854">
        <f t="shared" si="7"/>
        <v>0</v>
      </c>
      <c r="BP5" s="855"/>
      <c r="BQ5" s="837">
        <f t="shared" si="8"/>
        <v>20</v>
      </c>
      <c r="BR5" s="853">
        <f t="shared" ca="1" si="9"/>
        <v>0.125</v>
      </c>
      <c r="BS5" s="854">
        <f t="shared" ca="1" si="10"/>
        <v>3</v>
      </c>
      <c r="BT5" s="855"/>
      <c r="BU5" s="837">
        <f t="shared" si="11"/>
        <v>20</v>
      </c>
      <c r="BV5" s="855">
        <f t="shared" ca="1" si="12"/>
        <v>3</v>
      </c>
      <c r="BW5" s="801"/>
      <c r="BX5" s="801"/>
      <c r="BY5" s="801"/>
    </row>
    <row r="6" spans="1:77" ht="22.8">
      <c r="A6" s="961" t="s">
        <v>179</v>
      </c>
      <c r="B6" s="806" t="s">
        <v>170</v>
      </c>
      <c r="C6" s="807" t="s">
        <v>180</v>
      </c>
      <c r="D6" s="807" t="s">
        <v>170</v>
      </c>
      <c r="E6" s="807" t="s">
        <v>181</v>
      </c>
      <c r="F6" s="807" t="s">
        <v>172</v>
      </c>
      <c r="G6" s="807"/>
      <c r="H6" s="807"/>
      <c r="I6" s="824"/>
      <c r="J6" s="964" t="s">
        <v>179</v>
      </c>
      <c r="K6" s="823">
        <v>0.32638888888888901</v>
      </c>
      <c r="L6" s="818" t="s">
        <v>145</v>
      </c>
      <c r="M6" s="823">
        <v>0.38680555555555601</v>
      </c>
      <c r="N6" s="823">
        <f t="shared" si="13"/>
        <v>6.0416666666667007E-2</v>
      </c>
      <c r="O6" s="819">
        <v>211</v>
      </c>
      <c r="P6" s="819"/>
      <c r="Q6" s="818"/>
      <c r="R6" s="823">
        <v>0.32638888888888901</v>
      </c>
      <c r="S6" s="818"/>
      <c r="T6" s="823">
        <v>0.36180555555555599</v>
      </c>
      <c r="U6" s="823">
        <f t="shared" si="0"/>
        <v>3.5416666666666985E-2</v>
      </c>
      <c r="V6" s="819">
        <v>218</v>
      </c>
      <c r="W6" s="819"/>
      <c r="X6" s="818"/>
      <c r="Y6" s="823">
        <v>0.32638888888888901</v>
      </c>
      <c r="Z6" s="818" t="s">
        <v>145</v>
      </c>
      <c r="AA6" s="823">
        <v>0.38680555555555601</v>
      </c>
      <c r="AB6" s="823">
        <f t="shared" si="1"/>
        <v>6.0416666666667007E-2</v>
      </c>
      <c r="AC6" s="819">
        <v>113</v>
      </c>
      <c r="AD6" s="819"/>
      <c r="AE6" s="818"/>
      <c r="AF6" s="823">
        <v>0.32638888888888901</v>
      </c>
      <c r="AG6" s="818"/>
      <c r="AH6" s="823">
        <v>0.40625</v>
      </c>
      <c r="AI6" s="823">
        <f t="shared" si="2"/>
        <v>7.9861111111110994E-2</v>
      </c>
      <c r="AJ6" s="819">
        <v>138</v>
      </c>
      <c r="AK6" s="913" t="s">
        <v>182</v>
      </c>
      <c r="AL6" s="823">
        <v>0.32638888888888901</v>
      </c>
      <c r="AM6" s="818" t="s">
        <v>145</v>
      </c>
      <c r="AN6" s="823">
        <v>0.422222222222222</v>
      </c>
      <c r="AO6" s="823">
        <f t="shared" si="3"/>
        <v>9.5833333333332993E-2</v>
      </c>
      <c r="AP6" s="828">
        <v>198</v>
      </c>
      <c r="AQ6" s="819" t="s">
        <v>147</v>
      </c>
      <c r="AR6" s="818"/>
      <c r="AS6" s="818"/>
      <c r="AT6" s="818"/>
      <c r="AU6" s="818"/>
      <c r="AV6" s="818" t="str">
        <f t="shared" si="4"/>
        <v/>
      </c>
      <c r="AW6" s="819"/>
      <c r="AX6" s="819"/>
      <c r="AY6" s="818"/>
      <c r="AZ6" s="801"/>
      <c r="BA6" s="801"/>
      <c r="BB6" s="818" t="str">
        <f t="shared" si="5"/>
        <v/>
      </c>
      <c r="BC6" s="830"/>
      <c r="BD6" s="830"/>
      <c r="BE6" s="842">
        <v>49</v>
      </c>
      <c r="BF6" s="837">
        <v>25</v>
      </c>
      <c r="BG6" s="837">
        <v>114</v>
      </c>
      <c r="BH6" s="837">
        <v>178</v>
      </c>
      <c r="BI6" s="837">
        <v>117</v>
      </c>
      <c r="BJ6" s="837">
        <v>217</v>
      </c>
      <c r="BK6" s="838"/>
      <c r="BL6" s="801"/>
      <c r="BM6" s="837">
        <v>22</v>
      </c>
      <c r="BN6" s="853">
        <f t="shared" si="6"/>
        <v>0.108333333333334</v>
      </c>
      <c r="BO6" s="854">
        <f t="shared" si="7"/>
        <v>2.6000000000000161</v>
      </c>
      <c r="BP6" s="855"/>
      <c r="BQ6" s="837">
        <f t="shared" si="8"/>
        <v>22</v>
      </c>
      <c r="BR6" s="853">
        <f t="shared" ca="1" si="9"/>
        <v>0</v>
      </c>
      <c r="BS6" s="854">
        <f t="shared" ca="1" si="10"/>
        <v>0</v>
      </c>
      <c r="BT6" s="855"/>
      <c r="BU6" s="837">
        <f t="shared" si="11"/>
        <v>22</v>
      </c>
      <c r="BV6" s="855">
        <f t="shared" ca="1" si="12"/>
        <v>2.6000000000000161</v>
      </c>
      <c r="BW6" s="801"/>
      <c r="BX6" s="801"/>
      <c r="BY6" s="801"/>
    </row>
    <row r="7" spans="1:77" ht="22.8">
      <c r="A7" s="962"/>
      <c r="B7" s="806" t="s">
        <v>183</v>
      </c>
      <c r="C7" s="808" t="s">
        <v>184</v>
      </c>
      <c r="D7" s="807" t="s">
        <v>174</v>
      </c>
      <c r="E7" s="807"/>
      <c r="F7" s="807" t="s">
        <v>185</v>
      </c>
      <c r="G7" s="807"/>
      <c r="H7" s="807"/>
      <c r="I7" s="824"/>
      <c r="J7" s="962"/>
      <c r="K7" s="823">
        <v>0.39930555555555602</v>
      </c>
      <c r="L7" s="818"/>
      <c r="M7" s="823">
        <v>0.45972222222222198</v>
      </c>
      <c r="N7" s="823">
        <f t="shared" si="13"/>
        <v>6.0416666666665952E-2</v>
      </c>
      <c r="O7" s="819">
        <v>134</v>
      </c>
      <c r="P7" s="819"/>
      <c r="Q7" s="818"/>
      <c r="R7" s="823">
        <v>0.36180555555555599</v>
      </c>
      <c r="S7" s="818"/>
      <c r="T7" s="823">
        <v>0.38541666666666702</v>
      </c>
      <c r="U7" s="823">
        <f t="shared" si="0"/>
        <v>2.3611111111111027E-2</v>
      </c>
      <c r="V7" s="819">
        <v>218</v>
      </c>
      <c r="W7" s="819"/>
      <c r="X7" s="818"/>
      <c r="Y7" s="823">
        <v>0.39930555555555602</v>
      </c>
      <c r="Z7" s="818"/>
      <c r="AA7" s="823">
        <v>0.44722222222222202</v>
      </c>
      <c r="AB7" s="823">
        <f t="shared" si="1"/>
        <v>4.7916666666665997E-2</v>
      </c>
      <c r="AC7" s="819">
        <v>113</v>
      </c>
      <c r="AD7" s="819"/>
      <c r="AE7" s="818"/>
      <c r="AF7" s="818"/>
      <c r="AG7" s="818"/>
      <c r="AH7" s="818"/>
      <c r="AI7" s="818" t="str">
        <f t="shared" si="2"/>
        <v/>
      </c>
      <c r="AJ7" s="819"/>
      <c r="AK7" s="825"/>
      <c r="AL7" s="823">
        <v>0.43402777777777801</v>
      </c>
      <c r="AM7" s="818" t="s">
        <v>145</v>
      </c>
      <c r="AN7" s="823">
        <v>0.52083333333333304</v>
      </c>
      <c r="AO7" s="823">
        <f t="shared" si="3"/>
        <v>8.6805555555555025E-2</v>
      </c>
      <c r="AP7" s="819">
        <v>203</v>
      </c>
      <c r="AQ7" s="819"/>
      <c r="AR7" s="818"/>
      <c r="AS7" s="818"/>
      <c r="AT7" s="818"/>
      <c r="AU7" s="818"/>
      <c r="AV7" s="818" t="str">
        <f t="shared" si="4"/>
        <v/>
      </c>
      <c r="AW7" s="819"/>
      <c r="AX7" s="819"/>
      <c r="AY7" s="818"/>
      <c r="AZ7" s="801"/>
      <c r="BA7" s="801"/>
      <c r="BB7" s="818" t="str">
        <f t="shared" si="5"/>
        <v/>
      </c>
      <c r="BC7" s="830"/>
      <c r="BD7" s="830"/>
      <c r="BE7" s="842">
        <v>49</v>
      </c>
      <c r="BF7" s="837">
        <v>25</v>
      </c>
      <c r="BG7" s="837">
        <v>114</v>
      </c>
      <c r="BH7" s="837">
        <v>178</v>
      </c>
      <c r="BI7" s="837">
        <v>117</v>
      </c>
      <c r="BJ7" s="837">
        <v>217</v>
      </c>
      <c r="BK7" s="838"/>
      <c r="BL7" s="801"/>
      <c r="BM7" s="837">
        <v>25</v>
      </c>
      <c r="BN7" s="853">
        <f t="shared" si="6"/>
        <v>0.19444444444444497</v>
      </c>
      <c r="BO7" s="854">
        <f t="shared" si="7"/>
        <v>4.6666666666666794</v>
      </c>
      <c r="BP7" s="855"/>
      <c r="BQ7" s="837">
        <f t="shared" si="8"/>
        <v>25</v>
      </c>
      <c r="BR7" s="853">
        <f t="shared" ca="1" si="9"/>
        <v>0</v>
      </c>
      <c r="BS7" s="854">
        <f t="shared" ca="1" si="10"/>
        <v>0</v>
      </c>
      <c r="BT7" s="855"/>
      <c r="BU7" s="837">
        <f t="shared" si="11"/>
        <v>25</v>
      </c>
      <c r="BV7" s="855">
        <f t="shared" ca="1" si="12"/>
        <v>4.6666666666666794</v>
      </c>
      <c r="BW7" s="801"/>
      <c r="BX7" s="801"/>
      <c r="BY7" s="801"/>
    </row>
    <row r="8" spans="1:77" ht="22.8">
      <c r="A8" s="962"/>
      <c r="B8" s="806"/>
      <c r="C8" s="808" t="s">
        <v>186</v>
      </c>
      <c r="D8" s="807"/>
      <c r="E8" s="807"/>
      <c r="F8" s="807"/>
      <c r="G8" s="807"/>
      <c r="H8" s="807"/>
      <c r="I8" s="824"/>
      <c r="J8" s="962"/>
      <c r="K8" s="818"/>
      <c r="L8" s="818"/>
      <c r="M8" s="818"/>
      <c r="N8" s="818" t="str">
        <f t="shared" si="13"/>
        <v/>
      </c>
      <c r="O8" s="819"/>
      <c r="P8" s="819"/>
      <c r="Q8" s="818"/>
      <c r="R8" s="823">
        <v>0.40625</v>
      </c>
      <c r="S8" s="818"/>
      <c r="T8" s="823">
        <v>0.43055555555555602</v>
      </c>
      <c r="U8" s="823">
        <f t="shared" si="0"/>
        <v>2.4305555555556024E-2</v>
      </c>
      <c r="V8" s="819">
        <v>218</v>
      </c>
      <c r="W8" s="819"/>
      <c r="X8" s="818"/>
      <c r="Y8" s="818"/>
      <c r="Z8" s="818"/>
      <c r="AA8" s="818"/>
      <c r="AB8" s="818" t="str">
        <f t="shared" si="1"/>
        <v/>
      </c>
      <c r="AC8" s="819"/>
      <c r="AD8" s="819"/>
      <c r="AE8" s="818"/>
      <c r="AF8" s="818"/>
      <c r="AG8" s="818"/>
      <c r="AH8" s="818"/>
      <c r="AI8" s="818" t="str">
        <f t="shared" si="2"/>
        <v/>
      </c>
      <c r="AJ8" s="819"/>
      <c r="AK8" s="825"/>
      <c r="AL8" s="823">
        <v>0.52083333333333304</v>
      </c>
      <c r="AM8" s="818" t="s">
        <v>145</v>
      </c>
      <c r="AN8" s="823">
        <v>0.58888888888888902</v>
      </c>
      <c r="AO8" s="823">
        <f t="shared" si="3"/>
        <v>6.805555555555598E-2</v>
      </c>
      <c r="AP8" s="819" t="s">
        <v>50</v>
      </c>
      <c r="AQ8" s="819"/>
      <c r="AR8" s="818"/>
      <c r="AS8" s="818"/>
      <c r="AT8" s="818"/>
      <c r="AU8" s="818"/>
      <c r="AV8" s="818" t="str">
        <f t="shared" si="4"/>
        <v/>
      </c>
      <c r="AW8" s="819"/>
      <c r="AX8" s="819"/>
      <c r="AY8" s="818"/>
      <c r="AZ8" s="801"/>
      <c r="BA8" s="801"/>
      <c r="BB8" s="818" t="str">
        <f t="shared" si="5"/>
        <v/>
      </c>
      <c r="BC8" s="830"/>
      <c r="BD8" s="830"/>
      <c r="BE8" s="842">
        <v>49</v>
      </c>
      <c r="BF8" s="837">
        <v>25</v>
      </c>
      <c r="BG8" s="837">
        <v>114</v>
      </c>
      <c r="BH8" s="837">
        <v>178</v>
      </c>
      <c r="BI8" s="837">
        <v>117</v>
      </c>
      <c r="BJ8" s="837">
        <v>217</v>
      </c>
      <c r="BK8" s="838"/>
      <c r="BL8" s="801"/>
      <c r="BM8" s="837">
        <v>32</v>
      </c>
      <c r="BN8" s="853">
        <f t="shared" si="6"/>
        <v>0</v>
      </c>
      <c r="BO8" s="854">
        <f t="shared" si="7"/>
        <v>0</v>
      </c>
      <c r="BP8" s="855"/>
      <c r="BQ8" s="837">
        <f t="shared" si="8"/>
        <v>32</v>
      </c>
      <c r="BR8" s="853">
        <f t="shared" ca="1" si="9"/>
        <v>0</v>
      </c>
      <c r="BS8" s="854">
        <f t="shared" ca="1" si="10"/>
        <v>0</v>
      </c>
      <c r="BT8" s="855"/>
      <c r="BU8" s="837">
        <f t="shared" si="11"/>
        <v>32</v>
      </c>
      <c r="BV8" s="855">
        <f t="shared" ca="1" si="12"/>
        <v>0</v>
      </c>
      <c r="BW8" s="801"/>
      <c r="BX8" s="801"/>
      <c r="BY8" s="801"/>
    </row>
    <row r="9" spans="1:77" ht="22.8">
      <c r="A9" s="962"/>
      <c r="B9" s="806"/>
      <c r="C9" s="807"/>
      <c r="D9" s="807"/>
      <c r="E9" s="807"/>
      <c r="F9" s="807"/>
      <c r="G9" s="807"/>
      <c r="H9" s="807"/>
      <c r="I9" s="824"/>
      <c r="J9" s="962"/>
      <c r="K9" s="818"/>
      <c r="L9" s="818"/>
      <c r="M9" s="818"/>
      <c r="N9" s="818" t="str">
        <f t="shared" si="13"/>
        <v/>
      </c>
      <c r="O9" s="819"/>
      <c r="P9" s="819"/>
      <c r="Q9" s="818"/>
      <c r="R9" s="818"/>
      <c r="S9" s="818"/>
      <c r="T9" s="818"/>
      <c r="U9" s="818" t="str">
        <f t="shared" si="0"/>
        <v/>
      </c>
      <c r="V9" s="819"/>
      <c r="W9" s="819"/>
      <c r="X9" s="818"/>
      <c r="Y9" s="818"/>
      <c r="Z9" s="818"/>
      <c r="AA9" s="818"/>
      <c r="AB9" s="818" t="str">
        <f t="shared" si="1"/>
        <v/>
      </c>
      <c r="AC9" s="819"/>
      <c r="AD9" s="819"/>
      <c r="AE9" s="818"/>
      <c r="AF9" s="818"/>
      <c r="AG9" s="818"/>
      <c r="AH9" s="818"/>
      <c r="AI9" s="818" t="str">
        <f t="shared" si="2"/>
        <v/>
      </c>
      <c r="AJ9" s="819"/>
      <c r="AK9" s="825"/>
      <c r="AL9" s="818"/>
      <c r="AM9" s="818"/>
      <c r="AN9" s="818"/>
      <c r="AO9" s="818" t="str">
        <f t="shared" si="3"/>
        <v/>
      </c>
      <c r="AP9" s="819"/>
      <c r="AQ9" s="819"/>
      <c r="AR9" s="818"/>
      <c r="AS9" s="818"/>
      <c r="AT9" s="818"/>
      <c r="AU9" s="818"/>
      <c r="AV9" s="818" t="str">
        <f t="shared" si="4"/>
        <v/>
      </c>
      <c r="AW9" s="819"/>
      <c r="AX9" s="819"/>
      <c r="AY9" s="818"/>
      <c r="AZ9" s="801"/>
      <c r="BA9" s="801"/>
      <c r="BB9" s="818" t="str">
        <f t="shared" si="5"/>
        <v/>
      </c>
      <c r="BC9" s="830"/>
      <c r="BD9" s="830"/>
      <c r="BE9" s="842">
        <v>49</v>
      </c>
      <c r="BF9" s="837">
        <v>25</v>
      </c>
      <c r="BG9" s="837">
        <v>114</v>
      </c>
      <c r="BH9" s="837">
        <v>178</v>
      </c>
      <c r="BI9" s="837">
        <v>117</v>
      </c>
      <c r="BJ9" s="837">
        <v>217</v>
      </c>
      <c r="BK9" s="838"/>
      <c r="BL9" s="801"/>
      <c r="BM9" s="837">
        <v>37</v>
      </c>
      <c r="BN9" s="853">
        <f t="shared" si="6"/>
        <v>5.972222222222201E-2</v>
      </c>
      <c r="BO9" s="854">
        <f t="shared" si="7"/>
        <v>1.4333333333333282</v>
      </c>
      <c r="BP9" s="855"/>
      <c r="BQ9" s="837">
        <f t="shared" si="8"/>
        <v>37</v>
      </c>
      <c r="BR9" s="853">
        <f t="shared" ca="1" si="9"/>
        <v>0</v>
      </c>
      <c r="BS9" s="854">
        <f t="shared" ca="1" si="10"/>
        <v>0</v>
      </c>
      <c r="BT9" s="855"/>
      <c r="BU9" s="837">
        <f t="shared" si="11"/>
        <v>37</v>
      </c>
      <c r="BV9" s="855">
        <f t="shared" ca="1" si="12"/>
        <v>1.4333333333333282</v>
      </c>
      <c r="BW9" s="801"/>
      <c r="BX9" s="801"/>
      <c r="BY9" s="801"/>
    </row>
    <row r="10" spans="1:77" ht="22.8">
      <c r="A10" s="963" t="s">
        <v>187</v>
      </c>
      <c r="B10" s="804" t="s">
        <v>188</v>
      </c>
      <c r="C10" s="805" t="s">
        <v>170</v>
      </c>
      <c r="D10" s="805" t="s">
        <v>170</v>
      </c>
      <c r="E10" s="805" t="s">
        <v>171</v>
      </c>
      <c r="F10" s="805" t="s">
        <v>189</v>
      </c>
      <c r="G10" s="805"/>
      <c r="H10" s="805"/>
      <c r="I10" s="820"/>
      <c r="J10" s="965" t="s">
        <v>187</v>
      </c>
      <c r="K10" s="821">
        <v>0.32638888888888901</v>
      </c>
      <c r="L10" s="822" t="s">
        <v>145</v>
      </c>
      <c r="M10" s="821">
        <v>0.39930555555555602</v>
      </c>
      <c r="N10" s="823">
        <f t="shared" si="13"/>
        <v>7.2916666666667018E-2</v>
      </c>
      <c r="O10" s="819">
        <v>78</v>
      </c>
      <c r="P10" s="819"/>
      <c r="Q10" s="822"/>
      <c r="R10" s="821">
        <v>0.32638888888888901</v>
      </c>
      <c r="S10" s="822" t="s">
        <v>145</v>
      </c>
      <c r="T10" s="821">
        <v>0.38680555555555601</v>
      </c>
      <c r="U10" s="823">
        <f t="shared" si="0"/>
        <v>6.0416666666667007E-2</v>
      </c>
      <c r="V10" s="819">
        <v>25</v>
      </c>
      <c r="W10" s="819"/>
      <c r="X10" s="822"/>
      <c r="Y10" s="821">
        <v>0.32638888888888901</v>
      </c>
      <c r="Z10" s="822" t="s">
        <v>145</v>
      </c>
      <c r="AA10" s="821">
        <v>0.38680555555555601</v>
      </c>
      <c r="AB10" s="823">
        <f t="shared" si="1"/>
        <v>6.0416666666667007E-2</v>
      </c>
      <c r="AC10" s="819">
        <v>22</v>
      </c>
      <c r="AD10" s="819"/>
      <c r="AE10" s="822"/>
      <c r="AF10" s="821">
        <v>0.32638888888888901</v>
      </c>
      <c r="AG10" s="822" t="s">
        <v>145</v>
      </c>
      <c r="AH10" s="821">
        <v>0.41875000000000001</v>
      </c>
      <c r="AI10" s="823">
        <f t="shared" si="2"/>
        <v>9.2361111111111005E-2</v>
      </c>
      <c r="AJ10" s="819">
        <v>208</v>
      </c>
      <c r="AK10" s="825">
        <v>113</v>
      </c>
      <c r="AL10" s="821">
        <v>0.32638888888888901</v>
      </c>
      <c r="AM10" s="822" t="s">
        <v>145</v>
      </c>
      <c r="AN10" s="821">
        <v>0.45138888888888901</v>
      </c>
      <c r="AO10" s="823">
        <f t="shared" si="3"/>
        <v>0.125</v>
      </c>
      <c r="AP10" s="819">
        <v>91</v>
      </c>
      <c r="AQ10" s="819" t="s">
        <v>190</v>
      </c>
      <c r="AR10" s="822"/>
      <c r="AS10" s="822"/>
      <c r="AT10" s="822"/>
      <c r="AU10" s="822"/>
      <c r="AV10" s="818" t="str">
        <f t="shared" si="4"/>
        <v/>
      </c>
      <c r="AW10" s="819"/>
      <c r="AX10" s="819"/>
      <c r="AY10" s="822"/>
      <c r="AZ10" s="801"/>
      <c r="BA10" s="801"/>
      <c r="BB10" s="818" t="str">
        <f t="shared" si="5"/>
        <v/>
      </c>
      <c r="BC10" s="830"/>
      <c r="BD10" s="830"/>
      <c r="BE10" s="832"/>
      <c r="BF10" s="833">
        <v>203</v>
      </c>
      <c r="BG10" s="833">
        <v>211</v>
      </c>
      <c r="BH10" s="834"/>
      <c r="BI10" s="834"/>
      <c r="BJ10" s="834"/>
      <c r="BK10" s="835"/>
      <c r="BL10" s="801"/>
      <c r="BM10" s="837">
        <v>39</v>
      </c>
      <c r="BN10" s="853">
        <f t="shared" si="6"/>
        <v>0</v>
      </c>
      <c r="BO10" s="854">
        <f t="shared" si="7"/>
        <v>0</v>
      </c>
      <c r="BP10" s="855"/>
      <c r="BQ10" s="837">
        <f t="shared" si="8"/>
        <v>39</v>
      </c>
      <c r="BR10" s="853">
        <f t="shared" ca="1" si="9"/>
        <v>0</v>
      </c>
      <c r="BS10" s="854">
        <f t="shared" ca="1" si="10"/>
        <v>0</v>
      </c>
      <c r="BT10" s="855"/>
      <c r="BU10" s="837">
        <f t="shared" si="11"/>
        <v>39</v>
      </c>
      <c r="BV10" s="855">
        <f t="shared" ca="1" si="12"/>
        <v>0</v>
      </c>
      <c r="BW10" s="801"/>
      <c r="BX10" s="801"/>
      <c r="BY10" s="801"/>
    </row>
    <row r="11" spans="1:77" ht="22.8">
      <c r="A11" s="962"/>
      <c r="B11" s="804"/>
      <c r="C11" s="805"/>
      <c r="D11" s="805" t="s">
        <v>183</v>
      </c>
      <c r="E11" s="805" t="s">
        <v>191</v>
      </c>
      <c r="F11" s="805" t="s">
        <v>192</v>
      </c>
      <c r="G11" s="805"/>
      <c r="H11" s="805"/>
      <c r="I11" s="820"/>
      <c r="J11" s="962"/>
      <c r="K11" s="822"/>
      <c r="L11" s="822"/>
      <c r="M11" s="822"/>
      <c r="N11" s="818" t="str">
        <f t="shared" si="13"/>
        <v/>
      </c>
      <c r="O11" s="819"/>
      <c r="P11" s="819"/>
      <c r="Q11" s="822"/>
      <c r="R11" s="822"/>
      <c r="S11" s="822"/>
      <c r="T11" s="822"/>
      <c r="U11" s="818" t="str">
        <f t="shared" si="0"/>
        <v/>
      </c>
      <c r="V11" s="819"/>
      <c r="W11" s="819"/>
      <c r="X11" s="822"/>
      <c r="Y11" s="821">
        <v>0.39930555555555602</v>
      </c>
      <c r="Z11" s="822"/>
      <c r="AA11" s="821">
        <v>0.45972222222222198</v>
      </c>
      <c r="AB11" s="823">
        <f t="shared" si="1"/>
        <v>6.0416666666665952E-2</v>
      </c>
      <c r="AC11" s="819">
        <v>161</v>
      </c>
      <c r="AD11" s="819"/>
      <c r="AE11" s="822"/>
      <c r="AF11" s="821">
        <v>0.43055555555555602</v>
      </c>
      <c r="AG11" s="822"/>
      <c r="AH11" s="821">
        <v>0.52083333333333304</v>
      </c>
      <c r="AI11" s="823">
        <f t="shared" si="2"/>
        <v>9.0277777777777013E-2</v>
      </c>
      <c r="AJ11" s="819">
        <v>129</v>
      </c>
      <c r="AK11" s="825" t="s">
        <v>148</v>
      </c>
      <c r="AL11" s="821">
        <v>0.46180555555555602</v>
      </c>
      <c r="AM11" s="822" t="s">
        <v>145</v>
      </c>
      <c r="AN11" s="821">
        <v>0.52083333333333304</v>
      </c>
      <c r="AO11" s="823">
        <f t="shared" si="3"/>
        <v>5.9027777777777013E-2</v>
      </c>
      <c r="AP11" s="819">
        <v>114</v>
      </c>
      <c r="AQ11" s="816" t="s">
        <v>193</v>
      </c>
      <c r="AR11" s="822"/>
      <c r="AS11" s="822"/>
      <c r="AT11" s="822"/>
      <c r="AU11" s="822"/>
      <c r="AV11" s="818" t="str">
        <f t="shared" si="4"/>
        <v/>
      </c>
      <c r="AW11" s="819"/>
      <c r="AX11" s="819"/>
      <c r="AY11" s="822"/>
      <c r="AZ11" s="801"/>
      <c r="BA11" s="801"/>
      <c r="BB11" s="818" t="str">
        <f t="shared" si="5"/>
        <v/>
      </c>
      <c r="BC11" s="830"/>
      <c r="BD11" s="830"/>
      <c r="BE11" s="836"/>
      <c r="BF11" s="837">
        <v>203</v>
      </c>
      <c r="BG11" s="837">
        <v>211</v>
      </c>
      <c r="BH11" s="801"/>
      <c r="BI11" s="801"/>
      <c r="BJ11" s="801"/>
      <c r="BK11" s="838"/>
      <c r="BL11" s="801"/>
      <c r="BM11" s="837">
        <v>49</v>
      </c>
      <c r="BN11" s="853">
        <f t="shared" si="6"/>
        <v>0.16875000000000001</v>
      </c>
      <c r="BO11" s="854">
        <f t="shared" si="7"/>
        <v>4.0500000000000007</v>
      </c>
      <c r="BP11" s="855"/>
      <c r="BQ11" s="837">
        <f t="shared" si="8"/>
        <v>49</v>
      </c>
      <c r="BR11" s="853">
        <f t="shared" ca="1" si="9"/>
        <v>0</v>
      </c>
      <c r="BS11" s="854">
        <f t="shared" ca="1" si="10"/>
        <v>0</v>
      </c>
      <c r="BT11" s="855"/>
      <c r="BU11" s="837">
        <f t="shared" si="11"/>
        <v>49</v>
      </c>
      <c r="BV11" s="855">
        <f t="shared" ca="1" si="12"/>
        <v>4.0500000000000007</v>
      </c>
      <c r="BW11" s="801"/>
      <c r="BX11" s="801"/>
      <c r="BY11" s="801"/>
    </row>
    <row r="12" spans="1:77" ht="22.8">
      <c r="A12" s="962"/>
      <c r="B12" s="804"/>
      <c r="C12" s="805"/>
      <c r="D12" s="805"/>
      <c r="E12" s="805"/>
      <c r="F12" s="805"/>
      <c r="G12" s="805"/>
      <c r="H12" s="805"/>
      <c r="I12" s="820"/>
      <c r="J12" s="962"/>
      <c r="K12" s="822"/>
      <c r="L12" s="822"/>
      <c r="M12" s="822"/>
      <c r="N12" s="818" t="str">
        <f t="shared" si="13"/>
        <v/>
      </c>
      <c r="O12" s="819"/>
      <c r="P12" s="819"/>
      <c r="Q12" s="822"/>
      <c r="R12" s="822"/>
      <c r="S12" s="822"/>
      <c r="T12" s="822"/>
      <c r="U12" s="818" t="str">
        <f t="shared" si="0"/>
        <v/>
      </c>
      <c r="V12" s="819"/>
      <c r="W12" s="819"/>
      <c r="X12" s="822"/>
      <c r="Y12" s="822"/>
      <c r="Z12" s="822"/>
      <c r="AA12" s="822"/>
      <c r="AB12" s="818" t="str">
        <f t="shared" si="1"/>
        <v/>
      </c>
      <c r="AC12" s="819"/>
      <c r="AD12" s="819"/>
      <c r="AE12" s="822"/>
      <c r="AF12" s="821">
        <v>0.52083333333333304</v>
      </c>
      <c r="AG12" s="822" t="s">
        <v>145</v>
      </c>
      <c r="AH12" s="821">
        <v>0.56388888888888899</v>
      </c>
      <c r="AI12" s="823">
        <f t="shared" si="2"/>
        <v>4.3055555555555958E-2</v>
      </c>
      <c r="AJ12" s="819" t="s">
        <v>50</v>
      </c>
      <c r="AK12" s="825" t="s">
        <v>148</v>
      </c>
      <c r="AL12" s="821">
        <v>0.52083333333333304</v>
      </c>
      <c r="AM12" s="822" t="s">
        <v>145</v>
      </c>
      <c r="AN12" s="821">
        <v>0.58680555555555602</v>
      </c>
      <c r="AO12" s="823">
        <f t="shared" si="3"/>
        <v>6.5972222222222987E-2</v>
      </c>
      <c r="AP12" s="819" t="s">
        <v>149</v>
      </c>
      <c r="AQ12" s="819" t="s">
        <v>194</v>
      </c>
      <c r="AR12" s="822"/>
      <c r="AS12" s="822"/>
      <c r="AT12" s="822"/>
      <c r="AU12" s="822"/>
      <c r="AV12" s="818" t="str">
        <f t="shared" si="4"/>
        <v/>
      </c>
      <c r="AW12" s="819"/>
      <c r="AX12" s="819"/>
      <c r="AY12" s="822"/>
      <c r="AZ12" s="801"/>
      <c r="BA12" s="801"/>
      <c r="BB12" s="818" t="str">
        <f t="shared" si="5"/>
        <v/>
      </c>
      <c r="BC12" s="830"/>
      <c r="BD12" s="830"/>
      <c r="BE12" s="842">
        <v>72</v>
      </c>
      <c r="BF12" s="837">
        <v>203</v>
      </c>
      <c r="BG12" s="837">
        <v>211</v>
      </c>
      <c r="BH12" s="801"/>
      <c r="BI12" s="801"/>
      <c r="BJ12" s="801"/>
      <c r="BK12" s="838"/>
      <c r="BL12" s="801"/>
      <c r="BM12" s="837">
        <v>67</v>
      </c>
      <c r="BN12" s="853">
        <f t="shared" si="6"/>
        <v>0</v>
      </c>
      <c r="BO12" s="854">
        <f t="shared" si="7"/>
        <v>0</v>
      </c>
      <c r="BP12" s="855"/>
      <c r="BQ12" s="837">
        <f t="shared" si="8"/>
        <v>67</v>
      </c>
      <c r="BR12" s="853">
        <f t="shared" ca="1" si="9"/>
        <v>0</v>
      </c>
      <c r="BS12" s="854">
        <f t="shared" ca="1" si="10"/>
        <v>0</v>
      </c>
      <c r="BT12" s="855"/>
      <c r="BU12" s="837">
        <f t="shared" si="11"/>
        <v>67</v>
      </c>
      <c r="BV12" s="855">
        <f t="shared" ca="1" si="12"/>
        <v>0</v>
      </c>
      <c r="BW12" s="801"/>
      <c r="BX12" s="801"/>
      <c r="BY12" s="801"/>
    </row>
    <row r="13" spans="1:77" ht="22.8">
      <c r="A13" s="962"/>
      <c r="B13" s="804"/>
      <c r="C13" s="805"/>
      <c r="D13" s="805"/>
      <c r="E13" s="805"/>
      <c r="F13" s="805"/>
      <c r="G13" s="805"/>
      <c r="H13" s="805"/>
      <c r="I13" s="820"/>
      <c r="J13" s="962"/>
      <c r="K13" s="822"/>
      <c r="L13" s="822"/>
      <c r="M13" s="822"/>
      <c r="N13" s="818" t="str">
        <f t="shared" si="13"/>
        <v/>
      </c>
      <c r="O13" s="819"/>
      <c r="P13" s="819"/>
      <c r="Q13" s="822"/>
      <c r="R13" s="822"/>
      <c r="S13" s="822"/>
      <c r="T13" s="822"/>
      <c r="U13" s="818" t="str">
        <f t="shared" si="0"/>
        <v/>
      </c>
      <c r="V13" s="819"/>
      <c r="W13" s="819"/>
      <c r="X13" s="822"/>
      <c r="Y13" s="822"/>
      <c r="Z13" s="822"/>
      <c r="AA13" s="822"/>
      <c r="AB13" s="818" t="str">
        <f t="shared" si="1"/>
        <v/>
      </c>
      <c r="AC13" s="819"/>
      <c r="AD13" s="819"/>
      <c r="AE13" s="822"/>
      <c r="AF13" s="822"/>
      <c r="AG13" s="822"/>
      <c r="AH13" s="822"/>
      <c r="AI13" s="818" t="str">
        <f t="shared" si="2"/>
        <v/>
      </c>
      <c r="AJ13" s="819"/>
      <c r="AK13" s="825"/>
      <c r="AL13" s="822"/>
      <c r="AM13" s="822"/>
      <c r="AN13" s="822"/>
      <c r="AO13" s="818" t="str">
        <f t="shared" si="3"/>
        <v/>
      </c>
      <c r="AP13" s="819"/>
      <c r="AQ13" s="819"/>
      <c r="AR13" s="822"/>
      <c r="AS13" s="822"/>
      <c r="AT13" s="822"/>
      <c r="AU13" s="822"/>
      <c r="AV13" s="818" t="str">
        <f t="shared" si="4"/>
        <v/>
      </c>
      <c r="AW13" s="819"/>
      <c r="AX13" s="819"/>
      <c r="AY13" s="822"/>
      <c r="AZ13" s="801"/>
      <c r="BA13" s="801"/>
      <c r="BB13" s="818" t="str">
        <f t="shared" si="5"/>
        <v/>
      </c>
      <c r="BC13" s="830"/>
      <c r="BD13" s="830"/>
      <c r="BE13" s="843">
        <v>72</v>
      </c>
      <c r="BF13" s="840">
        <v>203</v>
      </c>
      <c r="BG13" s="840">
        <v>211</v>
      </c>
      <c r="BH13" s="841"/>
      <c r="BI13" s="841"/>
      <c r="BJ13" s="841"/>
      <c r="BK13" s="824"/>
      <c r="BL13" s="801"/>
      <c r="BM13" s="837">
        <v>72</v>
      </c>
      <c r="BN13" s="853">
        <f t="shared" si="6"/>
        <v>0</v>
      </c>
      <c r="BO13" s="854">
        <f t="shared" si="7"/>
        <v>0</v>
      </c>
      <c r="BP13" s="855"/>
      <c r="BQ13" s="837">
        <f t="shared" si="8"/>
        <v>72</v>
      </c>
      <c r="BR13" s="853">
        <f t="shared" ca="1" si="9"/>
        <v>0</v>
      </c>
      <c r="BS13" s="854">
        <f t="shared" ca="1" si="10"/>
        <v>0</v>
      </c>
      <c r="BT13" s="855"/>
      <c r="BU13" s="837">
        <f t="shared" si="11"/>
        <v>72</v>
      </c>
      <c r="BV13" s="855">
        <f t="shared" ca="1" si="12"/>
        <v>0</v>
      </c>
      <c r="BW13" s="801"/>
      <c r="BX13" s="801"/>
      <c r="BY13" s="801"/>
    </row>
    <row r="14" spans="1:77" ht="22.8">
      <c r="A14" s="964" t="s">
        <v>195</v>
      </c>
      <c r="B14" s="806" t="s">
        <v>170</v>
      </c>
      <c r="C14" s="807" t="s">
        <v>170</v>
      </c>
      <c r="D14" s="807" t="s">
        <v>188</v>
      </c>
      <c r="E14" s="807" t="s">
        <v>171</v>
      </c>
      <c r="F14" s="807" t="s">
        <v>189</v>
      </c>
      <c r="G14" s="809" t="s">
        <v>196</v>
      </c>
      <c r="H14" s="807" t="s">
        <v>189</v>
      </c>
      <c r="I14" s="824"/>
      <c r="J14" s="964" t="s">
        <v>195</v>
      </c>
      <c r="K14" s="823">
        <v>0.32638888888888901</v>
      </c>
      <c r="L14" s="818" t="s">
        <v>145</v>
      </c>
      <c r="M14" s="823">
        <v>0.38680555555555601</v>
      </c>
      <c r="N14" s="823">
        <f t="shared" si="13"/>
        <v>6.0416666666667007E-2</v>
      </c>
      <c r="O14" s="819">
        <v>211</v>
      </c>
      <c r="P14" s="819"/>
      <c r="Q14" s="818"/>
      <c r="R14" s="823">
        <v>0.32638888888888901</v>
      </c>
      <c r="S14" s="818" t="s">
        <v>145</v>
      </c>
      <c r="T14" s="823">
        <v>0.38680555555555601</v>
      </c>
      <c r="U14" s="823">
        <f t="shared" si="0"/>
        <v>6.0416666666667007E-2</v>
      </c>
      <c r="V14" s="819">
        <v>114</v>
      </c>
      <c r="W14" s="819"/>
      <c r="X14" s="818"/>
      <c r="Y14" s="823">
        <v>0.32638888888888901</v>
      </c>
      <c r="Z14" s="818" t="s">
        <v>145</v>
      </c>
      <c r="AA14" s="823">
        <v>0.39930555555555602</v>
      </c>
      <c r="AB14" s="823">
        <f t="shared" si="1"/>
        <v>7.2916666666667018E-2</v>
      </c>
      <c r="AC14" s="819">
        <v>129</v>
      </c>
      <c r="AD14" s="819"/>
      <c r="AE14" s="818"/>
      <c r="AF14" s="823">
        <v>0.32638888888888901</v>
      </c>
      <c r="AG14" s="818"/>
      <c r="AH14" s="823">
        <v>0.41875000000000001</v>
      </c>
      <c r="AI14" s="823">
        <f t="shared" si="2"/>
        <v>9.2361111111111005E-2</v>
      </c>
      <c r="AJ14" s="819">
        <v>91</v>
      </c>
      <c r="AK14" s="825" t="s">
        <v>182</v>
      </c>
      <c r="AL14" s="823">
        <v>0.32638888888888901</v>
      </c>
      <c r="AM14" s="818" t="s">
        <v>145</v>
      </c>
      <c r="AN14" s="823">
        <v>0.45138888888888901</v>
      </c>
      <c r="AO14" s="823">
        <f t="shared" si="3"/>
        <v>0.125</v>
      </c>
      <c r="AP14" s="819">
        <v>203</v>
      </c>
      <c r="AQ14" s="819" t="s">
        <v>147</v>
      </c>
      <c r="AR14" s="818"/>
      <c r="AS14" s="823">
        <v>0.32638888888888901</v>
      </c>
      <c r="AT14" s="818" t="s">
        <v>145</v>
      </c>
      <c r="AU14" s="823">
        <v>0.45138888888888901</v>
      </c>
      <c r="AV14" s="823">
        <f t="shared" si="4"/>
        <v>0.125</v>
      </c>
      <c r="AW14" s="819">
        <v>218</v>
      </c>
      <c r="AX14" s="819">
        <v>88</v>
      </c>
      <c r="AY14" s="818"/>
      <c r="AZ14" s="801"/>
      <c r="BA14" s="801"/>
      <c r="BB14" s="818" t="str">
        <f t="shared" si="5"/>
        <v/>
      </c>
      <c r="BC14" s="830"/>
      <c r="BD14" s="830"/>
      <c r="BE14" s="842">
        <v>49</v>
      </c>
      <c r="BF14" s="837">
        <v>113</v>
      </c>
      <c r="BG14" s="837">
        <v>186</v>
      </c>
      <c r="BH14" s="801"/>
      <c r="BI14" s="801"/>
      <c r="BJ14" s="801"/>
      <c r="BK14" s="838"/>
      <c r="BL14" s="801"/>
      <c r="BM14" s="837">
        <v>73</v>
      </c>
      <c r="BN14" s="853">
        <f t="shared" si="6"/>
        <v>0</v>
      </c>
      <c r="BO14" s="854">
        <f t="shared" si="7"/>
        <v>0</v>
      </c>
      <c r="BP14" s="855"/>
      <c r="BQ14" s="837">
        <f t="shared" si="8"/>
        <v>73</v>
      </c>
      <c r="BR14" s="853">
        <f t="shared" ca="1" si="9"/>
        <v>0</v>
      </c>
      <c r="BS14" s="854">
        <f t="shared" ca="1" si="10"/>
        <v>0</v>
      </c>
      <c r="BT14" s="855"/>
      <c r="BU14" s="837">
        <f t="shared" si="11"/>
        <v>73</v>
      </c>
      <c r="BV14" s="855">
        <f t="shared" ca="1" si="12"/>
        <v>0</v>
      </c>
      <c r="BW14" s="801"/>
      <c r="BX14" s="801"/>
      <c r="BY14" s="801"/>
    </row>
    <row r="15" spans="1:77" ht="22.8">
      <c r="A15" s="962"/>
      <c r="B15" s="806" t="s">
        <v>183</v>
      </c>
      <c r="C15" s="807"/>
      <c r="D15" s="807" t="s">
        <v>197</v>
      </c>
      <c r="E15" s="807"/>
      <c r="F15" s="807"/>
      <c r="G15" s="810" t="s">
        <v>198</v>
      </c>
      <c r="H15" s="807"/>
      <c r="I15" s="824"/>
      <c r="J15" s="962"/>
      <c r="K15" s="823">
        <v>0.39930555555555602</v>
      </c>
      <c r="L15" s="818"/>
      <c r="M15" s="823">
        <v>0.45972222222222198</v>
      </c>
      <c r="N15" s="823">
        <f t="shared" si="13"/>
        <v>6.0416666666665952E-2</v>
      </c>
      <c r="O15" s="819">
        <v>211</v>
      </c>
      <c r="P15" s="819"/>
      <c r="Q15" s="818"/>
      <c r="R15" s="818"/>
      <c r="S15" s="818"/>
      <c r="T15" s="818"/>
      <c r="U15" s="818" t="str">
        <f t="shared" si="0"/>
        <v/>
      </c>
      <c r="V15" s="819"/>
      <c r="W15" s="819"/>
      <c r="X15" s="818"/>
      <c r="Y15" s="823">
        <v>0.40972222222222199</v>
      </c>
      <c r="Z15" s="818"/>
      <c r="AA15" s="823">
        <v>0.44097222222222199</v>
      </c>
      <c r="AB15" s="823">
        <f t="shared" si="1"/>
        <v>3.125E-2</v>
      </c>
      <c r="AC15" s="819">
        <v>129</v>
      </c>
      <c r="AD15" s="819"/>
      <c r="AE15" s="818"/>
      <c r="AF15" s="818"/>
      <c r="AG15" s="818"/>
      <c r="AH15" s="818"/>
      <c r="AI15" s="818" t="str">
        <f t="shared" si="2"/>
        <v/>
      </c>
      <c r="AJ15" s="819"/>
      <c r="AK15" s="825"/>
      <c r="AL15" s="818"/>
      <c r="AM15" s="818"/>
      <c r="AN15" s="818"/>
      <c r="AO15" s="818" t="str">
        <f t="shared" si="3"/>
        <v/>
      </c>
      <c r="AP15" s="819"/>
      <c r="AQ15" s="819"/>
      <c r="AR15" s="818"/>
      <c r="AS15" s="818"/>
      <c r="AT15" s="818"/>
      <c r="AU15" s="818"/>
      <c r="AV15" s="818" t="str">
        <f t="shared" si="4"/>
        <v/>
      </c>
      <c r="AW15" s="819"/>
      <c r="AX15" s="819"/>
      <c r="AY15" s="818"/>
      <c r="AZ15" s="801"/>
      <c r="BA15" s="801"/>
      <c r="BB15" s="818" t="str">
        <f t="shared" si="5"/>
        <v/>
      </c>
      <c r="BC15" s="830"/>
      <c r="BD15" s="830"/>
      <c r="BE15" s="842">
        <v>49</v>
      </c>
      <c r="BF15" s="837">
        <v>113</v>
      </c>
      <c r="BG15" s="837">
        <v>186</v>
      </c>
      <c r="BH15" s="801"/>
      <c r="BI15" s="801"/>
      <c r="BJ15" s="801"/>
      <c r="BK15" s="838"/>
      <c r="BL15" s="801"/>
      <c r="BM15" s="837">
        <v>76</v>
      </c>
      <c r="BN15" s="853">
        <f t="shared" si="6"/>
        <v>0</v>
      </c>
      <c r="BO15" s="854">
        <f t="shared" si="7"/>
        <v>0</v>
      </c>
      <c r="BP15" s="855"/>
      <c r="BQ15" s="837">
        <f t="shared" si="8"/>
        <v>76</v>
      </c>
      <c r="BR15" s="853">
        <f t="shared" ca="1" si="9"/>
        <v>0</v>
      </c>
      <c r="BS15" s="854">
        <f t="shared" ca="1" si="10"/>
        <v>0</v>
      </c>
      <c r="BT15" s="855"/>
      <c r="BU15" s="837">
        <f t="shared" si="11"/>
        <v>76</v>
      </c>
      <c r="BV15" s="855">
        <f t="shared" ca="1" si="12"/>
        <v>0</v>
      </c>
      <c r="BW15" s="801"/>
      <c r="BX15" s="801"/>
      <c r="BY15" s="801"/>
    </row>
    <row r="16" spans="1:77" ht="22.8">
      <c r="A16" s="962"/>
      <c r="B16" s="806"/>
      <c r="C16" s="807"/>
      <c r="D16" s="807"/>
      <c r="E16" s="807"/>
      <c r="F16" s="807"/>
      <c r="G16" s="807"/>
      <c r="H16" s="807"/>
      <c r="I16" s="824"/>
      <c r="J16" s="962"/>
      <c r="K16" s="818"/>
      <c r="L16" s="818"/>
      <c r="M16" s="818"/>
      <c r="N16" s="818" t="str">
        <f t="shared" si="13"/>
        <v/>
      </c>
      <c r="O16" s="819"/>
      <c r="P16" s="819"/>
      <c r="Q16" s="818"/>
      <c r="R16" s="818"/>
      <c r="S16" s="818"/>
      <c r="T16" s="818"/>
      <c r="U16" s="818" t="str">
        <f t="shared" si="0"/>
        <v/>
      </c>
      <c r="V16" s="819"/>
      <c r="W16" s="819"/>
      <c r="X16" s="818"/>
      <c r="Y16" s="818"/>
      <c r="Z16" s="818"/>
      <c r="AA16" s="818"/>
      <c r="AB16" s="818" t="str">
        <f t="shared" si="1"/>
        <v/>
      </c>
      <c r="AC16" s="819"/>
      <c r="AD16" s="819"/>
      <c r="AE16" s="818"/>
      <c r="AF16" s="818"/>
      <c r="AG16" s="818"/>
      <c r="AH16" s="818"/>
      <c r="AI16" s="818" t="str">
        <f t="shared" si="2"/>
        <v/>
      </c>
      <c r="AJ16" s="819"/>
      <c r="AK16" s="825"/>
      <c r="AL16" s="818"/>
      <c r="AM16" s="818"/>
      <c r="AN16" s="818"/>
      <c r="AO16" s="818" t="str">
        <f t="shared" si="3"/>
        <v/>
      </c>
      <c r="AP16" s="819"/>
      <c r="AQ16" s="819"/>
      <c r="AR16" s="818"/>
      <c r="AS16" s="818"/>
      <c r="AT16" s="818"/>
      <c r="AU16" s="818"/>
      <c r="AV16" s="818" t="str">
        <f t="shared" si="4"/>
        <v/>
      </c>
      <c r="AW16" s="819"/>
      <c r="AX16" s="819"/>
      <c r="AY16" s="818"/>
      <c r="AZ16" s="801"/>
      <c r="BA16" s="801"/>
      <c r="BB16" s="818" t="str">
        <f t="shared" si="5"/>
        <v/>
      </c>
      <c r="BC16" s="830"/>
      <c r="BD16" s="830"/>
      <c r="BE16" s="842">
        <v>49</v>
      </c>
      <c r="BF16" s="837">
        <v>113</v>
      </c>
      <c r="BG16" s="837">
        <v>186</v>
      </c>
      <c r="BH16" s="801"/>
      <c r="BI16" s="801"/>
      <c r="BJ16" s="801"/>
      <c r="BK16" s="838"/>
      <c r="BL16" s="801"/>
      <c r="BM16" s="837">
        <v>78</v>
      </c>
      <c r="BN16" s="853">
        <f t="shared" si="6"/>
        <v>7.2916666666667018E-2</v>
      </c>
      <c r="BO16" s="854">
        <f t="shared" si="7"/>
        <v>1.7500000000000084</v>
      </c>
      <c r="BP16" s="855"/>
      <c r="BQ16" s="837">
        <f t="shared" si="8"/>
        <v>78</v>
      </c>
      <c r="BR16" s="853">
        <f t="shared" ca="1" si="9"/>
        <v>0</v>
      </c>
      <c r="BS16" s="854">
        <f t="shared" ca="1" si="10"/>
        <v>0</v>
      </c>
      <c r="BT16" s="855"/>
      <c r="BU16" s="837">
        <f t="shared" si="11"/>
        <v>78</v>
      </c>
      <c r="BV16" s="855">
        <f t="shared" ca="1" si="12"/>
        <v>1.7500000000000084</v>
      </c>
      <c r="BW16" s="801"/>
      <c r="BX16" s="801"/>
      <c r="BY16" s="801"/>
    </row>
    <row r="17" spans="1:77" ht="22.8">
      <c r="A17" s="962"/>
      <c r="B17" s="806"/>
      <c r="C17" s="807"/>
      <c r="D17" s="807"/>
      <c r="E17" s="807"/>
      <c r="F17" s="807"/>
      <c r="G17" s="807"/>
      <c r="H17" s="807"/>
      <c r="I17" s="824"/>
      <c r="J17" s="962"/>
      <c r="K17" s="818"/>
      <c r="L17" s="818"/>
      <c r="M17" s="818"/>
      <c r="N17" s="818" t="str">
        <f t="shared" si="13"/>
        <v/>
      </c>
      <c r="O17" s="819"/>
      <c r="P17" s="819"/>
      <c r="Q17" s="818"/>
      <c r="R17" s="818"/>
      <c r="S17" s="818"/>
      <c r="T17" s="818"/>
      <c r="U17" s="818" t="str">
        <f t="shared" si="0"/>
        <v/>
      </c>
      <c r="V17" s="819"/>
      <c r="W17" s="819"/>
      <c r="X17" s="818"/>
      <c r="Y17" s="818"/>
      <c r="Z17" s="818"/>
      <c r="AA17" s="818"/>
      <c r="AB17" s="818" t="str">
        <f t="shared" si="1"/>
        <v/>
      </c>
      <c r="AC17" s="819"/>
      <c r="AD17" s="819"/>
      <c r="AE17" s="818"/>
      <c r="AF17" s="818"/>
      <c r="AG17" s="818"/>
      <c r="AH17" s="818"/>
      <c r="AI17" s="818" t="str">
        <f t="shared" si="2"/>
        <v/>
      </c>
      <c r="AJ17" s="819"/>
      <c r="AK17" s="825"/>
      <c r="AL17" s="818"/>
      <c r="AM17" s="818"/>
      <c r="AN17" s="818"/>
      <c r="AO17" s="818" t="str">
        <f t="shared" si="3"/>
        <v/>
      </c>
      <c r="AP17" s="819"/>
      <c r="AQ17" s="819"/>
      <c r="AR17" s="818"/>
      <c r="AS17" s="818"/>
      <c r="AT17" s="818"/>
      <c r="AU17" s="818"/>
      <c r="AV17" s="818" t="str">
        <f t="shared" si="4"/>
        <v/>
      </c>
      <c r="AW17" s="819"/>
      <c r="AX17" s="819"/>
      <c r="AY17" s="818"/>
      <c r="AZ17" s="801"/>
      <c r="BA17" s="801"/>
      <c r="BB17" s="818" t="str">
        <f t="shared" si="5"/>
        <v/>
      </c>
      <c r="BC17" s="830"/>
      <c r="BD17" s="830"/>
      <c r="BE17" s="842">
        <v>49</v>
      </c>
      <c r="BF17" s="837">
        <v>113</v>
      </c>
      <c r="BG17" s="837">
        <v>186</v>
      </c>
      <c r="BH17" s="801"/>
      <c r="BI17" s="801"/>
      <c r="BJ17" s="801"/>
      <c r="BK17" s="838"/>
      <c r="BL17" s="801"/>
      <c r="BM17" s="837">
        <v>84</v>
      </c>
      <c r="BN17" s="853">
        <f t="shared" si="6"/>
        <v>0.125</v>
      </c>
      <c r="BO17" s="854">
        <f t="shared" si="7"/>
        <v>3</v>
      </c>
      <c r="BP17" s="855"/>
      <c r="BQ17" s="837">
        <f t="shared" si="8"/>
        <v>84</v>
      </c>
      <c r="BR17" s="853">
        <f t="shared" ca="1" si="9"/>
        <v>0</v>
      </c>
      <c r="BS17" s="854">
        <f t="shared" ca="1" si="10"/>
        <v>0</v>
      </c>
      <c r="BT17" s="855"/>
      <c r="BU17" s="837">
        <f t="shared" si="11"/>
        <v>84</v>
      </c>
      <c r="BV17" s="855">
        <f t="shared" ca="1" si="12"/>
        <v>3</v>
      </c>
      <c r="BW17" s="801"/>
      <c r="BX17" s="801"/>
      <c r="BY17" s="801"/>
    </row>
    <row r="18" spans="1:77" ht="22.8">
      <c r="A18" s="963" t="s">
        <v>199</v>
      </c>
      <c r="B18" s="804" t="s">
        <v>200</v>
      </c>
      <c r="C18" s="805" t="s">
        <v>201</v>
      </c>
      <c r="D18" s="805" t="s">
        <v>202</v>
      </c>
      <c r="E18" s="805" t="s">
        <v>202</v>
      </c>
      <c r="F18" s="805" t="s">
        <v>203</v>
      </c>
      <c r="G18" s="805"/>
      <c r="H18" s="805"/>
      <c r="I18" s="820"/>
      <c r="J18" s="965" t="s">
        <v>199</v>
      </c>
      <c r="K18" s="821">
        <v>0.33333333333333298</v>
      </c>
      <c r="L18" s="822"/>
      <c r="M18" s="821">
        <v>0.38124999999999998</v>
      </c>
      <c r="N18" s="823">
        <f t="shared" si="13"/>
        <v>4.7916666666666996E-2</v>
      </c>
      <c r="O18" s="819">
        <v>22</v>
      </c>
      <c r="P18" s="819"/>
      <c r="Q18" s="822"/>
      <c r="R18" s="821">
        <v>0.33333333333333298</v>
      </c>
      <c r="S18" s="822"/>
      <c r="T18" s="821">
        <v>0.40625</v>
      </c>
      <c r="U18" s="823">
        <f t="shared" si="0"/>
        <v>7.2916666666667018E-2</v>
      </c>
      <c r="V18" s="819">
        <v>218</v>
      </c>
      <c r="W18" s="819"/>
      <c r="X18" s="822"/>
      <c r="Y18" s="821">
        <v>0.33333333333333298</v>
      </c>
      <c r="Z18" s="822"/>
      <c r="AA18" s="821">
        <v>0.39374999999999999</v>
      </c>
      <c r="AB18" s="823">
        <f t="shared" si="1"/>
        <v>6.0416666666667007E-2</v>
      </c>
      <c r="AC18" s="819">
        <v>138</v>
      </c>
      <c r="AD18" s="819"/>
      <c r="AE18" s="822"/>
      <c r="AF18" s="821">
        <v>0.33333333333333298</v>
      </c>
      <c r="AG18" s="822"/>
      <c r="AH18" s="821">
        <v>0.39374999999999999</v>
      </c>
      <c r="AI18" s="823">
        <f t="shared" si="2"/>
        <v>6.0416666666667007E-2</v>
      </c>
      <c r="AJ18" s="819">
        <v>5</v>
      </c>
      <c r="AK18" s="825">
        <v>147</v>
      </c>
      <c r="AL18" s="821">
        <v>0.33333333333333298</v>
      </c>
      <c r="AM18" s="822"/>
      <c r="AN18" s="821">
        <v>0.48819444444444399</v>
      </c>
      <c r="AO18" s="823">
        <f t="shared" si="3"/>
        <v>0.15486111111111101</v>
      </c>
      <c r="AP18" s="819">
        <v>202</v>
      </c>
      <c r="AQ18" s="819" t="s">
        <v>204</v>
      </c>
      <c r="AR18" s="822"/>
      <c r="AS18" s="822"/>
      <c r="AT18" s="822"/>
      <c r="AU18" s="822"/>
      <c r="AV18" s="818" t="str">
        <f t="shared" si="4"/>
        <v/>
      </c>
      <c r="AW18" s="819"/>
      <c r="AX18" s="819"/>
      <c r="AY18" s="822"/>
      <c r="AZ18" s="801"/>
      <c r="BA18" s="801"/>
      <c r="BB18" s="818" t="str">
        <f t="shared" si="5"/>
        <v/>
      </c>
      <c r="BC18" s="830"/>
      <c r="BD18" s="830"/>
      <c r="BE18" s="832"/>
      <c r="BF18" s="834"/>
      <c r="BG18" s="834"/>
      <c r="BH18" s="834"/>
      <c r="BI18" s="834"/>
      <c r="BJ18" s="834"/>
      <c r="BK18" s="835"/>
      <c r="BL18" s="801"/>
      <c r="BM18" s="837">
        <v>85</v>
      </c>
      <c r="BN18" s="853">
        <f t="shared" si="6"/>
        <v>0</v>
      </c>
      <c r="BO18" s="854">
        <f t="shared" si="7"/>
        <v>0</v>
      </c>
      <c r="BP18" s="855"/>
      <c r="BQ18" s="837">
        <f t="shared" si="8"/>
        <v>85</v>
      </c>
      <c r="BR18" s="853">
        <f t="shared" ca="1" si="9"/>
        <v>0</v>
      </c>
      <c r="BS18" s="854">
        <f t="shared" ca="1" si="10"/>
        <v>0</v>
      </c>
      <c r="BT18" s="855"/>
      <c r="BU18" s="837">
        <f t="shared" si="11"/>
        <v>85</v>
      </c>
      <c r="BV18" s="855">
        <f t="shared" ca="1" si="12"/>
        <v>0</v>
      </c>
      <c r="BW18" s="801"/>
      <c r="BX18" s="801"/>
      <c r="BY18" s="801"/>
    </row>
    <row r="19" spans="1:77" ht="22.8">
      <c r="A19" s="962"/>
      <c r="B19" s="804" t="s">
        <v>205</v>
      </c>
      <c r="C19" s="805" t="s">
        <v>206</v>
      </c>
      <c r="D19" s="805" t="s">
        <v>207</v>
      </c>
      <c r="E19" s="805" t="s">
        <v>208</v>
      </c>
      <c r="F19" s="805"/>
      <c r="G19" s="805"/>
      <c r="H19" s="805"/>
      <c r="I19" s="820"/>
      <c r="J19" s="962"/>
      <c r="K19" s="821">
        <v>0.39236111111111099</v>
      </c>
      <c r="L19" s="822"/>
      <c r="M19" s="821">
        <v>0.42361111111111099</v>
      </c>
      <c r="N19" s="823">
        <f t="shared" si="13"/>
        <v>3.125E-2</v>
      </c>
      <c r="O19" s="819">
        <v>203</v>
      </c>
      <c r="P19" s="819"/>
      <c r="Q19" s="822"/>
      <c r="R19" s="821">
        <v>0.41666666666666702</v>
      </c>
      <c r="S19" s="822"/>
      <c r="T19" s="821">
        <v>0.44791666666666702</v>
      </c>
      <c r="U19" s="823">
        <f t="shared" si="0"/>
        <v>3.125E-2</v>
      </c>
      <c r="V19" s="819">
        <v>218</v>
      </c>
      <c r="W19" s="819"/>
      <c r="X19" s="822"/>
      <c r="Y19" s="821">
        <v>0.40625</v>
      </c>
      <c r="Z19" s="822"/>
      <c r="AA19" s="821">
        <v>0.46666666666666701</v>
      </c>
      <c r="AB19" s="823">
        <f t="shared" si="1"/>
        <v>6.0416666666667007E-2</v>
      </c>
      <c r="AC19" s="819">
        <v>138</v>
      </c>
      <c r="AD19" s="819"/>
      <c r="AE19" s="822"/>
      <c r="AF19" s="821">
        <v>0.40625</v>
      </c>
      <c r="AG19" s="822"/>
      <c r="AH19" s="821">
        <v>0.49861111111111101</v>
      </c>
      <c r="AI19" s="823">
        <f t="shared" si="2"/>
        <v>9.2361111111111005E-2</v>
      </c>
      <c r="AJ19" s="819">
        <v>208</v>
      </c>
      <c r="AK19" s="825" t="s">
        <v>148</v>
      </c>
      <c r="AL19" s="822"/>
      <c r="AM19" s="822"/>
      <c r="AN19" s="822"/>
      <c r="AO19" s="818" t="str">
        <f t="shared" si="3"/>
        <v/>
      </c>
      <c r="AP19" s="819"/>
      <c r="AQ19" s="819"/>
      <c r="AR19" s="822"/>
      <c r="AS19" s="822"/>
      <c r="AT19" s="822"/>
      <c r="AU19" s="822"/>
      <c r="AV19" s="818" t="str">
        <f t="shared" si="4"/>
        <v/>
      </c>
      <c r="AW19" s="819"/>
      <c r="AX19" s="819"/>
      <c r="AY19" s="822"/>
      <c r="AZ19" s="801"/>
      <c r="BA19" s="801"/>
      <c r="BB19" s="818" t="str">
        <f t="shared" si="5"/>
        <v/>
      </c>
      <c r="BC19" s="830"/>
      <c r="BD19" s="830"/>
      <c r="BE19" s="836"/>
      <c r="BF19" s="801"/>
      <c r="BG19" s="801"/>
      <c r="BH19" s="801"/>
      <c r="BI19" s="801"/>
      <c r="BJ19" s="801"/>
      <c r="BK19" s="838"/>
      <c r="BL19" s="844" t="s">
        <v>46</v>
      </c>
      <c r="BM19" s="837">
        <v>86</v>
      </c>
      <c r="BN19" s="853">
        <f t="shared" si="6"/>
        <v>0</v>
      </c>
      <c r="BO19" s="854">
        <f t="shared" si="7"/>
        <v>0</v>
      </c>
      <c r="BP19" s="855"/>
      <c r="BQ19" s="837">
        <f t="shared" si="8"/>
        <v>86</v>
      </c>
      <c r="BR19" s="853">
        <f t="shared" ca="1" si="9"/>
        <v>0</v>
      </c>
      <c r="BS19" s="854">
        <f t="shared" ca="1" si="10"/>
        <v>0</v>
      </c>
      <c r="BT19" s="855"/>
      <c r="BU19" s="837">
        <f t="shared" si="11"/>
        <v>86</v>
      </c>
      <c r="BV19" s="855">
        <f t="shared" ca="1" si="12"/>
        <v>0</v>
      </c>
      <c r="BW19" s="801"/>
      <c r="BX19" s="801"/>
      <c r="BY19" s="801"/>
    </row>
    <row r="20" spans="1:77" ht="22.8">
      <c r="A20" s="962"/>
      <c r="B20" s="804"/>
      <c r="C20" s="805"/>
      <c r="D20" s="805"/>
      <c r="E20" s="805"/>
      <c r="F20" s="805"/>
      <c r="G20" s="805"/>
      <c r="H20" s="805"/>
      <c r="I20" s="820"/>
      <c r="J20" s="962"/>
      <c r="K20" s="822"/>
      <c r="L20" s="822"/>
      <c r="M20" s="822"/>
      <c r="N20" s="818" t="str">
        <f t="shared" si="13"/>
        <v/>
      </c>
      <c r="O20" s="819"/>
      <c r="P20" s="819"/>
      <c r="Q20" s="822"/>
      <c r="R20" s="822"/>
      <c r="S20" s="822"/>
      <c r="T20" s="822"/>
      <c r="U20" s="818" t="str">
        <f t="shared" si="0"/>
        <v/>
      </c>
      <c r="V20" s="819"/>
      <c r="W20" s="819"/>
      <c r="X20" s="822"/>
      <c r="Y20" s="822"/>
      <c r="Z20" s="822"/>
      <c r="AA20" s="822"/>
      <c r="AB20" s="818" t="str">
        <f t="shared" si="1"/>
        <v/>
      </c>
      <c r="AC20" s="819"/>
      <c r="AD20" s="819"/>
      <c r="AE20" s="822"/>
      <c r="AF20" s="822"/>
      <c r="AG20" s="822"/>
      <c r="AH20" s="822"/>
      <c r="AI20" s="818" t="str">
        <f t="shared" si="2"/>
        <v/>
      </c>
      <c r="AJ20" s="819"/>
      <c r="AK20" s="825"/>
      <c r="AL20" s="822"/>
      <c r="AM20" s="822"/>
      <c r="AN20" s="822"/>
      <c r="AO20" s="818" t="str">
        <f t="shared" si="3"/>
        <v/>
      </c>
      <c r="AP20" s="819"/>
      <c r="AQ20" s="819"/>
      <c r="AR20" s="822"/>
      <c r="AS20" s="822"/>
      <c r="AT20" s="822"/>
      <c r="AU20" s="822"/>
      <c r="AV20" s="818" t="str">
        <f t="shared" si="4"/>
        <v/>
      </c>
      <c r="AW20" s="819"/>
      <c r="AX20" s="819"/>
      <c r="AY20" s="822"/>
      <c r="AZ20" s="801"/>
      <c r="BA20" s="801"/>
      <c r="BB20" s="818" t="str">
        <f t="shared" si="5"/>
        <v/>
      </c>
      <c r="BC20" s="830"/>
      <c r="BD20" s="830"/>
      <c r="BE20" s="842">
        <v>141</v>
      </c>
      <c r="BF20" s="801"/>
      <c r="BG20" s="801"/>
      <c r="BH20" s="801"/>
      <c r="BI20" s="801"/>
      <c r="BJ20" s="801"/>
      <c r="BK20" s="838"/>
      <c r="BL20" s="819">
        <v>202</v>
      </c>
      <c r="BM20" s="837">
        <v>90</v>
      </c>
      <c r="BN20" s="853">
        <f t="shared" si="6"/>
        <v>0</v>
      </c>
      <c r="BO20" s="854">
        <f t="shared" si="7"/>
        <v>0</v>
      </c>
      <c r="BP20" s="855"/>
      <c r="BQ20" s="837">
        <f t="shared" si="8"/>
        <v>90</v>
      </c>
      <c r="BR20" s="853">
        <f t="shared" ca="1" si="9"/>
        <v>0</v>
      </c>
      <c r="BS20" s="854">
        <f t="shared" ca="1" si="10"/>
        <v>0</v>
      </c>
      <c r="BT20" s="855"/>
      <c r="BU20" s="837">
        <f t="shared" si="11"/>
        <v>90</v>
      </c>
      <c r="BV20" s="855">
        <f t="shared" ca="1" si="12"/>
        <v>0</v>
      </c>
      <c r="BW20" s="801"/>
      <c r="BX20" s="801"/>
      <c r="BY20" s="801"/>
    </row>
    <row r="21" spans="1:77" ht="15.75" customHeight="1">
      <c r="A21" s="962"/>
      <c r="B21" s="804"/>
      <c r="C21" s="805"/>
      <c r="D21" s="805"/>
      <c r="E21" s="805"/>
      <c r="F21" s="805"/>
      <c r="G21" s="805"/>
      <c r="H21" s="805"/>
      <c r="I21" s="820"/>
      <c r="J21" s="962"/>
      <c r="K21" s="822"/>
      <c r="L21" s="822"/>
      <c r="M21" s="822"/>
      <c r="N21" s="818" t="str">
        <f t="shared" si="13"/>
        <v/>
      </c>
      <c r="O21" s="819"/>
      <c r="P21" s="819"/>
      <c r="Q21" s="822"/>
      <c r="R21" s="822"/>
      <c r="S21" s="822"/>
      <c r="T21" s="822"/>
      <c r="U21" s="818" t="str">
        <f t="shared" si="0"/>
        <v/>
      </c>
      <c r="V21" s="819"/>
      <c r="W21" s="819"/>
      <c r="X21" s="822"/>
      <c r="Y21" s="822"/>
      <c r="Z21" s="822"/>
      <c r="AA21" s="822"/>
      <c r="AB21" s="818" t="str">
        <f t="shared" si="1"/>
        <v/>
      </c>
      <c r="AC21" s="819"/>
      <c r="AD21" s="819"/>
      <c r="AE21" s="822"/>
      <c r="AF21" s="822"/>
      <c r="AG21" s="822"/>
      <c r="AH21" s="822"/>
      <c r="AI21" s="818" t="str">
        <f t="shared" si="2"/>
        <v/>
      </c>
      <c r="AJ21" s="819"/>
      <c r="AK21" s="825"/>
      <c r="AL21" s="822"/>
      <c r="AM21" s="822"/>
      <c r="AN21" s="822"/>
      <c r="AO21" s="818" t="str">
        <f t="shared" si="3"/>
        <v/>
      </c>
      <c r="AP21" s="819"/>
      <c r="AQ21" s="819"/>
      <c r="AR21" s="822"/>
      <c r="AS21" s="822"/>
      <c r="AT21" s="822"/>
      <c r="AU21" s="822"/>
      <c r="AV21" s="818" t="str">
        <f t="shared" si="4"/>
        <v/>
      </c>
      <c r="AW21" s="819"/>
      <c r="AX21" s="819"/>
      <c r="AY21" s="822"/>
      <c r="AZ21" s="801"/>
      <c r="BA21" s="801"/>
      <c r="BB21" s="818" t="str">
        <f t="shared" si="5"/>
        <v/>
      </c>
      <c r="BC21" s="830"/>
      <c r="BD21" s="830"/>
      <c r="BE21" s="843">
        <v>141</v>
      </c>
      <c r="BF21" s="841"/>
      <c r="BG21" s="841"/>
      <c r="BH21" s="841"/>
      <c r="BI21" s="841"/>
      <c r="BJ21" s="841"/>
      <c r="BK21" s="824"/>
      <c r="BL21" s="845"/>
      <c r="BM21" s="837">
        <v>91</v>
      </c>
      <c r="BN21" s="853">
        <f t="shared" si="6"/>
        <v>0.52708333333333302</v>
      </c>
      <c r="BO21" s="854">
        <f t="shared" si="7"/>
        <v>12.649999999999991</v>
      </c>
      <c r="BP21" s="855"/>
      <c r="BQ21" s="837">
        <f t="shared" si="8"/>
        <v>91</v>
      </c>
      <c r="BR21" s="853">
        <f t="shared" ca="1" si="9"/>
        <v>0</v>
      </c>
      <c r="BS21" s="854">
        <f t="shared" ca="1" si="10"/>
        <v>0</v>
      </c>
      <c r="BT21" s="855"/>
      <c r="BU21" s="837">
        <f t="shared" si="11"/>
        <v>91</v>
      </c>
      <c r="BV21" s="855">
        <f t="shared" ca="1" si="12"/>
        <v>12.649999999999991</v>
      </c>
      <c r="BW21" s="801"/>
      <c r="BX21" s="801"/>
      <c r="BY21" s="801"/>
    </row>
    <row r="22" spans="1:77" ht="15.75" customHeight="1">
      <c r="A22" s="961" t="s">
        <v>209</v>
      </c>
      <c r="B22" s="806" t="s">
        <v>170</v>
      </c>
      <c r="C22" s="807" t="s">
        <v>170</v>
      </c>
      <c r="D22" s="807" t="s">
        <v>170</v>
      </c>
      <c r="E22" s="807" t="s">
        <v>171</v>
      </c>
      <c r="F22" s="807" t="s">
        <v>189</v>
      </c>
      <c r="G22" s="807"/>
      <c r="H22" s="807"/>
      <c r="I22" s="824"/>
      <c r="J22" s="964" t="s">
        <v>209</v>
      </c>
      <c r="K22" s="823">
        <v>0.32638888888888901</v>
      </c>
      <c r="L22" s="818" t="s">
        <v>145</v>
      </c>
      <c r="M22" s="823">
        <v>0.38680555555555601</v>
      </c>
      <c r="N22" s="823">
        <f t="shared" si="13"/>
        <v>6.0416666666667007E-2</v>
      </c>
      <c r="O22" s="819">
        <v>3</v>
      </c>
      <c r="P22" s="819"/>
      <c r="Q22" s="818"/>
      <c r="R22" s="823">
        <v>0.32638888888888901</v>
      </c>
      <c r="S22" s="818" t="s">
        <v>145</v>
      </c>
      <c r="T22" s="823">
        <v>0.38680555555555601</v>
      </c>
      <c r="U22" s="823">
        <f t="shared" si="0"/>
        <v>6.0416666666667007E-2</v>
      </c>
      <c r="V22" s="819">
        <v>134</v>
      </c>
      <c r="W22" s="819"/>
      <c r="X22" s="818"/>
      <c r="Y22" s="823">
        <v>0.32638888888888901</v>
      </c>
      <c r="Z22" s="818"/>
      <c r="AA22" s="823">
        <v>0.38680555555555601</v>
      </c>
      <c r="AB22" s="823">
        <f t="shared" si="1"/>
        <v>6.0416666666667007E-2</v>
      </c>
      <c r="AC22" s="819">
        <v>218</v>
      </c>
      <c r="AD22" s="819"/>
      <c r="AE22" s="818"/>
      <c r="AF22" s="823">
        <v>0.32638888888888901</v>
      </c>
      <c r="AG22" s="818"/>
      <c r="AH22" s="823">
        <v>0.41875000000000001</v>
      </c>
      <c r="AI22" s="823">
        <f t="shared" si="2"/>
        <v>9.2361111111111005E-2</v>
      </c>
      <c r="AJ22" s="819">
        <v>211</v>
      </c>
      <c r="AK22" s="913" t="s">
        <v>210</v>
      </c>
      <c r="AL22" s="823">
        <v>0.32638888888888901</v>
      </c>
      <c r="AM22" s="818"/>
      <c r="AN22" s="823">
        <v>0.45138888888888901</v>
      </c>
      <c r="AO22" s="823">
        <f t="shared" si="3"/>
        <v>0.125</v>
      </c>
      <c r="AP22" s="819">
        <v>84</v>
      </c>
      <c r="AQ22" s="819">
        <v>113</v>
      </c>
      <c r="AR22" s="818"/>
      <c r="AS22" s="818"/>
      <c r="AT22" s="818"/>
      <c r="AU22" s="818"/>
      <c r="AV22" s="818" t="str">
        <f t="shared" si="4"/>
        <v/>
      </c>
      <c r="AW22" s="819"/>
      <c r="AX22" s="819"/>
      <c r="AY22" s="818"/>
      <c r="AZ22" s="801"/>
      <c r="BA22" s="801"/>
      <c r="BB22" s="818" t="str">
        <f t="shared" si="5"/>
        <v/>
      </c>
      <c r="BC22" s="830"/>
      <c r="BD22" s="830"/>
      <c r="BE22" s="836"/>
      <c r="BF22" s="801"/>
      <c r="BG22" s="801"/>
      <c r="BH22" s="801"/>
      <c r="BI22" s="801"/>
      <c r="BJ22" s="801"/>
      <c r="BK22" s="838"/>
      <c r="BL22" s="801"/>
      <c r="BM22" s="837">
        <v>92</v>
      </c>
      <c r="BN22" s="853">
        <f t="shared" si="6"/>
        <v>0</v>
      </c>
      <c r="BO22" s="854">
        <f t="shared" si="7"/>
        <v>0</v>
      </c>
      <c r="BP22" s="855"/>
      <c r="BQ22" s="837">
        <f t="shared" si="8"/>
        <v>92</v>
      </c>
      <c r="BR22" s="853">
        <f t="shared" ca="1" si="9"/>
        <v>0</v>
      </c>
      <c r="BS22" s="854">
        <f t="shared" ca="1" si="10"/>
        <v>0</v>
      </c>
      <c r="BT22" s="855"/>
      <c r="BU22" s="837">
        <f t="shared" si="11"/>
        <v>92</v>
      </c>
      <c r="BV22" s="855">
        <f t="shared" ca="1" si="12"/>
        <v>0</v>
      </c>
      <c r="BW22" s="801"/>
      <c r="BX22" s="801"/>
      <c r="BY22" s="801"/>
    </row>
    <row r="23" spans="1:77" ht="15.75" customHeight="1">
      <c r="A23" s="962"/>
      <c r="B23" s="806" t="s">
        <v>211</v>
      </c>
      <c r="C23" s="807"/>
      <c r="D23" s="807" t="s">
        <v>212</v>
      </c>
      <c r="E23" s="807"/>
      <c r="F23" s="807"/>
      <c r="G23" s="807"/>
      <c r="H23" s="807"/>
      <c r="I23" s="824"/>
      <c r="J23" s="962"/>
      <c r="K23" s="823">
        <v>0.39236111111111099</v>
      </c>
      <c r="L23" s="818"/>
      <c r="M23" s="823">
        <v>0.43472222222222201</v>
      </c>
      <c r="N23" s="823">
        <f t="shared" si="13"/>
        <v>4.2361111111111016E-2</v>
      </c>
      <c r="O23" s="819">
        <v>3</v>
      </c>
      <c r="P23" s="819"/>
      <c r="Q23" s="818"/>
      <c r="R23" s="818"/>
      <c r="S23" s="818"/>
      <c r="T23" s="818"/>
      <c r="U23" s="818" t="str">
        <f t="shared" si="0"/>
        <v/>
      </c>
      <c r="V23" s="819"/>
      <c r="W23" s="819"/>
      <c r="X23" s="818"/>
      <c r="Y23" s="823">
        <v>0.39930555555555602</v>
      </c>
      <c r="Z23" s="818"/>
      <c r="AA23" s="823">
        <v>0.42638888888888898</v>
      </c>
      <c r="AB23" s="823">
        <f t="shared" si="1"/>
        <v>2.708333333333296E-2</v>
      </c>
      <c r="AC23" s="819">
        <v>218</v>
      </c>
      <c r="AD23" s="819"/>
      <c r="AE23" s="818"/>
      <c r="AF23" s="818"/>
      <c r="AG23" s="818"/>
      <c r="AH23" s="818"/>
      <c r="AI23" s="818" t="str">
        <f t="shared" si="2"/>
        <v/>
      </c>
      <c r="AJ23" s="819"/>
      <c r="AK23" s="825"/>
      <c r="AL23" s="818"/>
      <c r="AM23" s="818"/>
      <c r="AN23" s="818"/>
      <c r="AO23" s="818" t="str">
        <f t="shared" si="3"/>
        <v/>
      </c>
      <c r="AP23" s="819"/>
      <c r="AQ23" s="819"/>
      <c r="AR23" s="818"/>
      <c r="AS23" s="818"/>
      <c r="AT23" s="818"/>
      <c r="AU23" s="818"/>
      <c r="AV23" s="818" t="str">
        <f t="shared" si="4"/>
        <v/>
      </c>
      <c r="AW23" s="819"/>
      <c r="AX23" s="819"/>
      <c r="AY23" s="818"/>
      <c r="AZ23" s="801"/>
      <c r="BA23" s="801"/>
      <c r="BB23" s="818" t="str">
        <f t="shared" si="5"/>
        <v/>
      </c>
      <c r="BC23" s="830"/>
      <c r="BD23" s="830"/>
      <c r="BE23" s="836"/>
      <c r="BF23" s="801"/>
      <c r="BG23" s="801"/>
      <c r="BH23" s="801"/>
      <c r="BI23" s="801"/>
      <c r="BJ23" s="801"/>
      <c r="BK23" s="838"/>
      <c r="BL23" s="801"/>
      <c r="BM23" s="837">
        <v>102</v>
      </c>
      <c r="BN23" s="853">
        <f t="shared" si="6"/>
        <v>0</v>
      </c>
      <c r="BO23" s="854">
        <f t="shared" si="7"/>
        <v>0</v>
      </c>
      <c r="BP23" s="855"/>
      <c r="BQ23" s="837">
        <f t="shared" si="8"/>
        <v>102</v>
      </c>
      <c r="BR23" s="853">
        <f t="shared" ca="1" si="9"/>
        <v>0</v>
      </c>
      <c r="BS23" s="854">
        <f t="shared" ca="1" si="10"/>
        <v>0</v>
      </c>
      <c r="BT23" s="855"/>
      <c r="BU23" s="837">
        <f t="shared" si="11"/>
        <v>102</v>
      </c>
      <c r="BV23" s="855">
        <f t="shared" ca="1" si="12"/>
        <v>0</v>
      </c>
      <c r="BW23" s="801"/>
      <c r="BX23" s="801"/>
      <c r="BY23" s="801"/>
    </row>
    <row r="24" spans="1:77" ht="15" customHeight="1">
      <c r="A24" s="962"/>
      <c r="B24" s="806"/>
      <c r="C24" s="807"/>
      <c r="D24" s="807" t="s">
        <v>213</v>
      </c>
      <c r="E24" s="807"/>
      <c r="F24" s="807"/>
      <c r="G24" s="807"/>
      <c r="H24" s="807"/>
      <c r="I24" s="824"/>
      <c r="J24" s="962"/>
      <c r="K24" s="818"/>
      <c r="L24" s="818"/>
      <c r="M24" s="818"/>
      <c r="N24" s="818" t="str">
        <f t="shared" si="13"/>
        <v/>
      </c>
      <c r="O24" s="819"/>
      <c r="P24" s="819"/>
      <c r="Q24" s="818"/>
      <c r="R24" s="818"/>
      <c r="S24" s="818"/>
      <c r="T24" s="818"/>
      <c r="U24" s="818" t="str">
        <f t="shared" si="0"/>
        <v/>
      </c>
      <c r="V24" s="819"/>
      <c r="W24" s="819"/>
      <c r="X24" s="818"/>
      <c r="Y24" s="823">
        <v>0.42638888888888898</v>
      </c>
      <c r="Z24" s="818"/>
      <c r="AA24" s="823">
        <v>0.45555555555555599</v>
      </c>
      <c r="AB24" s="823">
        <f t="shared" si="1"/>
        <v>2.9166666666667007E-2</v>
      </c>
      <c r="AC24" s="819">
        <v>218</v>
      </c>
      <c r="AD24" s="819"/>
      <c r="AE24" s="818"/>
      <c r="AF24" s="818"/>
      <c r="AG24" s="818"/>
      <c r="AH24" s="818"/>
      <c r="AI24" s="818" t="str">
        <f t="shared" si="2"/>
        <v/>
      </c>
      <c r="AJ24" s="819"/>
      <c r="AK24" s="825"/>
      <c r="AL24" s="818"/>
      <c r="AM24" s="818"/>
      <c r="AN24" s="818"/>
      <c r="AO24" s="818" t="str">
        <f t="shared" si="3"/>
        <v/>
      </c>
      <c r="AP24" s="819"/>
      <c r="AQ24" s="819"/>
      <c r="AR24" s="818"/>
      <c r="AS24" s="818"/>
      <c r="AT24" s="818"/>
      <c r="AU24" s="818"/>
      <c r="AV24" s="818" t="str">
        <f t="shared" si="4"/>
        <v/>
      </c>
      <c r="AW24" s="819"/>
      <c r="AX24" s="819"/>
      <c r="AY24" s="818"/>
      <c r="AZ24" s="801"/>
      <c r="BA24" s="801"/>
      <c r="BB24" s="818" t="str">
        <f t="shared" si="5"/>
        <v/>
      </c>
      <c r="BC24" s="830"/>
      <c r="BD24" s="830"/>
      <c r="BE24" s="842">
        <v>141</v>
      </c>
      <c r="BF24" s="837">
        <v>22</v>
      </c>
      <c r="BG24" s="801"/>
      <c r="BH24" s="801"/>
      <c r="BI24" s="801"/>
      <c r="BJ24" s="801"/>
      <c r="BK24" s="838"/>
      <c r="BL24" s="801"/>
      <c r="BM24" s="837">
        <v>103</v>
      </c>
      <c r="BN24" s="853">
        <f t="shared" si="6"/>
        <v>0</v>
      </c>
      <c r="BO24" s="854">
        <f t="shared" si="7"/>
        <v>0</v>
      </c>
      <c r="BP24" s="855"/>
      <c r="BQ24" s="837">
        <f t="shared" si="8"/>
        <v>103</v>
      </c>
      <c r="BR24" s="853">
        <f t="shared" ca="1" si="9"/>
        <v>0.24722222222222201</v>
      </c>
      <c r="BS24" s="854">
        <f t="shared" ca="1" si="10"/>
        <v>5.9333333333333282</v>
      </c>
      <c r="BT24" s="855"/>
      <c r="BU24" s="837">
        <f t="shared" si="11"/>
        <v>103</v>
      </c>
      <c r="BV24" s="855">
        <f t="shared" ca="1" si="12"/>
        <v>5.9333333333333282</v>
      </c>
      <c r="BW24" s="801"/>
      <c r="BX24" s="801"/>
      <c r="BY24" s="801"/>
    </row>
    <row r="25" spans="1:77" ht="15.75" customHeight="1">
      <c r="A25" s="962"/>
      <c r="B25" s="806"/>
      <c r="C25" s="807"/>
      <c r="D25" s="807"/>
      <c r="E25" s="807"/>
      <c r="F25" s="807"/>
      <c r="G25" s="807"/>
      <c r="H25" s="807"/>
      <c r="I25" s="824"/>
      <c r="J25" s="962"/>
      <c r="K25" s="818"/>
      <c r="L25" s="818"/>
      <c r="M25" s="818"/>
      <c r="N25" s="818" t="str">
        <f t="shared" si="13"/>
        <v/>
      </c>
      <c r="O25" s="819"/>
      <c r="P25" s="819"/>
      <c r="Q25" s="818"/>
      <c r="R25" s="818"/>
      <c r="S25" s="818"/>
      <c r="T25" s="818"/>
      <c r="U25" s="818" t="str">
        <f t="shared" si="0"/>
        <v/>
      </c>
      <c r="V25" s="819"/>
      <c r="W25" s="819"/>
      <c r="X25" s="818"/>
      <c r="Y25" s="818"/>
      <c r="Z25" s="818"/>
      <c r="AA25" s="818"/>
      <c r="AB25" s="818" t="str">
        <f t="shared" si="1"/>
        <v/>
      </c>
      <c r="AC25" s="819"/>
      <c r="AD25" s="819"/>
      <c r="AE25" s="818"/>
      <c r="AF25" s="818"/>
      <c r="AG25" s="818"/>
      <c r="AH25" s="818"/>
      <c r="AI25" s="818" t="str">
        <f t="shared" si="2"/>
        <v/>
      </c>
      <c r="AJ25" s="819"/>
      <c r="AK25" s="825"/>
      <c r="AL25" s="818"/>
      <c r="AM25" s="818"/>
      <c r="AN25" s="818"/>
      <c r="AO25" s="818" t="str">
        <f t="shared" si="3"/>
        <v/>
      </c>
      <c r="AP25" s="819"/>
      <c r="AQ25" s="819"/>
      <c r="AR25" s="818"/>
      <c r="AS25" s="818"/>
      <c r="AT25" s="818"/>
      <c r="AU25" s="818"/>
      <c r="AV25" s="818" t="str">
        <f t="shared" si="4"/>
        <v/>
      </c>
      <c r="AW25" s="819"/>
      <c r="AX25" s="819"/>
      <c r="AY25" s="818"/>
      <c r="AZ25" s="801"/>
      <c r="BA25" s="801"/>
      <c r="BB25" s="818" t="str">
        <f t="shared" si="5"/>
        <v/>
      </c>
      <c r="BC25" s="830"/>
      <c r="BD25" s="830"/>
      <c r="BE25" s="842">
        <v>141</v>
      </c>
      <c r="BF25" s="837">
        <v>22</v>
      </c>
      <c r="BG25" s="801"/>
      <c r="BH25" s="801"/>
      <c r="BI25" s="801"/>
      <c r="BJ25" s="801"/>
      <c r="BK25" s="838"/>
      <c r="BL25" s="801"/>
      <c r="BM25" s="837">
        <v>112</v>
      </c>
      <c r="BN25" s="853">
        <f t="shared" si="6"/>
        <v>0.125</v>
      </c>
      <c r="BO25" s="854">
        <f t="shared" si="7"/>
        <v>3</v>
      </c>
      <c r="BP25" s="855"/>
      <c r="BQ25" s="837">
        <f t="shared" si="8"/>
        <v>112</v>
      </c>
      <c r="BR25" s="853">
        <f t="shared" ca="1" si="9"/>
        <v>0</v>
      </c>
      <c r="BS25" s="854">
        <f t="shared" ca="1" si="10"/>
        <v>0</v>
      </c>
      <c r="BT25" s="855"/>
      <c r="BU25" s="837">
        <f t="shared" si="11"/>
        <v>112</v>
      </c>
      <c r="BV25" s="855">
        <f t="shared" ca="1" si="12"/>
        <v>3</v>
      </c>
      <c r="BW25" s="801"/>
      <c r="BX25" s="801"/>
      <c r="BY25" s="801"/>
    </row>
    <row r="26" spans="1:77" ht="15.75" customHeight="1">
      <c r="A26" s="965" t="s">
        <v>214</v>
      </c>
      <c r="B26" s="804" t="s">
        <v>215</v>
      </c>
      <c r="C26" s="805" t="s">
        <v>216</v>
      </c>
      <c r="D26" s="805" t="s">
        <v>217</v>
      </c>
      <c r="E26" s="805"/>
      <c r="F26" s="805" t="s">
        <v>218</v>
      </c>
      <c r="G26" s="805"/>
      <c r="H26" s="805"/>
      <c r="I26" s="820"/>
      <c r="J26" s="965" t="s">
        <v>214</v>
      </c>
      <c r="K26" s="822"/>
      <c r="L26" s="822"/>
      <c r="M26" s="822"/>
      <c r="N26" s="818" t="str">
        <f t="shared" si="13"/>
        <v/>
      </c>
      <c r="O26" s="819"/>
      <c r="P26" s="819"/>
      <c r="Q26" s="822"/>
      <c r="R26" s="821">
        <v>0.32638888888888901</v>
      </c>
      <c r="S26" s="822"/>
      <c r="T26" s="821">
        <v>0.374305555555556</v>
      </c>
      <c r="U26" s="823">
        <f t="shared" si="0"/>
        <v>4.7916666666666996E-2</v>
      </c>
      <c r="V26" s="819">
        <v>211</v>
      </c>
      <c r="W26" s="819"/>
      <c r="X26" s="822"/>
      <c r="Y26" s="821">
        <v>0.33333333333333298</v>
      </c>
      <c r="Z26" s="822"/>
      <c r="AA26" s="821">
        <v>0.42708333333333298</v>
      </c>
      <c r="AB26" s="823">
        <f t="shared" si="1"/>
        <v>9.375E-2</v>
      </c>
      <c r="AC26" s="819">
        <v>5</v>
      </c>
      <c r="AD26" s="819"/>
      <c r="AE26" s="822"/>
      <c r="AF26" s="822"/>
      <c r="AG26" s="822"/>
      <c r="AH26" s="822"/>
      <c r="AI26" s="818" t="str">
        <f t="shared" si="2"/>
        <v/>
      </c>
      <c r="AJ26" s="819"/>
      <c r="AK26" s="825"/>
      <c r="AL26" s="821">
        <v>0.32638888888888901</v>
      </c>
      <c r="AM26" s="822" t="s">
        <v>145</v>
      </c>
      <c r="AN26" s="821">
        <v>0.44027777777777799</v>
      </c>
      <c r="AO26" s="823">
        <f t="shared" si="3"/>
        <v>0.11388888888888898</v>
      </c>
      <c r="AP26" s="819">
        <v>214</v>
      </c>
      <c r="AQ26" s="819">
        <v>120</v>
      </c>
      <c r="AR26" s="822"/>
      <c r="AS26" s="822"/>
      <c r="AT26" s="822"/>
      <c r="AU26" s="822"/>
      <c r="AV26" s="818" t="str">
        <f t="shared" si="4"/>
        <v/>
      </c>
      <c r="AW26" s="819"/>
      <c r="AX26" s="819"/>
      <c r="AY26" s="822"/>
      <c r="AZ26" s="801"/>
      <c r="BA26" s="801"/>
      <c r="BB26" s="818" t="str">
        <f t="shared" si="5"/>
        <v/>
      </c>
      <c r="BC26" s="830"/>
      <c r="BD26" s="830"/>
      <c r="BE26" s="832"/>
      <c r="BF26" s="834"/>
      <c r="BG26" s="834"/>
      <c r="BH26" s="834"/>
      <c r="BI26" s="834"/>
      <c r="BJ26" s="834"/>
      <c r="BK26" s="835"/>
      <c r="BL26" s="801"/>
      <c r="BM26" s="837">
        <v>113</v>
      </c>
      <c r="BN26" s="853">
        <f t="shared" si="6"/>
        <v>0.108333333333333</v>
      </c>
      <c r="BO26" s="854">
        <f t="shared" si="7"/>
        <v>2.5999999999999921</v>
      </c>
      <c r="BP26" s="855"/>
      <c r="BQ26" s="837">
        <f t="shared" si="8"/>
        <v>113</v>
      </c>
      <c r="BR26" s="853">
        <f t="shared" ca="1" si="9"/>
        <v>0.21736111111111101</v>
      </c>
      <c r="BS26" s="854">
        <f t="shared" ca="1" si="10"/>
        <v>5.2166666666666641</v>
      </c>
      <c r="BT26" s="855"/>
      <c r="BU26" s="837">
        <f t="shared" si="11"/>
        <v>113</v>
      </c>
      <c r="BV26" s="855">
        <f t="shared" ca="1" si="12"/>
        <v>7.8166666666666558</v>
      </c>
      <c r="BW26" s="801"/>
      <c r="BX26" s="801"/>
      <c r="BY26" s="801"/>
    </row>
    <row r="27" spans="1:77" ht="15.75" customHeight="1">
      <c r="A27" s="962"/>
      <c r="B27" s="804"/>
      <c r="C27" s="805" t="s">
        <v>219</v>
      </c>
      <c r="D27" s="805" t="s">
        <v>220</v>
      </c>
      <c r="E27" s="805"/>
      <c r="F27" s="805"/>
      <c r="G27" s="805"/>
      <c r="H27" s="805"/>
      <c r="I27" s="820"/>
      <c r="J27" s="962"/>
      <c r="K27" s="822"/>
      <c r="L27" s="822"/>
      <c r="M27" s="822"/>
      <c r="N27" s="818" t="str">
        <f t="shared" si="13"/>
        <v/>
      </c>
      <c r="O27" s="819"/>
      <c r="P27" s="819"/>
      <c r="Q27" s="822"/>
      <c r="R27" s="821">
        <v>0.38541666666666702</v>
      </c>
      <c r="S27" s="822"/>
      <c r="T27" s="821">
        <v>0.43333333333333302</v>
      </c>
      <c r="U27" s="823">
        <f t="shared" si="0"/>
        <v>4.7916666666665997E-2</v>
      </c>
      <c r="V27" s="819">
        <v>203</v>
      </c>
      <c r="W27" s="819"/>
      <c r="X27" s="822"/>
      <c r="Y27" s="821">
        <v>0.43055555555555602</v>
      </c>
      <c r="Z27" s="822"/>
      <c r="AA27" s="821">
        <v>0.46597222222222201</v>
      </c>
      <c r="AB27" s="823">
        <f t="shared" si="1"/>
        <v>3.5416666666665986E-2</v>
      </c>
      <c r="AC27" s="819">
        <v>114</v>
      </c>
      <c r="AD27" s="819"/>
      <c r="AE27" s="822"/>
      <c r="AF27" s="822"/>
      <c r="AG27" s="822"/>
      <c r="AH27" s="822"/>
      <c r="AI27" s="818" t="str">
        <f t="shared" si="2"/>
        <v/>
      </c>
      <c r="AJ27" s="819"/>
      <c r="AK27" s="825"/>
      <c r="AL27" s="822"/>
      <c r="AM27" s="822"/>
      <c r="AN27" s="822"/>
      <c r="AO27" s="818" t="str">
        <f t="shared" si="3"/>
        <v/>
      </c>
      <c r="AP27" s="819"/>
      <c r="AQ27" s="819"/>
      <c r="AR27" s="822"/>
      <c r="AS27" s="822"/>
      <c r="AT27" s="822"/>
      <c r="AU27" s="822"/>
      <c r="AV27" s="818" t="str">
        <f t="shared" si="4"/>
        <v/>
      </c>
      <c r="AW27" s="819"/>
      <c r="AX27" s="819"/>
      <c r="AY27" s="822"/>
      <c r="AZ27" s="801"/>
      <c r="BA27" s="801"/>
      <c r="BB27" s="818" t="str">
        <f t="shared" si="5"/>
        <v/>
      </c>
      <c r="BC27" s="830"/>
      <c r="BD27" s="830"/>
      <c r="BE27" s="836"/>
      <c r="BF27" s="801"/>
      <c r="BG27" s="801"/>
      <c r="BH27" s="801"/>
      <c r="BI27" s="801"/>
      <c r="BJ27" s="801"/>
      <c r="BK27" s="838"/>
      <c r="BL27" s="801"/>
      <c r="BM27" s="837">
        <v>114</v>
      </c>
      <c r="BN27" s="853">
        <f t="shared" si="6"/>
        <v>0.48958333333333198</v>
      </c>
      <c r="BO27" s="854">
        <f t="shared" si="7"/>
        <v>11.749999999999968</v>
      </c>
      <c r="BP27" s="801"/>
      <c r="BQ27" s="837">
        <f t="shared" si="8"/>
        <v>114</v>
      </c>
      <c r="BR27" s="853">
        <f t="shared" ca="1" si="9"/>
        <v>0</v>
      </c>
      <c r="BS27" s="854">
        <f t="shared" ca="1" si="10"/>
        <v>0</v>
      </c>
      <c r="BT27" s="801"/>
      <c r="BU27" s="837">
        <f t="shared" si="11"/>
        <v>114</v>
      </c>
      <c r="BV27" s="855">
        <f t="shared" ca="1" si="12"/>
        <v>11.749999999999968</v>
      </c>
      <c r="BW27" s="801"/>
      <c r="BX27" s="801"/>
      <c r="BY27" s="801"/>
    </row>
    <row r="28" spans="1:77" ht="15.75" customHeight="1">
      <c r="A28" s="962"/>
      <c r="B28" s="804"/>
      <c r="C28" s="805"/>
      <c r="D28" s="805" t="s">
        <v>221</v>
      </c>
      <c r="E28" s="805"/>
      <c r="F28" s="805"/>
      <c r="G28" s="805"/>
      <c r="H28" s="805"/>
      <c r="I28" s="820"/>
      <c r="J28" s="962"/>
      <c r="K28" s="822"/>
      <c r="L28" s="822"/>
      <c r="M28" s="822"/>
      <c r="N28" s="818" t="str">
        <f t="shared" si="13"/>
        <v/>
      </c>
      <c r="O28" s="819"/>
      <c r="P28" s="819"/>
      <c r="Q28" s="822"/>
      <c r="R28" s="822"/>
      <c r="S28" s="822"/>
      <c r="T28" s="822"/>
      <c r="U28" s="818" t="str">
        <f t="shared" si="0"/>
        <v/>
      </c>
      <c r="V28" s="819"/>
      <c r="W28" s="819"/>
      <c r="X28" s="822"/>
      <c r="Y28" s="821">
        <v>0.46875</v>
      </c>
      <c r="Z28" s="822"/>
      <c r="AA28" s="821">
        <v>0.48958333333333298</v>
      </c>
      <c r="AB28" s="823">
        <f t="shared" si="1"/>
        <v>2.0833333333332982E-2</v>
      </c>
      <c r="AC28" s="819">
        <v>114</v>
      </c>
      <c r="AD28" s="819"/>
      <c r="AE28" s="822"/>
      <c r="AF28" s="822"/>
      <c r="AG28" s="822"/>
      <c r="AH28" s="822"/>
      <c r="AI28" s="818" t="str">
        <f t="shared" si="2"/>
        <v/>
      </c>
      <c r="AJ28" s="819"/>
      <c r="AK28" s="825"/>
      <c r="AL28" s="822"/>
      <c r="AM28" s="822"/>
      <c r="AN28" s="822"/>
      <c r="AO28" s="818" t="str">
        <f t="shared" si="3"/>
        <v/>
      </c>
      <c r="AP28" s="819"/>
      <c r="AQ28" s="819"/>
      <c r="AR28" s="822"/>
      <c r="AS28" s="822"/>
      <c r="AT28" s="822"/>
      <c r="AU28" s="822"/>
      <c r="AV28" s="818" t="str">
        <f t="shared" si="4"/>
        <v/>
      </c>
      <c r="AW28" s="819"/>
      <c r="AX28" s="819"/>
      <c r="AY28" s="822"/>
      <c r="AZ28" s="801"/>
      <c r="BA28" s="801"/>
      <c r="BB28" s="818" t="str">
        <f t="shared" si="5"/>
        <v/>
      </c>
      <c r="BC28" s="830"/>
      <c r="BD28" s="830"/>
      <c r="BE28" s="836"/>
      <c r="BF28" s="801"/>
      <c r="BG28" s="801"/>
      <c r="BH28" s="801"/>
      <c r="BI28" s="801"/>
      <c r="BJ28" s="801"/>
      <c r="BK28" s="838"/>
      <c r="BL28" s="801"/>
      <c r="BM28" s="837">
        <v>117</v>
      </c>
      <c r="BN28" s="853">
        <f t="shared" si="6"/>
        <v>0</v>
      </c>
      <c r="BO28" s="854">
        <f t="shared" si="7"/>
        <v>0</v>
      </c>
      <c r="BP28" s="801"/>
      <c r="BQ28" s="837">
        <f t="shared" si="8"/>
        <v>117</v>
      </c>
      <c r="BR28" s="853">
        <f t="shared" ca="1" si="9"/>
        <v>0</v>
      </c>
      <c r="BS28" s="854">
        <f t="shared" ca="1" si="10"/>
        <v>0</v>
      </c>
      <c r="BT28" s="801"/>
      <c r="BU28" s="837">
        <f t="shared" si="11"/>
        <v>117</v>
      </c>
      <c r="BV28" s="855">
        <f t="shared" ca="1" si="12"/>
        <v>0</v>
      </c>
      <c r="BW28" s="801"/>
      <c r="BX28" s="801"/>
      <c r="BY28" s="801"/>
    </row>
    <row r="29" spans="1:77" ht="15.75" customHeight="1">
      <c r="A29" s="962"/>
      <c r="B29" s="804"/>
      <c r="C29" s="805"/>
      <c r="D29" s="805" t="s">
        <v>222</v>
      </c>
      <c r="E29" s="805"/>
      <c r="F29" s="805"/>
      <c r="G29" s="805"/>
      <c r="H29" s="805"/>
      <c r="I29" s="820"/>
      <c r="J29" s="962"/>
      <c r="K29" s="822"/>
      <c r="L29" s="822"/>
      <c r="M29" s="822"/>
      <c r="N29" s="818" t="str">
        <f t="shared" si="13"/>
        <v/>
      </c>
      <c r="O29" s="819"/>
      <c r="P29" s="819"/>
      <c r="Q29" s="822"/>
      <c r="R29" s="822"/>
      <c r="S29" s="822"/>
      <c r="T29" s="822"/>
      <c r="U29" s="818" t="str">
        <f t="shared" si="0"/>
        <v/>
      </c>
      <c r="V29" s="819"/>
      <c r="W29" s="819"/>
      <c r="X29" s="822"/>
      <c r="Y29" s="821">
        <v>0.48958333333333298</v>
      </c>
      <c r="Z29" s="822"/>
      <c r="AA29" s="821">
        <v>0.50694444444444398</v>
      </c>
      <c r="AB29" s="823">
        <f t="shared" si="1"/>
        <v>1.7361111111110994E-2</v>
      </c>
      <c r="AC29" s="819">
        <v>114</v>
      </c>
      <c r="AD29" s="819"/>
      <c r="AE29" s="822"/>
      <c r="AF29" s="822"/>
      <c r="AG29" s="822"/>
      <c r="AH29" s="822"/>
      <c r="AI29" s="818" t="str">
        <f t="shared" si="2"/>
        <v/>
      </c>
      <c r="AJ29" s="819"/>
      <c r="AK29" s="825"/>
      <c r="AL29" s="822"/>
      <c r="AM29" s="822"/>
      <c r="AN29" s="822"/>
      <c r="AO29" s="818" t="str">
        <f t="shared" si="3"/>
        <v/>
      </c>
      <c r="AP29" s="819"/>
      <c r="AQ29" s="819"/>
      <c r="AR29" s="822"/>
      <c r="AS29" s="822"/>
      <c r="AT29" s="822"/>
      <c r="AU29" s="822"/>
      <c r="AV29" s="818" t="str">
        <f t="shared" si="4"/>
        <v/>
      </c>
      <c r="AW29" s="819"/>
      <c r="AX29" s="819"/>
      <c r="AY29" s="822"/>
      <c r="AZ29" s="801"/>
      <c r="BA29" s="801"/>
      <c r="BB29" s="818" t="str">
        <f t="shared" si="5"/>
        <v/>
      </c>
      <c r="BC29" s="830"/>
      <c r="BD29" s="830"/>
      <c r="BE29" s="839"/>
      <c r="BF29" s="841"/>
      <c r="BG29" s="841"/>
      <c r="BH29" s="841"/>
      <c r="BI29" s="841"/>
      <c r="BJ29" s="841"/>
      <c r="BK29" s="824"/>
      <c r="BL29" s="801"/>
      <c r="BM29" s="837">
        <v>120</v>
      </c>
      <c r="BN29" s="853">
        <f t="shared" si="6"/>
        <v>0</v>
      </c>
      <c r="BO29" s="854">
        <f t="shared" si="7"/>
        <v>0</v>
      </c>
      <c r="BP29" s="801"/>
      <c r="BQ29" s="837">
        <f t="shared" si="8"/>
        <v>120</v>
      </c>
      <c r="BR29" s="853">
        <f t="shared" ca="1" si="9"/>
        <v>0.11388888888888898</v>
      </c>
      <c r="BS29" s="854">
        <f t="shared" ca="1" si="10"/>
        <v>2.7333333333333356</v>
      </c>
      <c r="BT29" s="801"/>
      <c r="BU29" s="837">
        <f t="shared" si="11"/>
        <v>120</v>
      </c>
      <c r="BV29" s="855">
        <f t="shared" ca="1" si="12"/>
        <v>2.7333333333333356</v>
      </c>
      <c r="BW29" s="801"/>
      <c r="BX29" s="801"/>
      <c r="BY29" s="801"/>
    </row>
    <row r="30" spans="1:77" ht="15.75" customHeight="1">
      <c r="A30" s="964" t="s">
        <v>223</v>
      </c>
      <c r="B30" s="806" t="s">
        <v>224</v>
      </c>
      <c r="C30" s="811" t="s">
        <v>215</v>
      </c>
      <c r="D30" s="812" t="s">
        <v>225</v>
      </c>
      <c r="E30" s="807" t="s">
        <v>171</v>
      </c>
      <c r="F30" s="807" t="s">
        <v>226</v>
      </c>
      <c r="G30" s="807"/>
      <c r="H30" s="807"/>
      <c r="I30" s="824"/>
      <c r="J30" s="964" t="s">
        <v>223</v>
      </c>
      <c r="K30" s="823">
        <v>0.32638888888888901</v>
      </c>
      <c r="L30" s="818"/>
      <c r="M30" s="823">
        <v>0.36111111111111099</v>
      </c>
      <c r="N30" s="823">
        <f t="shared" si="13"/>
        <v>3.4722222222221988E-2</v>
      </c>
      <c r="O30" s="819">
        <v>134</v>
      </c>
      <c r="P30" s="819"/>
      <c r="Q30" s="818"/>
      <c r="R30" s="818"/>
      <c r="S30" s="818"/>
      <c r="T30" s="818"/>
      <c r="U30" s="818" t="str">
        <f t="shared" si="0"/>
        <v/>
      </c>
      <c r="V30" s="819"/>
      <c r="W30" s="819"/>
      <c r="X30" s="818"/>
      <c r="Y30" s="823">
        <v>0.33333333333333298</v>
      </c>
      <c r="Z30" s="818"/>
      <c r="AA30" s="823">
        <v>0.39791666666666697</v>
      </c>
      <c r="AB30" s="823">
        <f t="shared" si="1"/>
        <v>6.4583333333333992E-2</v>
      </c>
      <c r="AC30" s="819">
        <v>25</v>
      </c>
      <c r="AD30" s="819"/>
      <c r="AE30" s="818"/>
      <c r="AF30" s="823">
        <v>0.32638888888888901</v>
      </c>
      <c r="AG30" s="818"/>
      <c r="AH30" s="823">
        <v>0.41875000000000001</v>
      </c>
      <c r="AI30" s="823">
        <f t="shared" si="2"/>
        <v>9.2361111111111005E-2</v>
      </c>
      <c r="AJ30" s="819">
        <v>129</v>
      </c>
      <c r="AK30" s="914" t="s">
        <v>177</v>
      </c>
      <c r="AL30" s="823">
        <v>0.32638888888888901</v>
      </c>
      <c r="AM30" s="818"/>
      <c r="AN30" s="823">
        <v>0.48125000000000001</v>
      </c>
      <c r="AO30" s="823">
        <f t="shared" si="3"/>
        <v>0.15486111111111101</v>
      </c>
      <c r="AP30" s="819">
        <v>114</v>
      </c>
      <c r="AQ30" s="816">
        <v>103</v>
      </c>
      <c r="AR30" s="818"/>
      <c r="AS30" s="818"/>
      <c r="AT30" s="818"/>
      <c r="AU30" s="818"/>
      <c r="AV30" s="818" t="str">
        <f t="shared" si="4"/>
        <v/>
      </c>
      <c r="AW30" s="819"/>
      <c r="AX30" s="819"/>
      <c r="AY30" s="818"/>
      <c r="AZ30" s="801"/>
      <c r="BA30" s="801"/>
      <c r="BB30" s="818" t="str">
        <f t="shared" si="5"/>
        <v/>
      </c>
      <c r="BC30" s="830"/>
      <c r="BD30" s="830"/>
      <c r="BE30" s="836"/>
      <c r="BF30" s="837">
        <v>73</v>
      </c>
      <c r="BG30" s="837">
        <v>91</v>
      </c>
      <c r="BH30" s="801"/>
      <c r="BI30" s="837">
        <v>137</v>
      </c>
      <c r="BJ30" s="801"/>
      <c r="BK30" s="838"/>
      <c r="BL30" s="801"/>
      <c r="BM30" s="837">
        <v>128</v>
      </c>
      <c r="BN30" s="853">
        <f t="shared" si="6"/>
        <v>0</v>
      </c>
      <c r="BO30" s="854">
        <f t="shared" si="7"/>
        <v>0</v>
      </c>
      <c r="BP30" s="801"/>
      <c r="BQ30" s="837">
        <f t="shared" si="8"/>
        <v>128</v>
      </c>
      <c r="BR30" s="853">
        <f t="shared" ca="1" si="9"/>
        <v>0</v>
      </c>
      <c r="BS30" s="854">
        <f t="shared" ca="1" si="10"/>
        <v>0</v>
      </c>
      <c r="BT30" s="801"/>
      <c r="BU30" s="837">
        <f t="shared" si="11"/>
        <v>128</v>
      </c>
      <c r="BV30" s="855">
        <f t="shared" ca="1" si="12"/>
        <v>0</v>
      </c>
      <c r="BW30" s="801"/>
      <c r="BX30" s="801"/>
      <c r="BY30" s="801"/>
    </row>
    <row r="31" spans="1:77" ht="15.75" customHeight="1">
      <c r="A31" s="962"/>
      <c r="B31" s="806" t="s">
        <v>227</v>
      </c>
      <c r="C31" s="813"/>
      <c r="D31" s="814" t="s">
        <v>228</v>
      </c>
      <c r="E31" s="807"/>
      <c r="F31" s="807"/>
      <c r="G31" s="807"/>
      <c r="H31" s="807"/>
      <c r="I31" s="824"/>
      <c r="J31" s="962"/>
      <c r="K31" s="823">
        <v>0.36111111111111099</v>
      </c>
      <c r="L31" s="818"/>
      <c r="M31" s="823">
        <v>0.38124999999999998</v>
      </c>
      <c r="N31" s="823">
        <f t="shared" si="13"/>
        <v>2.0138888888888984E-2</v>
      </c>
      <c r="O31" s="819">
        <v>134</v>
      </c>
      <c r="P31" s="819"/>
      <c r="Q31" s="818"/>
      <c r="R31" s="818"/>
      <c r="S31" s="818"/>
      <c r="T31" s="818"/>
      <c r="U31" s="818" t="str">
        <f t="shared" si="0"/>
        <v/>
      </c>
      <c r="V31" s="819"/>
      <c r="W31" s="819"/>
      <c r="X31" s="818"/>
      <c r="Y31" s="823">
        <v>0.40277777777777801</v>
      </c>
      <c r="Z31" s="818"/>
      <c r="AA31" s="823">
        <v>0.44236111111111098</v>
      </c>
      <c r="AB31" s="823">
        <f t="shared" si="1"/>
        <v>3.9583333333332971E-2</v>
      </c>
      <c r="AC31" s="819">
        <v>25</v>
      </c>
      <c r="AD31" s="819"/>
      <c r="AE31" s="818"/>
      <c r="AF31" s="818"/>
      <c r="AG31" s="818"/>
      <c r="AH31" s="818"/>
      <c r="AI31" s="818" t="str">
        <f t="shared" si="2"/>
        <v/>
      </c>
      <c r="AJ31" s="819"/>
      <c r="AK31" s="825"/>
      <c r="AL31" s="818"/>
      <c r="AM31" s="818"/>
      <c r="AN31" s="818"/>
      <c r="AO31" s="818" t="str">
        <f t="shared" si="3"/>
        <v/>
      </c>
      <c r="AP31" s="819"/>
      <c r="AQ31" s="819"/>
      <c r="AR31" s="818"/>
      <c r="AS31" s="818"/>
      <c r="AT31" s="818"/>
      <c r="AU31" s="818"/>
      <c r="AV31" s="818" t="str">
        <f t="shared" si="4"/>
        <v/>
      </c>
      <c r="AW31" s="819"/>
      <c r="AX31" s="819"/>
      <c r="AY31" s="818"/>
      <c r="AZ31" s="801"/>
      <c r="BA31" s="801"/>
      <c r="BB31" s="818" t="str">
        <f t="shared" si="5"/>
        <v/>
      </c>
      <c r="BC31" s="830"/>
      <c r="BD31" s="830"/>
      <c r="BE31" s="836"/>
      <c r="BF31" s="837">
        <v>73</v>
      </c>
      <c r="BG31" s="837">
        <v>91</v>
      </c>
      <c r="BH31" s="801"/>
      <c r="BI31" s="837">
        <v>137</v>
      </c>
      <c r="BJ31" s="801"/>
      <c r="BK31" s="838"/>
      <c r="BL31" s="801"/>
      <c r="BM31" s="837">
        <v>129</v>
      </c>
      <c r="BN31" s="853">
        <f t="shared" si="6"/>
        <v>0.28680555555555504</v>
      </c>
      <c r="BO31" s="854">
        <f t="shared" si="7"/>
        <v>6.8833333333333204</v>
      </c>
      <c r="BP31" s="801"/>
      <c r="BQ31" s="837">
        <f t="shared" si="8"/>
        <v>129</v>
      </c>
      <c r="BR31" s="853">
        <f t="shared" ca="1" si="9"/>
        <v>0</v>
      </c>
      <c r="BS31" s="854">
        <f t="shared" ca="1" si="10"/>
        <v>0</v>
      </c>
      <c r="BT31" s="801"/>
      <c r="BU31" s="837">
        <f t="shared" si="11"/>
        <v>129</v>
      </c>
      <c r="BV31" s="855">
        <f t="shared" ca="1" si="12"/>
        <v>6.8833333333333204</v>
      </c>
      <c r="BW31" s="801"/>
      <c r="BX31" s="801"/>
      <c r="BY31" s="801"/>
    </row>
    <row r="32" spans="1:77" ht="15.75" customHeight="1">
      <c r="A32" s="962"/>
      <c r="B32" s="806"/>
      <c r="C32" s="815"/>
      <c r="D32" s="812" t="s">
        <v>229</v>
      </c>
      <c r="E32" s="807"/>
      <c r="F32" s="807"/>
      <c r="G32" s="807"/>
      <c r="H32" s="807"/>
      <c r="I32" s="824"/>
      <c r="J32" s="962"/>
      <c r="K32" s="818"/>
      <c r="L32" s="818"/>
      <c r="M32" s="818"/>
      <c r="N32" s="818" t="str">
        <f t="shared" si="13"/>
        <v/>
      </c>
      <c r="O32" s="819"/>
      <c r="P32" s="819"/>
      <c r="Q32" s="818"/>
      <c r="R32" s="818"/>
      <c r="S32" s="818"/>
      <c r="T32" s="818"/>
      <c r="U32" s="818" t="str">
        <f t="shared" si="0"/>
        <v/>
      </c>
      <c r="V32" s="819"/>
      <c r="W32" s="819"/>
      <c r="X32" s="818"/>
      <c r="Y32" s="823">
        <v>0.44236111111111098</v>
      </c>
      <c r="Z32" s="818"/>
      <c r="AA32" s="823">
        <v>0.47222222222222199</v>
      </c>
      <c r="AB32" s="823">
        <f t="shared" si="1"/>
        <v>2.9861111111111005E-2</v>
      </c>
      <c r="AC32" s="819">
        <v>25</v>
      </c>
      <c r="AD32" s="819"/>
      <c r="AE32" s="818"/>
      <c r="AF32" s="818"/>
      <c r="AG32" s="818"/>
      <c r="AH32" s="818"/>
      <c r="AI32" s="818" t="str">
        <f t="shared" si="2"/>
        <v/>
      </c>
      <c r="AJ32" s="819"/>
      <c r="AK32" s="825"/>
      <c r="AL32" s="818"/>
      <c r="AM32" s="818"/>
      <c r="AN32" s="818"/>
      <c r="AO32" s="818" t="str">
        <f t="shared" si="3"/>
        <v/>
      </c>
      <c r="AP32" s="819"/>
      <c r="AQ32" s="819"/>
      <c r="AR32" s="818"/>
      <c r="AS32" s="818"/>
      <c r="AT32" s="818"/>
      <c r="AU32" s="818"/>
      <c r="AV32" s="818" t="str">
        <f t="shared" si="4"/>
        <v/>
      </c>
      <c r="AW32" s="819"/>
      <c r="AX32" s="819"/>
      <c r="AY32" s="818"/>
      <c r="AZ32" s="801"/>
      <c r="BA32" s="801"/>
      <c r="BB32" s="818" t="str">
        <f t="shared" si="5"/>
        <v/>
      </c>
      <c r="BC32" s="830"/>
      <c r="BD32" s="830"/>
      <c r="BE32" s="842">
        <v>5</v>
      </c>
      <c r="BF32" s="837">
        <v>73</v>
      </c>
      <c r="BG32" s="837">
        <v>91</v>
      </c>
      <c r="BH32" s="837">
        <v>141</v>
      </c>
      <c r="BI32" s="837">
        <v>137</v>
      </c>
      <c r="BJ32" s="801"/>
      <c r="BK32" s="838"/>
      <c r="BL32" s="801"/>
      <c r="BM32" s="837">
        <v>134</v>
      </c>
      <c r="BN32" s="853">
        <f t="shared" si="6"/>
        <v>0.17569444444444393</v>
      </c>
      <c r="BO32" s="854">
        <f t="shared" si="7"/>
        <v>4.2166666666666544</v>
      </c>
      <c r="BP32" s="801"/>
      <c r="BQ32" s="837">
        <f t="shared" si="8"/>
        <v>134</v>
      </c>
      <c r="BR32" s="853">
        <f t="shared" ca="1" si="9"/>
        <v>0</v>
      </c>
      <c r="BS32" s="854">
        <f t="shared" ca="1" si="10"/>
        <v>0</v>
      </c>
      <c r="BT32" s="801"/>
      <c r="BU32" s="837">
        <f t="shared" si="11"/>
        <v>134</v>
      </c>
      <c r="BV32" s="855">
        <f t="shared" ca="1" si="12"/>
        <v>4.2166666666666544</v>
      </c>
      <c r="BW32" s="801"/>
      <c r="BX32" s="801"/>
      <c r="BY32" s="801"/>
    </row>
    <row r="33" spans="1:77" ht="15.75" customHeight="1">
      <c r="A33" s="962"/>
      <c r="B33" s="806"/>
      <c r="C33" s="811"/>
      <c r="D33" s="816" t="s">
        <v>230</v>
      </c>
      <c r="E33" s="806"/>
      <c r="F33" s="807"/>
      <c r="G33" s="807"/>
      <c r="H33" s="807"/>
      <c r="I33" s="824"/>
      <c r="J33" s="962"/>
      <c r="K33" s="818"/>
      <c r="L33" s="818"/>
      <c r="M33" s="818"/>
      <c r="N33" s="818" t="str">
        <f t="shared" si="13"/>
        <v/>
      </c>
      <c r="O33" s="819"/>
      <c r="P33" s="819"/>
      <c r="Q33" s="818"/>
      <c r="R33" s="818"/>
      <c r="S33" s="818"/>
      <c r="T33" s="818"/>
      <c r="U33" s="818" t="str">
        <f t="shared" si="0"/>
        <v/>
      </c>
      <c r="V33" s="819"/>
      <c r="W33" s="819"/>
      <c r="X33" s="818"/>
      <c r="Y33" s="823">
        <v>0.47569444444444398</v>
      </c>
      <c r="Z33" s="818"/>
      <c r="AA33" s="823">
        <v>0.54027777777777797</v>
      </c>
      <c r="AB33" s="823">
        <f t="shared" si="1"/>
        <v>6.4583333333333992E-2</v>
      </c>
      <c r="AC33" s="819">
        <v>198</v>
      </c>
      <c r="AD33" s="819"/>
      <c r="AE33" s="818"/>
      <c r="AF33" s="818"/>
      <c r="AG33" s="818"/>
      <c r="AH33" s="818"/>
      <c r="AI33" s="818" t="str">
        <f t="shared" si="2"/>
        <v/>
      </c>
      <c r="AJ33" s="819"/>
      <c r="AK33" s="825"/>
      <c r="AL33" s="818"/>
      <c r="AM33" s="818"/>
      <c r="AN33" s="818"/>
      <c r="AO33" s="818" t="str">
        <f t="shared" si="3"/>
        <v/>
      </c>
      <c r="AP33" s="819"/>
      <c r="AQ33" s="819"/>
      <c r="AR33" s="818"/>
      <c r="AS33" s="818"/>
      <c r="AT33" s="818"/>
      <c r="AU33" s="818"/>
      <c r="AV33" s="818" t="str">
        <f t="shared" si="4"/>
        <v/>
      </c>
      <c r="AW33" s="819"/>
      <c r="AX33" s="819"/>
      <c r="AY33" s="818"/>
      <c r="AZ33" s="801"/>
      <c r="BA33" s="801"/>
      <c r="BB33" s="818" t="str">
        <f t="shared" si="5"/>
        <v/>
      </c>
      <c r="BC33" s="830"/>
      <c r="BD33" s="830"/>
      <c r="BE33" s="842">
        <v>5</v>
      </c>
      <c r="BF33" s="837">
        <v>73</v>
      </c>
      <c r="BG33" s="837">
        <v>91</v>
      </c>
      <c r="BH33" s="837">
        <v>141</v>
      </c>
      <c r="BI33" s="837">
        <v>137</v>
      </c>
      <c r="BJ33" s="801"/>
      <c r="BK33" s="838"/>
      <c r="BL33" s="801"/>
      <c r="BM33" s="837">
        <v>135</v>
      </c>
      <c r="BN33" s="853">
        <f t="shared" si="6"/>
        <v>0</v>
      </c>
      <c r="BO33" s="854">
        <f t="shared" si="7"/>
        <v>0</v>
      </c>
      <c r="BP33" s="801"/>
      <c r="BQ33" s="837">
        <f t="shared" si="8"/>
        <v>135</v>
      </c>
      <c r="BR33" s="853">
        <f t="shared" ca="1" si="9"/>
        <v>0</v>
      </c>
      <c r="BS33" s="854">
        <f t="shared" ca="1" si="10"/>
        <v>0</v>
      </c>
      <c r="BT33" s="801"/>
      <c r="BU33" s="837">
        <f t="shared" si="11"/>
        <v>135</v>
      </c>
      <c r="BV33" s="855">
        <f t="shared" ca="1" si="12"/>
        <v>0</v>
      </c>
      <c r="BW33" s="801"/>
      <c r="BX33" s="801"/>
      <c r="BY33" s="801"/>
    </row>
    <row r="34" spans="1:77" ht="15.75" customHeight="1">
      <c r="A34" s="965" t="s">
        <v>231</v>
      </c>
      <c r="B34" s="804" t="s">
        <v>216</v>
      </c>
      <c r="C34" s="805" t="s">
        <v>170</v>
      </c>
      <c r="D34" s="817" t="s">
        <v>170</v>
      </c>
      <c r="E34" s="805" t="s">
        <v>171</v>
      </c>
      <c r="F34" s="805" t="s">
        <v>189</v>
      </c>
      <c r="G34" s="805"/>
      <c r="H34" s="805" t="s">
        <v>189</v>
      </c>
      <c r="I34" s="805" t="s">
        <v>189</v>
      </c>
      <c r="J34" s="965" t="s">
        <v>231</v>
      </c>
      <c r="K34" s="821">
        <v>0.32638888888888901</v>
      </c>
      <c r="L34" s="822"/>
      <c r="M34" s="821">
        <v>0.374305555555556</v>
      </c>
      <c r="N34" s="823">
        <f t="shared" si="13"/>
        <v>4.7916666666666996E-2</v>
      </c>
      <c r="O34" s="819">
        <v>114</v>
      </c>
      <c r="P34" s="819"/>
      <c r="Q34" s="822"/>
      <c r="R34" s="821">
        <v>0.32638888888888901</v>
      </c>
      <c r="S34" s="822"/>
      <c r="T34" s="821">
        <v>0.38680555555555601</v>
      </c>
      <c r="U34" s="823">
        <f t="shared" si="0"/>
        <v>6.0416666666667007E-2</v>
      </c>
      <c r="V34" s="819">
        <v>147</v>
      </c>
      <c r="W34" s="819"/>
      <c r="X34" s="822"/>
      <c r="Y34" s="821">
        <v>0.32638888888888901</v>
      </c>
      <c r="Z34" s="822"/>
      <c r="AA34" s="821">
        <v>0.38680555555555601</v>
      </c>
      <c r="AB34" s="823">
        <f t="shared" si="1"/>
        <v>6.0416666666667007E-2</v>
      </c>
      <c r="AC34" s="819">
        <v>211</v>
      </c>
      <c r="AD34" s="819"/>
      <c r="AE34" s="822"/>
      <c r="AF34" s="821">
        <v>0.32638888888888901</v>
      </c>
      <c r="AG34" s="822" t="s">
        <v>145</v>
      </c>
      <c r="AH34" s="821">
        <v>0.41875000000000001</v>
      </c>
      <c r="AI34" s="823">
        <f t="shared" si="2"/>
        <v>9.2361111111111005E-2</v>
      </c>
      <c r="AJ34" s="819">
        <v>178</v>
      </c>
      <c r="AK34" s="913" t="s">
        <v>232</v>
      </c>
      <c r="AL34" s="821">
        <v>0.32638888888888901</v>
      </c>
      <c r="AM34" s="822" t="s">
        <v>145</v>
      </c>
      <c r="AN34" s="821">
        <v>0.45138888888888901</v>
      </c>
      <c r="AO34" s="823">
        <f t="shared" si="3"/>
        <v>0.125</v>
      </c>
      <c r="AP34" s="828">
        <v>112</v>
      </c>
      <c r="AQ34" s="819">
        <v>20</v>
      </c>
      <c r="AR34" s="822"/>
      <c r="AS34" s="821">
        <v>0.32638888888888901</v>
      </c>
      <c r="AT34" s="822" t="s">
        <v>145</v>
      </c>
      <c r="AU34" s="821">
        <v>0.45138888888888901</v>
      </c>
      <c r="AV34" s="823">
        <f t="shared" si="4"/>
        <v>0.125</v>
      </c>
      <c r="AW34" s="819">
        <v>203</v>
      </c>
      <c r="AX34" s="819">
        <v>154</v>
      </c>
      <c r="AY34" s="821">
        <v>0.32638888888888901</v>
      </c>
      <c r="AZ34" s="822" t="s">
        <v>145</v>
      </c>
      <c r="BA34" s="821">
        <v>0.45138888888888901</v>
      </c>
      <c r="BB34" s="823">
        <f t="shared" si="5"/>
        <v>0.125</v>
      </c>
      <c r="BC34" s="819">
        <v>218</v>
      </c>
      <c r="BD34" s="819"/>
      <c r="BE34" s="846">
        <v>49</v>
      </c>
      <c r="BF34" s="847"/>
      <c r="BG34" s="847">
        <v>73</v>
      </c>
      <c r="BH34" s="847">
        <v>91</v>
      </c>
      <c r="BI34" s="847"/>
      <c r="BJ34" s="847"/>
      <c r="BK34" s="848"/>
      <c r="BL34" s="818"/>
      <c r="BM34" s="837">
        <v>137</v>
      </c>
      <c r="BN34" s="853">
        <f t="shared" si="6"/>
        <v>0</v>
      </c>
      <c r="BO34" s="854">
        <f t="shared" si="7"/>
        <v>0</v>
      </c>
      <c r="BP34" s="818"/>
      <c r="BQ34" s="837">
        <f t="shared" si="8"/>
        <v>137</v>
      </c>
      <c r="BR34" s="853">
        <f t="shared" ca="1" si="9"/>
        <v>0</v>
      </c>
      <c r="BS34" s="854">
        <f t="shared" ca="1" si="10"/>
        <v>0</v>
      </c>
      <c r="BT34" s="818"/>
      <c r="BU34" s="837">
        <f t="shared" si="11"/>
        <v>137</v>
      </c>
      <c r="BV34" s="855">
        <f t="shared" ca="1" si="12"/>
        <v>0</v>
      </c>
      <c r="BW34" s="801"/>
      <c r="BX34" s="801"/>
      <c r="BY34" s="801"/>
    </row>
    <row r="35" spans="1:77" ht="15.75" customHeight="1">
      <c r="A35" s="962"/>
      <c r="B35" s="804" t="s">
        <v>233</v>
      </c>
      <c r="C35" s="805" t="s">
        <v>234</v>
      </c>
      <c r="D35" s="805" t="s">
        <v>235</v>
      </c>
      <c r="E35" s="805" t="s">
        <v>236</v>
      </c>
      <c r="F35" s="805" t="s">
        <v>237</v>
      </c>
      <c r="G35" s="805"/>
      <c r="H35" s="805"/>
      <c r="I35" s="820"/>
      <c r="J35" s="962"/>
      <c r="K35" s="821">
        <v>0.38541666666666702</v>
      </c>
      <c r="L35" s="822"/>
      <c r="M35" s="821">
        <v>0.41666666666666702</v>
      </c>
      <c r="N35" s="823">
        <f t="shared" si="13"/>
        <v>3.125E-2</v>
      </c>
      <c r="O35" s="819">
        <v>114</v>
      </c>
      <c r="P35" s="819"/>
      <c r="Q35" s="822"/>
      <c r="R35" s="821">
        <v>0.39930555555555602</v>
      </c>
      <c r="S35" s="822"/>
      <c r="T35" s="821">
        <v>0.43055555555555602</v>
      </c>
      <c r="U35" s="823">
        <f t="shared" si="0"/>
        <v>3.125E-2</v>
      </c>
      <c r="V35" s="819">
        <v>147</v>
      </c>
      <c r="W35" s="819"/>
      <c r="X35" s="822"/>
      <c r="Y35" s="821">
        <v>0.39930555555555602</v>
      </c>
      <c r="Z35" s="822"/>
      <c r="AA35" s="821">
        <v>0.43402777777777801</v>
      </c>
      <c r="AB35" s="823">
        <f t="shared" si="1"/>
        <v>3.4722222222221988E-2</v>
      </c>
      <c r="AC35" s="819">
        <v>211</v>
      </c>
      <c r="AD35" s="819"/>
      <c r="AE35" s="822"/>
      <c r="AF35" s="821">
        <v>0.43055555555555602</v>
      </c>
      <c r="AG35" s="822"/>
      <c r="AH35" s="821">
        <v>0.49097222222222198</v>
      </c>
      <c r="AI35" s="823">
        <f t="shared" si="2"/>
        <v>6.0416666666665952E-2</v>
      </c>
      <c r="AJ35" s="819">
        <v>178</v>
      </c>
      <c r="AK35" s="826" t="s">
        <v>50</v>
      </c>
      <c r="AL35" s="821">
        <v>0.46180555555555602</v>
      </c>
      <c r="AM35" s="822"/>
      <c r="AN35" s="821">
        <v>0.52083333333333304</v>
      </c>
      <c r="AO35" s="823">
        <f t="shared" si="3"/>
        <v>5.9027777777777013E-2</v>
      </c>
      <c r="AP35" s="819" t="s">
        <v>148</v>
      </c>
      <c r="AQ35" s="819" t="s">
        <v>50</v>
      </c>
      <c r="AR35" s="822"/>
      <c r="AS35" s="822"/>
      <c r="AT35" s="822"/>
      <c r="AU35" s="822"/>
      <c r="AV35" s="818" t="str">
        <f t="shared" si="4"/>
        <v/>
      </c>
      <c r="AW35" s="819"/>
      <c r="AX35" s="819"/>
      <c r="AY35" s="822"/>
      <c r="AZ35" s="822"/>
      <c r="BA35" s="822"/>
      <c r="BB35" s="818" t="str">
        <f t="shared" si="5"/>
        <v/>
      </c>
      <c r="BC35" s="819"/>
      <c r="BD35" s="819"/>
      <c r="BE35" s="827">
        <v>49</v>
      </c>
      <c r="BF35" s="818"/>
      <c r="BG35" s="818">
        <v>73</v>
      </c>
      <c r="BH35" s="818">
        <v>91</v>
      </c>
      <c r="BI35" s="818"/>
      <c r="BJ35" s="818"/>
      <c r="BK35" s="849"/>
      <c r="BL35" s="818"/>
      <c r="BM35" s="837">
        <v>138</v>
      </c>
      <c r="BN35" s="853">
        <f t="shared" si="6"/>
        <v>0.20069444444444501</v>
      </c>
      <c r="BO35" s="854">
        <f t="shared" si="7"/>
        <v>4.8166666666666806</v>
      </c>
      <c r="BP35" s="818"/>
      <c r="BQ35" s="837">
        <f t="shared" si="8"/>
        <v>138</v>
      </c>
      <c r="BR35" s="853">
        <f t="shared" ca="1" si="9"/>
        <v>0</v>
      </c>
      <c r="BS35" s="854">
        <f t="shared" ca="1" si="10"/>
        <v>0</v>
      </c>
      <c r="BT35" s="818"/>
      <c r="BU35" s="837">
        <f t="shared" si="11"/>
        <v>138</v>
      </c>
      <c r="BV35" s="855">
        <f t="shared" ca="1" si="12"/>
        <v>4.8166666666666806</v>
      </c>
      <c r="BW35" s="801"/>
      <c r="BX35" s="801"/>
      <c r="BY35" s="801"/>
    </row>
    <row r="36" spans="1:77" ht="15.75" customHeight="1">
      <c r="A36" s="962"/>
      <c r="B36" s="804"/>
      <c r="C36" s="805"/>
      <c r="D36" s="805"/>
      <c r="E36" s="805"/>
      <c r="F36" s="805"/>
      <c r="G36" s="805"/>
      <c r="H36" s="805"/>
      <c r="I36" s="820"/>
      <c r="J36" s="962"/>
      <c r="K36" s="822"/>
      <c r="L36" s="822"/>
      <c r="M36" s="822"/>
      <c r="N36" s="818" t="str">
        <f t="shared" si="13"/>
        <v/>
      </c>
      <c r="O36" s="819"/>
      <c r="P36" s="819"/>
      <c r="Q36" s="822"/>
      <c r="R36" s="822"/>
      <c r="S36" s="822"/>
      <c r="T36" s="822"/>
      <c r="U36" s="818" t="str">
        <f t="shared" si="0"/>
        <v/>
      </c>
      <c r="V36" s="819"/>
      <c r="W36" s="819"/>
      <c r="X36" s="822"/>
      <c r="Y36" s="822"/>
      <c r="Z36" s="822"/>
      <c r="AA36" s="822"/>
      <c r="AB36" s="818" t="str">
        <f t="shared" si="1"/>
        <v/>
      </c>
      <c r="AC36" s="819"/>
      <c r="AD36" s="819"/>
      <c r="AE36" s="822"/>
      <c r="AF36" s="822"/>
      <c r="AG36" s="822"/>
      <c r="AH36" s="822"/>
      <c r="AI36" s="818" t="str">
        <f t="shared" si="2"/>
        <v/>
      </c>
      <c r="AJ36" s="819"/>
      <c r="AK36" s="825"/>
      <c r="AL36" s="821">
        <v>0.52083333333333304</v>
      </c>
      <c r="AM36" s="822"/>
      <c r="AN36" s="821">
        <v>0.61666666666666703</v>
      </c>
      <c r="AO36" s="823">
        <f t="shared" si="3"/>
        <v>9.5833333333333992E-2</v>
      </c>
      <c r="AP36" s="819" t="s">
        <v>149</v>
      </c>
      <c r="AQ36" s="819"/>
      <c r="AR36" s="822"/>
      <c r="AS36" s="822"/>
      <c r="AT36" s="822"/>
      <c r="AU36" s="822"/>
      <c r="AV36" s="818" t="str">
        <f t="shared" si="4"/>
        <v/>
      </c>
      <c r="AW36" s="819"/>
      <c r="AX36" s="819"/>
      <c r="AY36" s="822"/>
      <c r="AZ36" s="822"/>
      <c r="BA36" s="822"/>
      <c r="BB36" s="818" t="str">
        <f t="shared" si="5"/>
        <v/>
      </c>
      <c r="BC36" s="819"/>
      <c r="BD36" s="819"/>
      <c r="BE36" s="827">
        <v>49</v>
      </c>
      <c r="BF36" s="818">
        <v>216</v>
      </c>
      <c r="BG36" s="818">
        <v>73</v>
      </c>
      <c r="BH36" s="818">
        <v>91</v>
      </c>
      <c r="BI36" s="818"/>
      <c r="BJ36" s="818"/>
      <c r="BK36" s="849"/>
      <c r="BL36" s="818"/>
      <c r="BM36" s="837">
        <v>140</v>
      </c>
      <c r="BN36" s="853">
        <f t="shared" si="6"/>
        <v>0</v>
      </c>
      <c r="BO36" s="854">
        <f t="shared" si="7"/>
        <v>0</v>
      </c>
      <c r="BP36" s="818"/>
      <c r="BQ36" s="837">
        <f t="shared" si="8"/>
        <v>140</v>
      </c>
      <c r="BR36" s="853">
        <f t="shared" ca="1" si="9"/>
        <v>0</v>
      </c>
      <c r="BS36" s="854">
        <f t="shared" ca="1" si="10"/>
        <v>0</v>
      </c>
      <c r="BT36" s="818"/>
      <c r="BU36" s="837">
        <f t="shared" si="11"/>
        <v>140</v>
      </c>
      <c r="BV36" s="855">
        <f t="shared" ca="1" si="12"/>
        <v>0</v>
      </c>
      <c r="BW36" s="801"/>
      <c r="BX36" s="801"/>
      <c r="BY36" s="801"/>
    </row>
    <row r="37" spans="1:77" ht="15.75" customHeight="1">
      <c r="A37" s="962"/>
      <c r="B37" s="804"/>
      <c r="C37" s="805"/>
      <c r="D37" s="805"/>
      <c r="E37" s="805"/>
      <c r="F37" s="805"/>
      <c r="G37" s="805"/>
      <c r="H37" s="805"/>
      <c r="I37" s="820"/>
      <c r="J37" s="962"/>
      <c r="K37" s="822"/>
      <c r="L37" s="822"/>
      <c r="M37" s="822"/>
      <c r="N37" s="818" t="str">
        <f t="shared" si="13"/>
        <v/>
      </c>
      <c r="O37" s="819"/>
      <c r="P37" s="819"/>
      <c r="Q37" s="822"/>
      <c r="R37" s="822"/>
      <c r="S37" s="822"/>
      <c r="T37" s="822"/>
      <c r="U37" s="818" t="str">
        <f t="shared" si="0"/>
        <v/>
      </c>
      <c r="V37" s="819"/>
      <c r="W37" s="819"/>
      <c r="X37" s="822"/>
      <c r="Y37" s="822"/>
      <c r="Z37" s="822"/>
      <c r="AA37" s="822"/>
      <c r="AB37" s="818" t="str">
        <f t="shared" si="1"/>
        <v/>
      </c>
      <c r="AC37" s="819"/>
      <c r="AD37" s="819"/>
      <c r="AE37" s="822"/>
      <c r="AF37" s="822"/>
      <c r="AG37" s="822"/>
      <c r="AH37" s="822"/>
      <c r="AI37" s="818" t="str">
        <f t="shared" si="2"/>
        <v/>
      </c>
      <c r="AJ37" s="819"/>
      <c r="AK37" s="825"/>
      <c r="AL37" s="822"/>
      <c r="AM37" s="822"/>
      <c r="AN37" s="822"/>
      <c r="AO37" s="818" t="str">
        <f t="shared" si="3"/>
        <v/>
      </c>
      <c r="AP37" s="819"/>
      <c r="AQ37" s="819"/>
      <c r="AR37" s="822"/>
      <c r="AS37" s="822"/>
      <c r="AT37" s="822"/>
      <c r="AU37" s="822"/>
      <c r="AV37" s="818" t="str">
        <f t="shared" si="4"/>
        <v/>
      </c>
      <c r="AW37" s="819"/>
      <c r="AX37" s="819"/>
      <c r="AY37" s="822"/>
      <c r="AZ37" s="822"/>
      <c r="BA37" s="822"/>
      <c r="BB37" s="818" t="str">
        <f t="shared" si="5"/>
        <v/>
      </c>
      <c r="BC37" s="819"/>
      <c r="BD37" s="819"/>
      <c r="BE37" s="850">
        <v>49</v>
      </c>
      <c r="BF37" s="851">
        <v>216</v>
      </c>
      <c r="BG37" s="851">
        <v>73</v>
      </c>
      <c r="BH37" s="851">
        <v>91</v>
      </c>
      <c r="BI37" s="851"/>
      <c r="BJ37" s="851"/>
      <c r="BK37" s="807"/>
      <c r="BL37" s="818"/>
      <c r="BM37" s="837">
        <v>141</v>
      </c>
      <c r="BN37" s="853">
        <f t="shared" si="6"/>
        <v>0</v>
      </c>
      <c r="BO37" s="854">
        <f t="shared" si="7"/>
        <v>0</v>
      </c>
      <c r="BP37" s="818"/>
      <c r="BQ37" s="837">
        <f t="shared" si="8"/>
        <v>141</v>
      </c>
      <c r="BR37" s="853">
        <f t="shared" ca="1" si="9"/>
        <v>0</v>
      </c>
      <c r="BS37" s="854">
        <f t="shared" ca="1" si="10"/>
        <v>0</v>
      </c>
      <c r="BT37" s="818"/>
      <c r="BU37" s="837">
        <f t="shared" si="11"/>
        <v>141</v>
      </c>
      <c r="BV37" s="855">
        <f t="shared" ca="1" si="12"/>
        <v>0</v>
      </c>
      <c r="BW37" s="801"/>
      <c r="BX37" s="801"/>
      <c r="BY37" s="801"/>
    </row>
    <row r="38" spans="1:77" ht="15.75" customHeight="1">
      <c r="A38" s="966" t="s">
        <v>238</v>
      </c>
      <c r="B38" s="807" t="s">
        <v>202</v>
      </c>
      <c r="C38" s="807" t="s">
        <v>202</v>
      </c>
      <c r="D38" s="807" t="s">
        <v>202</v>
      </c>
      <c r="E38" s="807"/>
      <c r="F38" s="807" t="s">
        <v>239</v>
      </c>
      <c r="G38" s="807"/>
      <c r="H38" s="807"/>
      <c r="I38" s="824"/>
      <c r="J38" s="966" t="s">
        <v>238</v>
      </c>
      <c r="K38" s="823">
        <v>0.32638888888888901</v>
      </c>
      <c r="L38" s="818"/>
      <c r="M38" s="823">
        <v>0.39374999999999999</v>
      </c>
      <c r="N38" s="823">
        <f t="shared" si="13"/>
        <v>6.7361111111110983E-2</v>
      </c>
      <c r="O38" s="819">
        <v>203</v>
      </c>
      <c r="P38" s="819"/>
      <c r="Q38" s="818"/>
      <c r="R38" s="823">
        <v>0.33333333333333298</v>
      </c>
      <c r="S38" s="818"/>
      <c r="T38" s="823">
        <v>0.39374999999999999</v>
      </c>
      <c r="U38" s="823">
        <f t="shared" si="0"/>
        <v>6.0416666666667007E-2</v>
      </c>
      <c r="V38" s="819">
        <v>218</v>
      </c>
      <c r="W38" s="819"/>
      <c r="X38" s="818"/>
      <c r="Y38" s="823">
        <v>0.33333333333333298</v>
      </c>
      <c r="Z38" s="818"/>
      <c r="AA38" s="823">
        <v>0.39374999999999999</v>
      </c>
      <c r="AB38" s="823">
        <f t="shared" si="1"/>
        <v>6.0416666666667007E-2</v>
      </c>
      <c r="AC38" s="819">
        <v>49</v>
      </c>
      <c r="AD38" s="819"/>
      <c r="AE38" s="818"/>
      <c r="AF38" s="818"/>
      <c r="AG38" s="818"/>
      <c r="AH38" s="818"/>
      <c r="AI38" s="818" t="str">
        <f t="shared" si="2"/>
        <v/>
      </c>
      <c r="AJ38" s="819"/>
      <c r="AK38" s="825"/>
      <c r="AL38" s="823">
        <v>0.33333333333333298</v>
      </c>
      <c r="AM38" s="818"/>
      <c r="AN38" s="823">
        <v>0.45833333333333298</v>
      </c>
      <c r="AO38" s="823">
        <f t="shared" si="3"/>
        <v>0.125</v>
      </c>
      <c r="AP38" s="819">
        <v>91</v>
      </c>
      <c r="AQ38" s="819" t="s">
        <v>147</v>
      </c>
      <c r="AR38" s="818"/>
      <c r="AS38" s="818"/>
      <c r="AT38" s="818"/>
      <c r="AU38" s="818"/>
      <c r="AV38" s="818" t="str">
        <f t="shared" si="4"/>
        <v/>
      </c>
      <c r="AW38" s="819"/>
      <c r="AX38" s="819"/>
      <c r="AY38" s="818"/>
      <c r="AZ38" s="801"/>
      <c r="BA38" s="801"/>
      <c r="BB38" s="818" t="str">
        <f t="shared" si="5"/>
        <v/>
      </c>
      <c r="BC38" s="831"/>
      <c r="BD38" s="831"/>
      <c r="BE38" s="836"/>
      <c r="BF38" s="801"/>
      <c r="BG38" s="801"/>
      <c r="BH38" s="801"/>
      <c r="BI38" s="801"/>
      <c r="BJ38" s="801"/>
      <c r="BK38" s="838"/>
      <c r="BL38" s="801"/>
      <c r="BM38" s="837">
        <v>147</v>
      </c>
      <c r="BN38" s="853">
        <f t="shared" si="6"/>
        <v>9.1666666666667007E-2</v>
      </c>
      <c r="BO38" s="854">
        <f t="shared" si="7"/>
        <v>2.2000000000000082</v>
      </c>
      <c r="BP38" s="801"/>
      <c r="BQ38" s="837">
        <f t="shared" si="8"/>
        <v>147</v>
      </c>
      <c r="BR38" s="853">
        <f t="shared" ca="1" si="9"/>
        <v>6.0416666666667007E-2</v>
      </c>
      <c r="BS38" s="854">
        <f t="shared" ca="1" si="10"/>
        <v>1.4500000000000082</v>
      </c>
      <c r="BT38" s="801"/>
      <c r="BU38" s="837">
        <f t="shared" si="11"/>
        <v>147</v>
      </c>
      <c r="BV38" s="855">
        <f t="shared" ca="1" si="12"/>
        <v>3.6500000000000163</v>
      </c>
      <c r="BW38" s="801"/>
      <c r="BX38" s="801"/>
      <c r="BY38" s="801"/>
    </row>
    <row r="39" spans="1:77" ht="15.75" customHeight="1">
      <c r="A39" s="967"/>
      <c r="B39" s="807"/>
      <c r="C39" s="807" t="s">
        <v>207</v>
      </c>
      <c r="D39" s="807" t="s">
        <v>240</v>
      </c>
      <c r="E39" s="807"/>
      <c r="F39" s="807" t="s">
        <v>241</v>
      </c>
      <c r="G39" s="807"/>
      <c r="H39" s="807"/>
      <c r="I39" s="824"/>
      <c r="J39" s="967"/>
      <c r="K39" s="818"/>
      <c r="L39" s="818"/>
      <c r="M39" s="818"/>
      <c r="N39" s="818" t="str">
        <f t="shared" si="13"/>
        <v/>
      </c>
      <c r="O39" s="819"/>
      <c r="P39" s="819"/>
      <c r="Q39" s="818"/>
      <c r="R39" s="823">
        <v>0.40625</v>
      </c>
      <c r="S39" s="818"/>
      <c r="T39" s="823">
        <v>0.46666666666666701</v>
      </c>
      <c r="U39" s="823">
        <f t="shared" si="0"/>
        <v>6.0416666666667007E-2</v>
      </c>
      <c r="V39" s="819">
        <v>218</v>
      </c>
      <c r="W39" s="819"/>
      <c r="X39" s="818"/>
      <c r="Y39" s="823">
        <v>0.40625</v>
      </c>
      <c r="Z39" s="818"/>
      <c r="AA39" s="823">
        <v>0.4375</v>
      </c>
      <c r="AB39" s="823">
        <f t="shared" si="1"/>
        <v>3.125E-2</v>
      </c>
      <c r="AC39" s="819">
        <v>37</v>
      </c>
      <c r="AD39" s="819"/>
      <c r="AE39" s="818"/>
      <c r="AF39" s="818"/>
      <c r="AG39" s="818"/>
      <c r="AH39" s="818"/>
      <c r="AI39" s="818" t="str">
        <f t="shared" si="2"/>
        <v/>
      </c>
      <c r="AJ39" s="819"/>
      <c r="AK39" s="825"/>
      <c r="AL39" s="823">
        <v>0.46875</v>
      </c>
      <c r="AM39" s="818"/>
      <c r="AN39" s="823">
        <v>0.53125</v>
      </c>
      <c r="AO39" s="823">
        <f t="shared" si="3"/>
        <v>6.25E-2</v>
      </c>
      <c r="AP39" s="819">
        <v>114</v>
      </c>
      <c r="AQ39" s="819" t="s">
        <v>50</v>
      </c>
      <c r="AR39" s="818"/>
      <c r="AS39" s="818"/>
      <c r="AT39" s="818"/>
      <c r="AU39" s="818"/>
      <c r="AV39" s="818" t="str">
        <f t="shared" si="4"/>
        <v/>
      </c>
      <c r="AW39" s="819"/>
      <c r="AX39" s="819"/>
      <c r="AY39" s="818"/>
      <c r="AZ39" s="801"/>
      <c r="BA39" s="801"/>
      <c r="BB39" s="818" t="str">
        <f t="shared" si="5"/>
        <v/>
      </c>
      <c r="BC39" s="831"/>
      <c r="BD39" s="831"/>
      <c r="BE39" s="836"/>
      <c r="BF39" s="801"/>
      <c r="BG39" s="801"/>
      <c r="BH39" s="801"/>
      <c r="BI39" s="801"/>
      <c r="BJ39" s="801"/>
      <c r="BK39" s="838"/>
      <c r="BL39" s="801"/>
      <c r="BM39" s="837">
        <v>152</v>
      </c>
      <c r="BN39" s="853">
        <f t="shared" si="6"/>
        <v>0</v>
      </c>
      <c r="BO39" s="854">
        <f t="shared" si="7"/>
        <v>0</v>
      </c>
      <c r="BP39" s="801"/>
      <c r="BQ39" s="837">
        <f t="shared" si="8"/>
        <v>152</v>
      </c>
      <c r="BR39" s="853">
        <f t="shared" ca="1" si="9"/>
        <v>0</v>
      </c>
      <c r="BS39" s="854">
        <f t="shared" ca="1" si="10"/>
        <v>0</v>
      </c>
      <c r="BT39" s="801"/>
      <c r="BU39" s="837">
        <f t="shared" si="11"/>
        <v>152</v>
      </c>
      <c r="BV39" s="855">
        <f t="shared" ca="1" si="12"/>
        <v>0</v>
      </c>
      <c r="BW39" s="801"/>
      <c r="BX39" s="801"/>
      <c r="BY39" s="801"/>
    </row>
    <row r="40" spans="1:77" ht="15.75" customHeight="1">
      <c r="A40" s="967"/>
      <c r="B40" s="807"/>
      <c r="C40" s="807"/>
      <c r="D40" s="807" t="s">
        <v>220</v>
      </c>
      <c r="E40" s="807"/>
      <c r="F40" s="807"/>
      <c r="G40" s="807"/>
      <c r="H40" s="807"/>
      <c r="I40" s="824"/>
      <c r="J40" s="967"/>
      <c r="K40" s="818"/>
      <c r="L40" s="818"/>
      <c r="M40" s="818"/>
      <c r="N40" s="818" t="str">
        <f t="shared" si="13"/>
        <v/>
      </c>
      <c r="O40" s="819"/>
      <c r="P40" s="819"/>
      <c r="Q40" s="818"/>
      <c r="R40" s="818"/>
      <c r="S40" s="818"/>
      <c r="T40" s="818"/>
      <c r="U40" s="818" t="str">
        <f t="shared" si="0"/>
        <v/>
      </c>
      <c r="V40" s="819"/>
      <c r="W40" s="819"/>
      <c r="X40" s="818"/>
      <c r="Y40" s="823">
        <v>0.4375</v>
      </c>
      <c r="Z40" s="818"/>
      <c r="AA40" s="823">
        <v>0.46597222222222201</v>
      </c>
      <c r="AB40" s="823">
        <f t="shared" si="1"/>
        <v>2.847222222222201E-2</v>
      </c>
      <c r="AC40" s="819">
        <v>37</v>
      </c>
      <c r="AD40" s="819"/>
      <c r="AE40" s="818"/>
      <c r="AF40" s="818"/>
      <c r="AG40" s="818"/>
      <c r="AH40" s="818"/>
      <c r="AI40" s="818" t="str">
        <f t="shared" si="2"/>
        <v/>
      </c>
      <c r="AJ40" s="819"/>
      <c r="AK40" s="825"/>
      <c r="AL40" s="818"/>
      <c r="AM40" s="818"/>
      <c r="AN40" s="818"/>
      <c r="AO40" s="818" t="str">
        <f t="shared" si="3"/>
        <v/>
      </c>
      <c r="AP40" s="819"/>
      <c r="AQ40" s="819"/>
      <c r="AR40" s="818"/>
      <c r="AS40" s="818"/>
      <c r="AT40" s="818"/>
      <c r="AU40" s="818"/>
      <c r="AV40" s="818" t="str">
        <f t="shared" si="4"/>
        <v/>
      </c>
      <c r="AW40" s="819"/>
      <c r="AX40" s="819"/>
      <c r="AY40" s="818"/>
      <c r="AZ40" s="801"/>
      <c r="BA40" s="801"/>
      <c r="BB40" s="818" t="str">
        <f t="shared" si="5"/>
        <v/>
      </c>
      <c r="BC40" s="831"/>
      <c r="BD40" s="831"/>
      <c r="BE40" s="836"/>
      <c r="BF40" s="801"/>
      <c r="BG40" s="801"/>
      <c r="BH40" s="801"/>
      <c r="BI40" s="801"/>
      <c r="BJ40" s="801"/>
      <c r="BK40" s="838"/>
      <c r="BL40" s="801"/>
      <c r="BM40" s="837">
        <v>153</v>
      </c>
      <c r="BN40" s="853">
        <f t="shared" si="6"/>
        <v>8.6805555555555025E-2</v>
      </c>
      <c r="BO40" s="854">
        <f t="shared" si="7"/>
        <v>2.0833333333333206</v>
      </c>
      <c r="BP40" s="801"/>
      <c r="BQ40" s="837">
        <f t="shared" si="8"/>
        <v>153</v>
      </c>
      <c r="BR40" s="853">
        <f t="shared" ca="1" si="9"/>
        <v>0</v>
      </c>
      <c r="BS40" s="854">
        <f t="shared" ca="1" si="10"/>
        <v>0</v>
      </c>
      <c r="BT40" s="801"/>
      <c r="BU40" s="837">
        <f t="shared" si="11"/>
        <v>153</v>
      </c>
      <c r="BV40" s="855">
        <f t="shared" ca="1" si="12"/>
        <v>2.0833333333333206</v>
      </c>
      <c r="BW40" s="801"/>
      <c r="BX40" s="801"/>
      <c r="BY40" s="801"/>
    </row>
    <row r="41" spans="1:77" ht="15.75" customHeight="1">
      <c r="A41" s="968"/>
      <c r="B41" s="807"/>
      <c r="C41" s="807"/>
      <c r="D41" s="807"/>
      <c r="E41" s="807"/>
      <c r="F41" s="807"/>
      <c r="G41" s="807"/>
      <c r="H41" s="807"/>
      <c r="I41" s="824"/>
      <c r="J41" s="968"/>
      <c r="K41" s="818"/>
      <c r="L41" s="818"/>
      <c r="M41" s="818"/>
      <c r="N41" s="818" t="str">
        <f t="shared" si="13"/>
        <v/>
      </c>
      <c r="O41" s="819"/>
      <c r="P41" s="819"/>
      <c r="Q41" s="818"/>
      <c r="R41" s="818"/>
      <c r="S41" s="818"/>
      <c r="T41" s="818"/>
      <c r="U41" s="818" t="str">
        <f t="shared" si="0"/>
        <v/>
      </c>
      <c r="V41" s="819"/>
      <c r="W41" s="819"/>
      <c r="X41" s="818"/>
      <c r="Y41" s="818"/>
      <c r="Z41" s="818"/>
      <c r="AA41" s="818"/>
      <c r="AB41" s="818" t="str">
        <f t="shared" si="1"/>
        <v/>
      </c>
      <c r="AC41" s="819"/>
      <c r="AD41" s="819"/>
      <c r="AE41" s="818"/>
      <c r="AF41" s="818"/>
      <c r="AG41" s="818"/>
      <c r="AH41" s="818"/>
      <c r="AI41" s="818" t="str">
        <f t="shared" si="2"/>
        <v/>
      </c>
      <c r="AJ41" s="819"/>
      <c r="AK41" s="825"/>
      <c r="AL41" s="818"/>
      <c r="AM41" s="818"/>
      <c r="AN41" s="818"/>
      <c r="AO41" s="818" t="str">
        <f t="shared" si="3"/>
        <v/>
      </c>
      <c r="AP41" s="819"/>
      <c r="AQ41" s="819"/>
      <c r="AR41" s="818"/>
      <c r="AS41" s="818"/>
      <c r="AT41" s="818"/>
      <c r="AU41" s="818"/>
      <c r="AV41" s="818" t="str">
        <f t="shared" si="4"/>
        <v/>
      </c>
      <c r="AW41" s="819"/>
      <c r="AX41" s="819"/>
      <c r="AY41" s="818"/>
      <c r="AZ41" s="801"/>
      <c r="BA41" s="801"/>
      <c r="BB41" s="818" t="str">
        <f t="shared" si="5"/>
        <v/>
      </c>
      <c r="BC41" s="831"/>
      <c r="BD41" s="831"/>
      <c r="BE41" s="839"/>
      <c r="BF41" s="841"/>
      <c r="BG41" s="841"/>
      <c r="BH41" s="841"/>
      <c r="BI41" s="841"/>
      <c r="BJ41" s="841"/>
      <c r="BK41" s="824"/>
      <c r="BL41" s="801"/>
      <c r="BM41" s="837">
        <v>161</v>
      </c>
      <c r="BN41" s="853">
        <f t="shared" si="6"/>
        <v>6.0416666666665952E-2</v>
      </c>
      <c r="BO41" s="854">
        <f t="shared" si="7"/>
        <v>1.4499999999999829</v>
      </c>
      <c r="BP41" s="801"/>
      <c r="BQ41" s="837">
        <f t="shared" si="8"/>
        <v>161</v>
      </c>
      <c r="BR41" s="853">
        <f t="shared" ca="1" si="9"/>
        <v>0</v>
      </c>
      <c r="BS41" s="854">
        <f t="shared" ca="1" si="10"/>
        <v>0</v>
      </c>
      <c r="BT41" s="801"/>
      <c r="BU41" s="837">
        <f t="shared" si="11"/>
        <v>161</v>
      </c>
      <c r="BV41" s="855">
        <f t="shared" ca="1" si="12"/>
        <v>1.4499999999999829</v>
      </c>
      <c r="BW41" s="801"/>
      <c r="BX41" s="801"/>
      <c r="BY41" s="801"/>
    </row>
    <row r="42" spans="1:77" ht="15.75" customHeight="1">
      <c r="A42" s="801"/>
      <c r="B42" s="818"/>
      <c r="C42" s="818"/>
      <c r="D42" s="818"/>
      <c r="E42" s="818"/>
      <c r="F42" s="818"/>
      <c r="G42" s="818"/>
      <c r="H42" s="818"/>
      <c r="I42" s="801"/>
      <c r="J42" s="801"/>
      <c r="K42" s="818"/>
      <c r="L42" s="818"/>
      <c r="M42" s="818"/>
      <c r="N42" s="818"/>
      <c r="O42" s="819"/>
      <c r="P42" s="819"/>
      <c r="Q42" s="818"/>
      <c r="R42" s="818"/>
      <c r="S42" s="818"/>
      <c r="T42" s="818"/>
      <c r="U42" s="818"/>
      <c r="V42" s="819"/>
      <c r="W42" s="819"/>
      <c r="X42" s="818"/>
      <c r="Y42" s="818"/>
      <c r="Z42" s="818"/>
      <c r="AA42" s="818"/>
      <c r="AB42" s="818"/>
      <c r="AC42" s="819"/>
      <c r="AD42" s="819"/>
      <c r="AE42" s="818"/>
      <c r="AF42" s="818"/>
      <c r="AG42" s="818"/>
      <c r="AH42" s="818"/>
      <c r="AI42" s="818"/>
      <c r="AJ42" s="819"/>
      <c r="AK42" s="825"/>
      <c r="AL42" s="818"/>
      <c r="AM42" s="818"/>
      <c r="AN42" s="818"/>
      <c r="AO42" s="818"/>
      <c r="AP42" s="819"/>
      <c r="AQ42" s="819"/>
      <c r="AR42" s="818"/>
      <c r="AS42" s="818"/>
      <c r="AT42" s="818"/>
      <c r="AU42" s="818"/>
      <c r="AV42" s="818"/>
      <c r="AW42" s="819"/>
      <c r="AX42" s="819"/>
      <c r="AY42" s="818"/>
      <c r="AZ42" s="801"/>
      <c r="BA42" s="801"/>
      <c r="BB42" s="801"/>
      <c r="BC42" s="831"/>
      <c r="BD42" s="831"/>
      <c r="BE42" s="801"/>
      <c r="BF42" s="801"/>
      <c r="BG42" s="801"/>
      <c r="BH42" s="801"/>
      <c r="BI42" s="801"/>
      <c r="BJ42" s="801"/>
      <c r="BK42" s="801"/>
      <c r="BL42" s="801"/>
      <c r="BM42" s="837">
        <v>178</v>
      </c>
      <c r="BN42" s="853">
        <f t="shared" si="6"/>
        <v>0.15277777777777696</v>
      </c>
      <c r="BO42" s="854">
        <f t="shared" si="7"/>
        <v>3.666666666666647</v>
      </c>
      <c r="BP42" s="801"/>
      <c r="BQ42" s="837">
        <f t="shared" si="8"/>
        <v>178</v>
      </c>
      <c r="BR42" s="853">
        <f t="shared" ca="1" si="9"/>
        <v>0</v>
      </c>
      <c r="BS42" s="854">
        <f t="shared" ca="1" si="10"/>
        <v>0</v>
      </c>
      <c r="BT42" s="801"/>
      <c r="BU42" s="837">
        <f t="shared" si="11"/>
        <v>178</v>
      </c>
      <c r="BV42" s="855">
        <f t="shared" ca="1" si="12"/>
        <v>3.666666666666647</v>
      </c>
      <c r="BW42" s="801"/>
      <c r="BX42" s="801"/>
      <c r="BY42" s="801"/>
    </row>
    <row r="43" spans="1:77" ht="15.75" customHeight="1">
      <c r="A43" s="801"/>
      <c r="B43" s="818"/>
      <c r="C43" s="818"/>
      <c r="D43" s="818"/>
      <c r="E43" s="818"/>
      <c r="F43" s="818"/>
      <c r="G43" s="818"/>
      <c r="H43" s="818"/>
      <c r="I43" s="801"/>
      <c r="J43" s="801"/>
      <c r="K43" s="818"/>
      <c r="L43" s="818"/>
      <c r="M43" s="818"/>
      <c r="N43" s="818">
        <v>18.2</v>
      </c>
      <c r="O43" s="819"/>
      <c r="P43" s="819"/>
      <c r="Q43" s="818"/>
      <c r="R43" s="818"/>
      <c r="S43" s="818"/>
      <c r="T43" s="818"/>
      <c r="U43" s="818">
        <v>17.25</v>
      </c>
      <c r="V43" s="819"/>
      <c r="W43" s="819"/>
      <c r="X43" s="818"/>
      <c r="Y43" s="818"/>
      <c r="Z43" s="818"/>
      <c r="AA43" s="818"/>
      <c r="AB43" s="818">
        <v>30.25</v>
      </c>
      <c r="AC43" s="819"/>
      <c r="AD43" s="819"/>
      <c r="AE43" s="818"/>
      <c r="AF43" s="818"/>
      <c r="AG43" s="818"/>
      <c r="AH43" s="818"/>
      <c r="AI43" s="818">
        <v>26.48</v>
      </c>
      <c r="AJ43" s="819"/>
      <c r="AK43" s="825"/>
      <c r="AL43" s="818"/>
      <c r="AM43" s="818"/>
      <c r="AN43" s="818"/>
      <c r="AO43" s="818">
        <v>45.02</v>
      </c>
      <c r="AP43" s="819"/>
      <c r="AQ43" s="819"/>
      <c r="AR43" s="818"/>
      <c r="AS43" s="818"/>
      <c r="AT43" s="818"/>
      <c r="AU43" s="818"/>
      <c r="AV43" s="818">
        <v>6</v>
      </c>
      <c r="AW43" s="819"/>
      <c r="AX43" s="819"/>
      <c r="AY43" s="818"/>
      <c r="AZ43" s="818"/>
      <c r="BA43" s="818"/>
      <c r="BB43" s="818">
        <v>3</v>
      </c>
      <c r="BC43" s="831"/>
      <c r="BD43" s="831"/>
      <c r="BE43" s="801"/>
      <c r="BF43" s="801"/>
      <c r="BG43" s="801"/>
      <c r="BH43" s="801"/>
      <c r="BI43" s="801"/>
      <c r="BJ43" s="801"/>
      <c r="BK43" s="801"/>
      <c r="BL43" s="801"/>
      <c r="BM43" s="837">
        <v>181</v>
      </c>
      <c r="BN43" s="853">
        <f t="shared" si="6"/>
        <v>0</v>
      </c>
      <c r="BO43" s="854">
        <f t="shared" si="7"/>
        <v>0</v>
      </c>
      <c r="BP43" s="801"/>
      <c r="BQ43" s="837">
        <f t="shared" si="8"/>
        <v>181</v>
      </c>
      <c r="BR43" s="853">
        <f t="shared" ca="1" si="9"/>
        <v>0</v>
      </c>
      <c r="BS43" s="854">
        <f t="shared" ca="1" si="10"/>
        <v>0</v>
      </c>
      <c r="BT43" s="801"/>
      <c r="BU43" s="837">
        <f t="shared" si="11"/>
        <v>181</v>
      </c>
      <c r="BV43" s="855">
        <f t="shared" ca="1" si="12"/>
        <v>0</v>
      </c>
      <c r="BW43" s="801"/>
      <c r="BX43" s="801"/>
      <c r="BY43" s="801"/>
    </row>
    <row r="44" spans="1:77" ht="15.75" customHeight="1">
      <c r="A44" s="801"/>
      <c r="B44" s="818"/>
      <c r="C44" s="818"/>
      <c r="D44" s="818"/>
      <c r="E44" s="818"/>
      <c r="F44" s="818"/>
      <c r="G44" s="818"/>
      <c r="H44" s="818"/>
      <c r="I44" s="801"/>
      <c r="J44" s="801"/>
      <c r="K44" s="818"/>
      <c r="L44" s="818"/>
      <c r="M44" s="818"/>
      <c r="N44" s="818"/>
      <c r="O44" s="819"/>
      <c r="P44" s="819"/>
      <c r="Q44" s="818"/>
      <c r="R44" s="818"/>
      <c r="S44" s="818"/>
      <c r="T44" s="818"/>
      <c r="U44" s="818"/>
      <c r="V44" s="819"/>
      <c r="W44" s="819"/>
      <c r="X44" s="818"/>
      <c r="Y44" s="818"/>
      <c r="Z44" s="818"/>
      <c r="AA44" s="818"/>
      <c r="AB44" s="818"/>
      <c r="AC44" s="819"/>
      <c r="AD44" s="819"/>
      <c r="AE44" s="818"/>
      <c r="AF44" s="818"/>
      <c r="AG44" s="818"/>
      <c r="AH44" s="818"/>
      <c r="AI44" s="818"/>
      <c r="AJ44" s="819"/>
      <c r="AK44" s="825"/>
      <c r="AL44" s="818"/>
      <c r="AM44" s="818"/>
      <c r="AN44" s="818"/>
      <c r="AO44" s="818"/>
      <c r="AP44" s="819"/>
      <c r="AQ44" s="819"/>
      <c r="AR44" s="818"/>
      <c r="AS44" s="818"/>
      <c r="AT44" s="818"/>
      <c r="AU44" s="818"/>
      <c r="AV44" s="818"/>
      <c r="AW44" s="819"/>
      <c r="AX44" s="819"/>
      <c r="AY44" s="818"/>
      <c r="AZ44" s="801"/>
      <c r="BA44" s="801"/>
      <c r="BB44" s="801"/>
      <c r="BC44" s="831"/>
      <c r="BD44" s="831"/>
      <c r="BE44" s="801"/>
      <c r="BF44" s="801"/>
      <c r="BG44" s="801"/>
      <c r="BH44" s="801"/>
      <c r="BI44" s="801"/>
      <c r="BJ44" s="801"/>
      <c r="BK44" s="801"/>
      <c r="BL44" s="801"/>
      <c r="BM44" s="837">
        <v>186</v>
      </c>
      <c r="BN44" s="853">
        <f t="shared" si="6"/>
        <v>0</v>
      </c>
      <c r="BO44" s="854">
        <f t="shared" si="7"/>
        <v>0</v>
      </c>
      <c r="BP44" s="801"/>
      <c r="BQ44" s="837">
        <f t="shared" si="8"/>
        <v>186</v>
      </c>
      <c r="BR44" s="853">
        <f t="shared" ca="1" si="9"/>
        <v>0</v>
      </c>
      <c r="BS44" s="854">
        <f t="shared" ca="1" si="10"/>
        <v>0</v>
      </c>
      <c r="BT44" s="801"/>
      <c r="BU44" s="837">
        <f t="shared" si="11"/>
        <v>186</v>
      </c>
      <c r="BV44" s="855">
        <f t="shared" ca="1" si="12"/>
        <v>0</v>
      </c>
      <c r="BW44" s="801"/>
      <c r="BX44" s="801"/>
      <c r="BY44" s="801"/>
    </row>
    <row r="45" spans="1:77" ht="15.75" customHeight="1">
      <c r="A45" s="801"/>
      <c r="B45" s="818"/>
      <c r="C45" s="818"/>
      <c r="D45" s="818"/>
      <c r="E45" s="818"/>
      <c r="F45" s="818"/>
      <c r="G45" s="818"/>
      <c r="H45" s="818"/>
      <c r="I45" s="801"/>
      <c r="J45" s="801"/>
      <c r="K45" s="818"/>
      <c r="L45" s="818"/>
      <c r="M45" s="818" t="s">
        <v>242</v>
      </c>
      <c r="N45" s="818">
        <v>146.19999999999999</v>
      </c>
      <c r="O45" s="819"/>
      <c r="P45" s="819"/>
      <c r="Q45" s="818"/>
      <c r="R45" s="818"/>
      <c r="S45" s="818"/>
      <c r="T45" s="818"/>
      <c r="U45" s="818"/>
      <c r="V45" s="819"/>
      <c r="W45" s="819"/>
      <c r="X45" s="818"/>
      <c r="Y45" s="818"/>
      <c r="Z45" s="818"/>
      <c r="AA45" s="818"/>
      <c r="AB45" s="818"/>
      <c r="AC45" s="819"/>
      <c r="AD45" s="819"/>
      <c r="AE45" s="818"/>
      <c r="AF45" s="818"/>
      <c r="AG45" s="818"/>
      <c r="AH45" s="818"/>
      <c r="AI45" s="818"/>
      <c r="AJ45" s="819"/>
      <c r="AK45" s="825"/>
      <c r="AL45" s="818"/>
      <c r="AM45" s="818"/>
      <c r="AN45" s="818"/>
      <c r="AO45" s="818"/>
      <c r="AP45" s="819"/>
      <c r="AQ45" s="819"/>
      <c r="AR45" s="818"/>
      <c r="AS45" s="818"/>
      <c r="AT45" s="818"/>
      <c r="AU45" s="818"/>
      <c r="AV45" s="818"/>
      <c r="AW45" s="819"/>
      <c r="AX45" s="819"/>
      <c r="AY45" s="818"/>
      <c r="AZ45" s="801"/>
      <c r="BA45" s="801"/>
      <c r="BB45" s="801"/>
      <c r="BC45" s="831"/>
      <c r="BD45" s="831"/>
      <c r="BE45" s="801"/>
      <c r="BF45" s="801"/>
      <c r="BG45" s="801"/>
      <c r="BH45" s="801"/>
      <c r="BI45" s="801"/>
      <c r="BJ45" s="801"/>
      <c r="BK45" s="801"/>
      <c r="BL45" s="801"/>
      <c r="BM45" s="837">
        <v>190</v>
      </c>
      <c r="BN45" s="853">
        <f t="shared" si="6"/>
        <v>0</v>
      </c>
      <c r="BO45" s="854">
        <f t="shared" si="7"/>
        <v>0</v>
      </c>
      <c r="BP45" s="801"/>
      <c r="BQ45" s="837">
        <f t="shared" si="8"/>
        <v>190</v>
      </c>
      <c r="BR45" s="853">
        <f t="shared" ca="1" si="9"/>
        <v>0</v>
      </c>
      <c r="BS45" s="854">
        <f t="shared" ca="1" si="10"/>
        <v>0</v>
      </c>
      <c r="BT45" s="801"/>
      <c r="BU45" s="837">
        <f t="shared" si="11"/>
        <v>190</v>
      </c>
      <c r="BV45" s="855">
        <f t="shared" ca="1" si="12"/>
        <v>0</v>
      </c>
      <c r="BW45" s="801"/>
      <c r="BX45" s="801"/>
      <c r="BY45" s="801"/>
    </row>
    <row r="46" spans="1:77" ht="15.75" customHeight="1">
      <c r="A46" s="801"/>
      <c r="B46" s="818"/>
      <c r="C46" s="818"/>
      <c r="D46" s="818"/>
      <c r="E46" s="818"/>
      <c r="F46" s="818"/>
      <c r="G46" s="818"/>
      <c r="H46" s="818"/>
      <c r="I46" s="801"/>
      <c r="J46" s="801"/>
      <c r="K46" s="818"/>
      <c r="L46" s="818"/>
      <c r="M46" s="818"/>
      <c r="N46" s="818"/>
      <c r="O46" s="819"/>
      <c r="P46" s="819"/>
      <c r="Q46" s="818"/>
      <c r="R46" s="818"/>
      <c r="S46" s="818"/>
      <c r="T46" s="818"/>
      <c r="U46" s="818"/>
      <c r="V46" s="819"/>
      <c r="W46" s="819"/>
      <c r="X46" s="818"/>
      <c r="Y46" s="818"/>
      <c r="Z46" s="818"/>
      <c r="AA46" s="818"/>
      <c r="AB46" s="818"/>
      <c r="AC46" s="819"/>
      <c r="AD46" s="819"/>
      <c r="AE46" s="818"/>
      <c r="AF46" s="818"/>
      <c r="AG46" s="818"/>
      <c r="AH46" s="818"/>
      <c r="AI46" s="818"/>
      <c r="AJ46" s="819"/>
      <c r="AK46" s="825"/>
      <c r="AL46" s="818"/>
      <c r="AM46" s="818"/>
      <c r="AN46" s="818"/>
      <c r="AO46" s="818"/>
      <c r="AP46" s="819"/>
      <c r="AQ46" s="819"/>
      <c r="AR46" s="818"/>
      <c r="AS46" s="818"/>
      <c r="AT46" s="818"/>
      <c r="AU46" s="818"/>
      <c r="AV46" s="818"/>
      <c r="AW46" s="819"/>
      <c r="AX46" s="819"/>
      <c r="AY46" s="818"/>
      <c r="AZ46" s="801"/>
      <c r="BA46" s="801"/>
      <c r="BB46" s="801"/>
      <c r="BC46" s="831"/>
      <c r="BD46" s="831"/>
      <c r="BE46" s="801"/>
      <c r="BF46" s="801"/>
      <c r="BG46" s="801"/>
      <c r="BH46" s="801"/>
      <c r="BI46" s="801"/>
      <c r="BJ46" s="801"/>
      <c r="BK46" s="801"/>
      <c r="BL46" s="801"/>
      <c r="BM46" s="837">
        <v>196</v>
      </c>
      <c r="BN46" s="853">
        <f t="shared" si="6"/>
        <v>0</v>
      </c>
      <c r="BO46" s="854">
        <f t="shared" si="7"/>
        <v>0</v>
      </c>
      <c r="BP46" s="801"/>
      <c r="BQ46" s="837">
        <f t="shared" si="8"/>
        <v>196</v>
      </c>
      <c r="BR46" s="853">
        <f t="shared" ca="1" si="9"/>
        <v>0</v>
      </c>
      <c r="BS46" s="854">
        <f t="shared" ca="1" si="10"/>
        <v>0</v>
      </c>
      <c r="BT46" s="801"/>
      <c r="BU46" s="837">
        <f t="shared" si="11"/>
        <v>196</v>
      </c>
      <c r="BV46" s="855">
        <f t="shared" ca="1" si="12"/>
        <v>0</v>
      </c>
      <c r="BW46" s="801"/>
      <c r="BX46" s="801"/>
      <c r="BY46" s="801"/>
    </row>
    <row r="47" spans="1:77" ht="15.75" customHeight="1">
      <c r="A47" s="801"/>
      <c r="B47" s="818"/>
      <c r="C47" s="818"/>
      <c r="D47" s="818"/>
      <c r="E47" s="818"/>
      <c r="F47" s="818"/>
      <c r="G47" s="818"/>
      <c r="H47" s="818"/>
      <c r="I47" s="801"/>
      <c r="J47" s="801"/>
      <c r="K47" s="818"/>
      <c r="L47" s="818"/>
      <c r="M47" s="818"/>
      <c r="N47" s="818"/>
      <c r="O47" s="819"/>
      <c r="P47" s="819"/>
      <c r="Q47" s="818"/>
      <c r="R47" s="818"/>
      <c r="S47" s="818"/>
      <c r="T47" s="818"/>
      <c r="U47" s="818"/>
      <c r="V47" s="819"/>
      <c r="W47" s="819"/>
      <c r="X47" s="818"/>
      <c r="Y47" s="818"/>
      <c r="Z47" s="818"/>
      <c r="AA47" s="818"/>
      <c r="AB47" s="818"/>
      <c r="AC47" s="819"/>
      <c r="AD47" s="819"/>
      <c r="AE47" s="818"/>
      <c r="AF47" s="818"/>
      <c r="AG47" s="818"/>
      <c r="AH47" s="818"/>
      <c r="AI47" s="818"/>
      <c r="AJ47" s="819"/>
      <c r="AK47" s="825"/>
      <c r="AL47" s="818"/>
      <c r="AM47" s="818"/>
      <c r="AN47" s="818"/>
      <c r="AO47" s="818"/>
      <c r="AP47" s="819"/>
      <c r="AQ47" s="819"/>
      <c r="AR47" s="818"/>
      <c r="AS47" s="818"/>
      <c r="AT47" s="818"/>
      <c r="AU47" s="818"/>
      <c r="AV47" s="818"/>
      <c r="AW47" s="819"/>
      <c r="AX47" s="819"/>
      <c r="AY47" s="818"/>
      <c r="AZ47" s="801"/>
      <c r="BA47" s="801"/>
      <c r="BB47" s="801"/>
      <c r="BC47" s="831"/>
      <c r="BD47" s="831"/>
      <c r="BE47" s="801"/>
      <c r="BF47" s="801"/>
      <c r="BG47" s="801"/>
      <c r="BH47" s="801"/>
      <c r="BI47" s="801"/>
      <c r="BJ47" s="801"/>
      <c r="BK47" s="801"/>
      <c r="BL47" s="801"/>
      <c r="BM47" s="837">
        <v>197</v>
      </c>
      <c r="BN47" s="853">
        <f t="shared" si="6"/>
        <v>0</v>
      </c>
      <c r="BO47" s="854">
        <f t="shared" si="7"/>
        <v>0</v>
      </c>
      <c r="BP47" s="801"/>
      <c r="BQ47" s="837">
        <f t="shared" si="8"/>
        <v>197</v>
      </c>
      <c r="BR47" s="853">
        <f t="shared" ca="1" si="9"/>
        <v>0</v>
      </c>
      <c r="BS47" s="854">
        <f t="shared" ca="1" si="10"/>
        <v>0</v>
      </c>
      <c r="BT47" s="801"/>
      <c r="BU47" s="837">
        <f t="shared" si="11"/>
        <v>197</v>
      </c>
      <c r="BV47" s="855">
        <f t="shared" ca="1" si="12"/>
        <v>0</v>
      </c>
      <c r="BW47" s="801"/>
      <c r="BX47" s="801"/>
      <c r="BY47" s="801"/>
    </row>
    <row r="48" spans="1:77" ht="15.75" customHeight="1">
      <c r="A48" s="801"/>
      <c r="B48" s="818"/>
      <c r="C48" s="818"/>
      <c r="D48" s="818"/>
      <c r="E48" s="818"/>
      <c r="F48" s="818"/>
      <c r="G48" s="818"/>
      <c r="H48" s="818"/>
      <c r="I48" s="801"/>
      <c r="J48" s="801"/>
      <c r="K48" s="818"/>
      <c r="L48" s="818"/>
      <c r="M48" s="818"/>
      <c r="N48" s="818"/>
      <c r="O48" s="819"/>
      <c r="P48" s="819"/>
      <c r="Q48" s="818"/>
      <c r="R48" s="818"/>
      <c r="S48" s="818"/>
      <c r="T48" s="818"/>
      <c r="U48" s="818"/>
      <c r="V48" s="819"/>
      <c r="W48" s="819"/>
      <c r="X48" s="818"/>
      <c r="Y48" s="818"/>
      <c r="Z48" s="818"/>
      <c r="AA48" s="818"/>
      <c r="AB48" s="818"/>
      <c r="AC48" s="819"/>
      <c r="AD48" s="819"/>
      <c r="AE48" s="818"/>
      <c r="AF48" s="818"/>
      <c r="AG48" s="818"/>
      <c r="AH48" s="818"/>
      <c r="AI48" s="818"/>
      <c r="AJ48" s="819"/>
      <c r="AK48" s="825"/>
      <c r="AL48" s="818"/>
      <c r="AM48" s="818"/>
      <c r="AN48" s="818"/>
      <c r="AO48" s="818"/>
      <c r="AP48" s="819"/>
      <c r="AQ48" s="819"/>
      <c r="AR48" s="818"/>
      <c r="AS48" s="818"/>
      <c r="AT48" s="818"/>
      <c r="AU48" s="818"/>
      <c r="AV48" s="818"/>
      <c r="AW48" s="819"/>
      <c r="AX48" s="819"/>
      <c r="AY48" s="818"/>
      <c r="AZ48" s="801"/>
      <c r="BA48" s="801"/>
      <c r="BB48" s="801"/>
      <c r="BC48" s="831"/>
      <c r="BD48" s="831"/>
      <c r="BE48" s="801"/>
      <c r="BF48" s="801"/>
      <c r="BG48" s="801"/>
      <c r="BH48" s="801"/>
      <c r="BI48" s="801"/>
      <c r="BJ48" s="801"/>
      <c r="BK48" s="801"/>
      <c r="BL48" s="801"/>
      <c r="BM48" s="837">
        <v>198</v>
      </c>
      <c r="BN48" s="853">
        <f t="shared" si="6"/>
        <v>0.16041666666666698</v>
      </c>
      <c r="BO48" s="854">
        <f t="shared" si="7"/>
        <v>3.8500000000000076</v>
      </c>
      <c r="BP48" s="801"/>
      <c r="BQ48" s="837">
        <f t="shared" si="8"/>
        <v>198</v>
      </c>
      <c r="BR48" s="853">
        <f t="shared" ca="1" si="9"/>
        <v>9.2361111111111005E-2</v>
      </c>
      <c r="BS48" s="854">
        <f t="shared" ca="1" si="10"/>
        <v>2.2166666666666641</v>
      </c>
      <c r="BT48" s="801"/>
      <c r="BU48" s="837">
        <f t="shared" si="11"/>
        <v>198</v>
      </c>
      <c r="BV48" s="855">
        <f t="shared" ca="1" si="12"/>
        <v>6.0666666666666718</v>
      </c>
      <c r="BW48" s="801"/>
      <c r="BX48" s="801"/>
      <c r="BY48" s="801"/>
    </row>
    <row r="49" spans="1:77" ht="15.75" customHeight="1">
      <c r="A49" s="801"/>
      <c r="B49" s="818"/>
      <c r="C49" s="818"/>
      <c r="D49" s="818"/>
      <c r="E49" s="818"/>
      <c r="F49" s="818"/>
      <c r="G49" s="818"/>
      <c r="H49" s="818"/>
      <c r="I49" s="801"/>
      <c r="J49" s="801"/>
      <c r="K49" s="818"/>
      <c r="L49" s="818"/>
      <c r="M49" s="818"/>
      <c r="N49" s="818"/>
      <c r="O49" s="819"/>
      <c r="P49" s="819"/>
      <c r="Q49" s="818"/>
      <c r="R49" s="818"/>
      <c r="S49" s="818"/>
      <c r="T49" s="818"/>
      <c r="U49" s="818"/>
      <c r="V49" s="819"/>
      <c r="W49" s="819"/>
      <c r="X49" s="818"/>
      <c r="Y49" s="818"/>
      <c r="Z49" s="818"/>
      <c r="AA49" s="818"/>
      <c r="AB49" s="818"/>
      <c r="AC49" s="819"/>
      <c r="AD49" s="819"/>
      <c r="AE49" s="818"/>
      <c r="AF49" s="818"/>
      <c r="AG49" s="818"/>
      <c r="AH49" s="818"/>
      <c r="AI49" s="818"/>
      <c r="AJ49" s="819"/>
      <c r="AK49" s="825"/>
      <c r="AL49" s="818"/>
      <c r="AM49" s="818"/>
      <c r="AN49" s="818"/>
      <c r="AO49" s="818"/>
      <c r="AP49" s="819"/>
      <c r="AQ49" s="819"/>
      <c r="AR49" s="818"/>
      <c r="AS49" s="818"/>
      <c r="AT49" s="818"/>
      <c r="AU49" s="818"/>
      <c r="AV49" s="818"/>
      <c r="AW49" s="819"/>
      <c r="AX49" s="819"/>
      <c r="AY49" s="818"/>
      <c r="AZ49" s="801"/>
      <c r="BA49" s="801"/>
      <c r="BB49" s="801"/>
      <c r="BC49" s="831"/>
      <c r="BD49" s="831"/>
      <c r="BE49" s="801"/>
      <c r="BF49" s="801"/>
      <c r="BG49" s="801"/>
      <c r="BH49" s="801"/>
      <c r="BI49" s="801"/>
      <c r="BJ49" s="801"/>
      <c r="BK49" s="801"/>
      <c r="BL49" s="801"/>
      <c r="BM49" s="837">
        <v>201</v>
      </c>
      <c r="BN49" s="853">
        <f t="shared" si="6"/>
        <v>6.0416666666667007E-2</v>
      </c>
      <c r="BO49" s="854">
        <f t="shared" si="7"/>
        <v>1.4500000000000082</v>
      </c>
      <c r="BP49" s="801"/>
      <c r="BQ49" s="837">
        <f t="shared" si="8"/>
        <v>201</v>
      </c>
      <c r="BR49" s="853">
        <f t="shared" ca="1" si="9"/>
        <v>0</v>
      </c>
      <c r="BS49" s="854">
        <f t="shared" ca="1" si="10"/>
        <v>0</v>
      </c>
      <c r="BT49" s="801"/>
      <c r="BU49" s="837">
        <f t="shared" si="11"/>
        <v>201</v>
      </c>
      <c r="BV49" s="855">
        <f t="shared" ca="1" si="12"/>
        <v>1.4500000000000082</v>
      </c>
      <c r="BW49" s="801"/>
      <c r="BX49" s="801"/>
      <c r="BY49" s="801"/>
    </row>
    <row r="50" spans="1:77" ht="15.75" customHeight="1">
      <c r="A50" s="801"/>
      <c r="B50" s="818"/>
      <c r="C50" s="818"/>
      <c r="D50" s="818"/>
      <c r="E50" s="818"/>
      <c r="F50" s="818"/>
      <c r="G50" s="818"/>
      <c r="H50" s="818"/>
      <c r="I50" s="801"/>
      <c r="J50" s="801"/>
      <c r="K50" s="818"/>
      <c r="L50" s="818"/>
      <c r="M50" s="818"/>
      <c r="N50" s="818"/>
      <c r="O50" s="819"/>
      <c r="P50" s="819"/>
      <c r="Q50" s="818"/>
      <c r="R50" s="818"/>
      <c r="S50" s="818"/>
      <c r="T50" s="818"/>
      <c r="U50" s="818"/>
      <c r="V50" s="819"/>
      <c r="W50" s="819"/>
      <c r="X50" s="818"/>
      <c r="Y50" s="818"/>
      <c r="Z50" s="818"/>
      <c r="AA50" s="818"/>
      <c r="AB50" s="818"/>
      <c r="AC50" s="819"/>
      <c r="AD50" s="819"/>
      <c r="AE50" s="818"/>
      <c r="AF50" s="818"/>
      <c r="AG50" s="818"/>
      <c r="AH50" s="818"/>
      <c r="AI50" s="818"/>
      <c r="AJ50" s="819"/>
      <c r="AK50" s="825"/>
      <c r="AL50" s="818"/>
      <c r="AM50" s="818"/>
      <c r="AN50" s="818"/>
      <c r="AO50" s="818"/>
      <c r="AP50" s="819"/>
      <c r="AQ50" s="819"/>
      <c r="AR50" s="818"/>
      <c r="AS50" s="818"/>
      <c r="AT50" s="818"/>
      <c r="AU50" s="818"/>
      <c r="AV50" s="818"/>
      <c r="AW50" s="819"/>
      <c r="AX50" s="819"/>
      <c r="AY50" s="818"/>
      <c r="AZ50" s="801"/>
      <c r="BA50" s="801"/>
      <c r="BB50" s="801"/>
      <c r="BC50" s="831"/>
      <c r="BD50" s="831"/>
      <c r="BE50" s="801"/>
      <c r="BF50" s="801"/>
      <c r="BG50" s="801"/>
      <c r="BH50" s="801"/>
      <c r="BI50" s="801"/>
      <c r="BJ50" s="801"/>
      <c r="BK50" s="801"/>
      <c r="BL50" s="801"/>
      <c r="BM50" s="837">
        <v>202</v>
      </c>
      <c r="BN50" s="853">
        <f t="shared" si="6"/>
        <v>0.15486111111111101</v>
      </c>
      <c r="BO50" s="854">
        <f t="shared" si="7"/>
        <v>3.7166666666666641</v>
      </c>
      <c r="BP50" s="801"/>
      <c r="BQ50" s="837">
        <f t="shared" si="8"/>
        <v>202</v>
      </c>
      <c r="BR50" s="853">
        <f t="shared" ca="1" si="9"/>
        <v>0</v>
      </c>
      <c r="BS50" s="854">
        <f t="shared" ca="1" si="10"/>
        <v>0</v>
      </c>
      <c r="BT50" s="801"/>
      <c r="BU50" s="837">
        <f t="shared" si="11"/>
        <v>202</v>
      </c>
      <c r="BV50" s="855">
        <f t="shared" ca="1" si="12"/>
        <v>3.7166666666666641</v>
      </c>
      <c r="BW50" s="801"/>
      <c r="BX50" s="801"/>
      <c r="BY50" s="801"/>
    </row>
    <row r="51" spans="1:77" ht="15.75" customHeight="1">
      <c r="A51" s="801"/>
      <c r="B51" s="818"/>
      <c r="C51" s="818"/>
      <c r="D51" s="818"/>
      <c r="E51" s="818"/>
      <c r="F51" s="818"/>
      <c r="G51" s="818"/>
      <c r="H51" s="818"/>
      <c r="I51" s="801"/>
      <c r="J51" s="801"/>
      <c r="K51" s="818"/>
      <c r="L51" s="818"/>
      <c r="M51" s="818"/>
      <c r="N51" s="818"/>
      <c r="O51" s="819"/>
      <c r="P51" s="819"/>
      <c r="Q51" s="818"/>
      <c r="R51" s="818"/>
      <c r="S51" s="818"/>
      <c r="T51" s="818"/>
      <c r="U51" s="818"/>
      <c r="V51" s="819"/>
      <c r="W51" s="819"/>
      <c r="X51" s="818"/>
      <c r="Y51" s="818"/>
      <c r="Z51" s="818"/>
      <c r="AA51" s="818"/>
      <c r="AB51" s="818"/>
      <c r="AC51" s="819"/>
      <c r="AD51" s="819"/>
      <c r="AE51" s="818"/>
      <c r="AF51" s="818"/>
      <c r="AG51" s="818"/>
      <c r="AH51" s="818"/>
      <c r="AI51" s="818"/>
      <c r="AJ51" s="819"/>
      <c r="AK51" s="825"/>
      <c r="AL51" s="818"/>
      <c r="AM51" s="818"/>
      <c r="AN51" s="818"/>
      <c r="AO51" s="818"/>
      <c r="AP51" s="819"/>
      <c r="AQ51" s="819"/>
      <c r="AR51" s="818"/>
      <c r="AS51" s="818"/>
      <c r="AT51" s="818"/>
      <c r="AU51" s="818"/>
      <c r="AV51" s="818"/>
      <c r="AW51" s="819"/>
      <c r="AX51" s="819"/>
      <c r="AY51" s="818"/>
      <c r="AZ51" s="801"/>
      <c r="BA51" s="801"/>
      <c r="BB51" s="801"/>
      <c r="BC51" s="831"/>
      <c r="BD51" s="831"/>
      <c r="BE51" s="801"/>
      <c r="BF51" s="801"/>
      <c r="BG51" s="801"/>
      <c r="BH51" s="801"/>
      <c r="BI51" s="801"/>
      <c r="BJ51" s="801"/>
      <c r="BK51" s="801"/>
      <c r="BL51" s="801"/>
      <c r="BM51" s="837">
        <v>203</v>
      </c>
      <c r="BN51" s="853">
        <f t="shared" si="6"/>
        <v>0.54374999999999907</v>
      </c>
      <c r="BO51" s="854">
        <f t="shared" si="7"/>
        <v>13.049999999999978</v>
      </c>
      <c r="BP51" s="801"/>
      <c r="BQ51" s="837">
        <f t="shared" si="8"/>
        <v>203</v>
      </c>
      <c r="BR51" s="853">
        <f t="shared" ca="1" si="9"/>
        <v>0</v>
      </c>
      <c r="BS51" s="854">
        <f t="shared" ca="1" si="10"/>
        <v>0</v>
      </c>
      <c r="BT51" s="801"/>
      <c r="BU51" s="837">
        <f t="shared" si="11"/>
        <v>203</v>
      </c>
      <c r="BV51" s="855">
        <f t="shared" ca="1" si="12"/>
        <v>13.049999999999978</v>
      </c>
      <c r="BW51" s="801"/>
      <c r="BX51" s="801"/>
      <c r="BY51" s="801"/>
    </row>
    <row r="52" spans="1:77" ht="15.75" customHeight="1">
      <c r="A52" s="801"/>
      <c r="B52" s="818"/>
      <c r="C52" s="818"/>
      <c r="D52" s="818"/>
      <c r="E52" s="818"/>
      <c r="F52" s="818"/>
      <c r="G52" s="818"/>
      <c r="H52" s="818"/>
      <c r="I52" s="801"/>
      <c r="J52" s="801"/>
      <c r="K52" s="818"/>
      <c r="L52" s="818"/>
      <c r="M52" s="818"/>
      <c r="N52" s="818"/>
      <c r="O52" s="819"/>
      <c r="P52" s="819"/>
      <c r="Q52" s="818"/>
      <c r="R52" s="818"/>
      <c r="S52" s="818"/>
      <c r="T52" s="818"/>
      <c r="U52" s="818"/>
      <c r="V52" s="819"/>
      <c r="W52" s="819"/>
      <c r="X52" s="818"/>
      <c r="Y52" s="818"/>
      <c r="Z52" s="818"/>
      <c r="AA52" s="818"/>
      <c r="AB52" s="818"/>
      <c r="AC52" s="819"/>
      <c r="AD52" s="819"/>
      <c r="AE52" s="818"/>
      <c r="AF52" s="818"/>
      <c r="AG52" s="818"/>
      <c r="AH52" s="818"/>
      <c r="AI52" s="818"/>
      <c r="AJ52" s="819"/>
      <c r="AK52" s="825"/>
      <c r="AL52" s="818"/>
      <c r="AM52" s="818"/>
      <c r="AN52" s="818"/>
      <c r="AO52" s="818"/>
      <c r="AP52" s="819"/>
      <c r="AQ52" s="819"/>
      <c r="AR52" s="818"/>
      <c r="AS52" s="818"/>
      <c r="AT52" s="818"/>
      <c r="AU52" s="818"/>
      <c r="AV52" s="818"/>
      <c r="AW52" s="819"/>
      <c r="AX52" s="819"/>
      <c r="AY52" s="818"/>
      <c r="AZ52" s="801"/>
      <c r="BA52" s="801"/>
      <c r="BB52" s="801"/>
      <c r="BC52" s="831"/>
      <c r="BD52" s="831"/>
      <c r="BE52" s="801"/>
      <c r="BF52" s="801"/>
      <c r="BG52" s="801"/>
      <c r="BH52" s="801"/>
      <c r="BI52" s="801"/>
      <c r="BJ52" s="801"/>
      <c r="BK52" s="801"/>
      <c r="BL52" s="801"/>
      <c r="BM52" s="837">
        <v>204</v>
      </c>
      <c r="BN52" s="853">
        <f t="shared" si="6"/>
        <v>0</v>
      </c>
      <c r="BO52" s="854">
        <f t="shared" si="7"/>
        <v>0</v>
      </c>
      <c r="BP52" s="801"/>
      <c r="BQ52" s="837">
        <f t="shared" si="8"/>
        <v>204</v>
      </c>
      <c r="BR52" s="853">
        <f t="shared" ca="1" si="9"/>
        <v>0</v>
      </c>
      <c r="BS52" s="854">
        <f t="shared" ca="1" si="10"/>
        <v>0</v>
      </c>
      <c r="BT52" s="801"/>
      <c r="BU52" s="837">
        <f t="shared" si="11"/>
        <v>204</v>
      </c>
      <c r="BV52" s="855">
        <f t="shared" ca="1" si="12"/>
        <v>0</v>
      </c>
      <c r="BW52" s="801"/>
      <c r="BX52" s="801"/>
      <c r="BY52" s="801"/>
    </row>
    <row r="53" spans="1:77" ht="15.75" customHeight="1">
      <c r="A53" s="801"/>
      <c r="B53" s="818"/>
      <c r="C53" s="818"/>
      <c r="D53" s="818"/>
      <c r="E53" s="818"/>
      <c r="F53" s="818"/>
      <c r="G53" s="818"/>
      <c r="H53" s="818"/>
      <c r="I53" s="801"/>
      <c r="J53" s="801"/>
      <c r="K53" s="818"/>
      <c r="L53" s="818"/>
      <c r="M53" s="818"/>
      <c r="N53" s="818"/>
      <c r="O53" s="819"/>
      <c r="P53" s="819"/>
      <c r="Q53" s="818"/>
      <c r="R53" s="818"/>
      <c r="S53" s="818"/>
      <c r="T53" s="818"/>
      <c r="U53" s="818"/>
      <c r="V53" s="819"/>
      <c r="W53" s="819"/>
      <c r="X53" s="818"/>
      <c r="Y53" s="818"/>
      <c r="Z53" s="818"/>
      <c r="AA53" s="818"/>
      <c r="AB53" s="818"/>
      <c r="AC53" s="819"/>
      <c r="AD53" s="819"/>
      <c r="AE53" s="818"/>
      <c r="AF53" s="818"/>
      <c r="AG53" s="818"/>
      <c r="AH53" s="818"/>
      <c r="AI53" s="818"/>
      <c r="AJ53" s="819"/>
      <c r="AK53" s="825"/>
      <c r="AL53" s="818"/>
      <c r="AM53" s="818"/>
      <c r="AN53" s="818"/>
      <c r="AO53" s="818"/>
      <c r="AP53" s="819"/>
      <c r="AQ53" s="819"/>
      <c r="AR53" s="818"/>
      <c r="AS53" s="818"/>
      <c r="AT53" s="818"/>
      <c r="AU53" s="818"/>
      <c r="AV53" s="818"/>
      <c r="AW53" s="819"/>
      <c r="AX53" s="819"/>
      <c r="AY53" s="818"/>
      <c r="AZ53" s="801"/>
      <c r="BA53" s="801"/>
      <c r="BB53" s="801"/>
      <c r="BC53" s="831"/>
      <c r="BD53" s="831"/>
      <c r="BE53" s="801"/>
      <c r="BF53" s="801"/>
      <c r="BG53" s="801"/>
      <c r="BH53" s="801"/>
      <c r="BI53" s="801"/>
      <c r="BJ53" s="801"/>
      <c r="BK53" s="801"/>
      <c r="BL53" s="801"/>
      <c r="BM53" s="837">
        <v>205</v>
      </c>
      <c r="BN53" s="853">
        <f t="shared" si="6"/>
        <v>0</v>
      </c>
      <c r="BO53" s="854">
        <f t="shared" si="7"/>
        <v>0</v>
      </c>
      <c r="BP53" s="801"/>
      <c r="BQ53" s="837">
        <f t="shared" si="8"/>
        <v>205</v>
      </c>
      <c r="BR53" s="853">
        <f t="shared" ca="1" si="9"/>
        <v>0</v>
      </c>
      <c r="BS53" s="854">
        <f t="shared" ca="1" si="10"/>
        <v>0</v>
      </c>
      <c r="BT53" s="801"/>
      <c r="BU53" s="837">
        <f t="shared" si="11"/>
        <v>205</v>
      </c>
      <c r="BV53" s="855">
        <f t="shared" ca="1" si="12"/>
        <v>0</v>
      </c>
      <c r="BW53" s="801"/>
      <c r="BX53" s="801"/>
      <c r="BY53" s="801"/>
    </row>
    <row r="54" spans="1:77" ht="15.75" customHeight="1">
      <c r="A54" s="801"/>
      <c r="B54" s="818"/>
      <c r="C54" s="818"/>
      <c r="D54" s="818"/>
      <c r="E54" s="818"/>
      <c r="F54" s="818"/>
      <c r="G54" s="818"/>
      <c r="H54" s="818"/>
      <c r="I54" s="801"/>
      <c r="J54" s="801"/>
      <c r="K54" s="818"/>
      <c r="L54" s="818"/>
      <c r="M54" s="818"/>
      <c r="N54" s="818"/>
      <c r="O54" s="819"/>
      <c r="P54" s="819"/>
      <c r="Q54" s="818"/>
      <c r="R54" s="818"/>
      <c r="S54" s="818"/>
      <c r="T54" s="818"/>
      <c r="U54" s="818"/>
      <c r="V54" s="819"/>
      <c r="W54" s="819"/>
      <c r="X54" s="818"/>
      <c r="Y54" s="818"/>
      <c r="Z54" s="818"/>
      <c r="AA54" s="818"/>
      <c r="AB54" s="818"/>
      <c r="AC54" s="819"/>
      <c r="AD54" s="819"/>
      <c r="AE54" s="818"/>
      <c r="AF54" s="818"/>
      <c r="AG54" s="818"/>
      <c r="AH54" s="818"/>
      <c r="AI54" s="818"/>
      <c r="AJ54" s="819"/>
      <c r="AK54" s="825"/>
      <c r="AL54" s="818"/>
      <c r="AM54" s="818"/>
      <c r="AN54" s="818"/>
      <c r="AO54" s="818"/>
      <c r="AP54" s="819"/>
      <c r="AQ54" s="819"/>
      <c r="AR54" s="818"/>
      <c r="AS54" s="818"/>
      <c r="AT54" s="818"/>
      <c r="AU54" s="818"/>
      <c r="AV54" s="818"/>
      <c r="AW54" s="819"/>
      <c r="AX54" s="819"/>
      <c r="AY54" s="818"/>
      <c r="AZ54" s="801"/>
      <c r="BA54" s="801"/>
      <c r="BB54" s="801"/>
      <c r="BC54" s="831"/>
      <c r="BD54" s="831"/>
      <c r="BE54" s="801"/>
      <c r="BF54" s="801"/>
      <c r="BG54" s="801"/>
      <c r="BH54" s="801"/>
      <c r="BI54" s="801"/>
      <c r="BJ54" s="801"/>
      <c r="BK54" s="801"/>
      <c r="BL54" s="801"/>
      <c r="BM54" s="837">
        <v>206</v>
      </c>
      <c r="BN54" s="853">
        <f t="shared" si="6"/>
        <v>0</v>
      </c>
      <c r="BO54" s="854">
        <f t="shared" si="7"/>
        <v>0</v>
      </c>
      <c r="BP54" s="801"/>
      <c r="BQ54" s="837">
        <f t="shared" si="8"/>
        <v>206</v>
      </c>
      <c r="BR54" s="853">
        <f t="shared" ca="1" si="9"/>
        <v>0</v>
      </c>
      <c r="BS54" s="854">
        <f t="shared" ca="1" si="10"/>
        <v>0</v>
      </c>
      <c r="BT54" s="801"/>
      <c r="BU54" s="837">
        <f t="shared" si="11"/>
        <v>206</v>
      </c>
      <c r="BV54" s="855">
        <f t="shared" ca="1" si="12"/>
        <v>0</v>
      </c>
      <c r="BW54" s="801"/>
      <c r="BX54" s="801"/>
      <c r="BY54" s="801"/>
    </row>
    <row r="55" spans="1:77" ht="15.75" customHeight="1">
      <c r="A55" s="801"/>
      <c r="B55" s="818"/>
      <c r="C55" s="818"/>
      <c r="D55" s="818"/>
      <c r="E55" s="818"/>
      <c r="F55" s="818"/>
      <c r="G55" s="818"/>
      <c r="H55" s="818"/>
      <c r="I55" s="801"/>
      <c r="J55" s="801"/>
      <c r="K55" s="818"/>
      <c r="L55" s="818"/>
      <c r="M55" s="818"/>
      <c r="N55" s="818"/>
      <c r="O55" s="819"/>
      <c r="P55" s="819"/>
      <c r="Q55" s="818"/>
      <c r="R55" s="818"/>
      <c r="S55" s="818"/>
      <c r="T55" s="818"/>
      <c r="U55" s="818"/>
      <c r="V55" s="819"/>
      <c r="W55" s="819"/>
      <c r="X55" s="818"/>
      <c r="Y55" s="818"/>
      <c r="Z55" s="818"/>
      <c r="AA55" s="818"/>
      <c r="AB55" s="818"/>
      <c r="AC55" s="819"/>
      <c r="AD55" s="819"/>
      <c r="AE55" s="818"/>
      <c r="AF55" s="818"/>
      <c r="AG55" s="818"/>
      <c r="AH55" s="818"/>
      <c r="AI55" s="818"/>
      <c r="AJ55" s="819"/>
      <c r="AK55" s="825"/>
      <c r="AL55" s="818"/>
      <c r="AM55" s="818"/>
      <c r="AN55" s="818"/>
      <c r="AO55" s="818"/>
      <c r="AP55" s="819"/>
      <c r="AQ55" s="819"/>
      <c r="AR55" s="818"/>
      <c r="AS55" s="818"/>
      <c r="AT55" s="818"/>
      <c r="AU55" s="818"/>
      <c r="AV55" s="818"/>
      <c r="AW55" s="819"/>
      <c r="AX55" s="819"/>
      <c r="AY55" s="818"/>
      <c r="AZ55" s="801"/>
      <c r="BA55" s="801"/>
      <c r="BB55" s="801"/>
      <c r="BC55" s="831"/>
      <c r="BD55" s="831"/>
      <c r="BE55" s="801"/>
      <c r="BF55" s="801"/>
      <c r="BG55" s="801"/>
      <c r="BH55" s="801"/>
      <c r="BI55" s="801"/>
      <c r="BJ55" s="801"/>
      <c r="BK55" s="801"/>
      <c r="BL55" s="801"/>
      <c r="BM55" s="837">
        <v>207</v>
      </c>
      <c r="BN55" s="853">
        <f t="shared" si="6"/>
        <v>0</v>
      </c>
      <c r="BO55" s="854">
        <f t="shared" si="7"/>
        <v>0</v>
      </c>
      <c r="BP55" s="801"/>
      <c r="BQ55" s="837">
        <f t="shared" si="8"/>
        <v>207</v>
      </c>
      <c r="BR55" s="853">
        <f t="shared" ca="1" si="9"/>
        <v>0</v>
      </c>
      <c r="BS55" s="854">
        <f t="shared" ca="1" si="10"/>
        <v>0</v>
      </c>
      <c r="BT55" s="801"/>
      <c r="BU55" s="837">
        <f t="shared" si="11"/>
        <v>207</v>
      </c>
      <c r="BV55" s="855">
        <f t="shared" ca="1" si="12"/>
        <v>0</v>
      </c>
      <c r="BW55" s="801"/>
      <c r="BX55" s="801"/>
      <c r="BY55" s="801"/>
    </row>
    <row r="56" spans="1:77" ht="15.75" customHeight="1">
      <c r="A56" s="801"/>
      <c r="B56" s="818"/>
      <c r="C56" s="818"/>
      <c r="D56" s="818"/>
      <c r="E56" s="818"/>
      <c r="F56" s="818"/>
      <c r="G56" s="818"/>
      <c r="H56" s="818"/>
      <c r="I56" s="801"/>
      <c r="J56" s="801"/>
      <c r="K56" s="818"/>
      <c r="L56" s="818"/>
      <c r="M56" s="818"/>
      <c r="N56" s="818"/>
      <c r="O56" s="819"/>
      <c r="P56" s="819"/>
      <c r="Q56" s="818"/>
      <c r="R56" s="818"/>
      <c r="S56" s="818"/>
      <c r="T56" s="818"/>
      <c r="U56" s="818"/>
      <c r="V56" s="819"/>
      <c r="W56" s="819"/>
      <c r="X56" s="818"/>
      <c r="Y56" s="818"/>
      <c r="Z56" s="818"/>
      <c r="AA56" s="818"/>
      <c r="AB56" s="818"/>
      <c r="AC56" s="819"/>
      <c r="AD56" s="819"/>
      <c r="AE56" s="818"/>
      <c r="AF56" s="818"/>
      <c r="AG56" s="818"/>
      <c r="AH56" s="818"/>
      <c r="AI56" s="818"/>
      <c r="AJ56" s="819"/>
      <c r="AK56" s="825"/>
      <c r="AL56" s="818"/>
      <c r="AM56" s="818"/>
      <c r="AN56" s="818"/>
      <c r="AO56" s="818"/>
      <c r="AP56" s="819"/>
      <c r="AQ56" s="819"/>
      <c r="AR56" s="818"/>
      <c r="AS56" s="818"/>
      <c r="AT56" s="818"/>
      <c r="AU56" s="818"/>
      <c r="AV56" s="818"/>
      <c r="AW56" s="819"/>
      <c r="AX56" s="819"/>
      <c r="AY56" s="818"/>
      <c r="AZ56" s="801"/>
      <c r="BA56" s="801"/>
      <c r="BB56" s="801"/>
      <c r="BC56" s="831"/>
      <c r="BD56" s="831"/>
      <c r="BE56" s="801"/>
      <c r="BF56" s="801"/>
      <c r="BG56" s="801"/>
      <c r="BH56" s="801"/>
      <c r="BI56" s="801"/>
      <c r="BJ56" s="801"/>
      <c r="BK56" s="801"/>
      <c r="BL56" s="801"/>
      <c r="BM56" s="837">
        <v>208</v>
      </c>
      <c r="BN56" s="853">
        <f t="shared" si="6"/>
        <v>0.18472222222222201</v>
      </c>
      <c r="BO56" s="854">
        <f t="shared" si="7"/>
        <v>4.4333333333333282</v>
      </c>
      <c r="BP56" s="801"/>
      <c r="BQ56" s="837">
        <f t="shared" si="8"/>
        <v>208</v>
      </c>
      <c r="BR56" s="853">
        <f t="shared" ca="1" si="9"/>
        <v>0</v>
      </c>
      <c r="BS56" s="854">
        <f t="shared" ca="1" si="10"/>
        <v>0</v>
      </c>
      <c r="BT56" s="801"/>
      <c r="BU56" s="837">
        <f t="shared" si="11"/>
        <v>208</v>
      </c>
      <c r="BV56" s="855">
        <f t="shared" ca="1" si="12"/>
        <v>4.4333333333333282</v>
      </c>
      <c r="BW56" s="801"/>
      <c r="BX56" s="801"/>
      <c r="BY56" s="801"/>
    </row>
    <row r="57" spans="1:77" ht="15.75" customHeight="1">
      <c r="A57" s="801"/>
      <c r="B57" s="818"/>
      <c r="C57" s="818"/>
      <c r="D57" s="818"/>
      <c r="E57" s="818"/>
      <c r="F57" s="818"/>
      <c r="G57" s="818"/>
      <c r="H57" s="818"/>
      <c r="I57" s="801"/>
      <c r="J57" s="801"/>
      <c r="K57" s="818"/>
      <c r="L57" s="818"/>
      <c r="M57" s="818"/>
      <c r="N57" s="818"/>
      <c r="O57" s="819"/>
      <c r="P57" s="819"/>
      <c r="Q57" s="818"/>
      <c r="R57" s="818"/>
      <c r="S57" s="818"/>
      <c r="T57" s="818"/>
      <c r="U57" s="818"/>
      <c r="V57" s="819"/>
      <c r="W57" s="819"/>
      <c r="X57" s="818"/>
      <c r="Y57" s="818"/>
      <c r="Z57" s="818"/>
      <c r="AA57" s="818"/>
      <c r="AB57" s="818"/>
      <c r="AC57" s="819"/>
      <c r="AD57" s="819"/>
      <c r="AE57" s="818"/>
      <c r="AF57" s="818"/>
      <c r="AG57" s="818"/>
      <c r="AH57" s="818"/>
      <c r="AI57" s="818"/>
      <c r="AJ57" s="819"/>
      <c r="AK57" s="825"/>
      <c r="AL57" s="818"/>
      <c r="AM57" s="818"/>
      <c r="AN57" s="818"/>
      <c r="AO57" s="818"/>
      <c r="AP57" s="819"/>
      <c r="AQ57" s="819"/>
      <c r="AR57" s="818"/>
      <c r="AS57" s="818"/>
      <c r="AT57" s="818"/>
      <c r="AU57" s="818"/>
      <c r="AV57" s="818"/>
      <c r="AW57" s="819"/>
      <c r="AX57" s="819"/>
      <c r="AY57" s="818"/>
      <c r="AZ57" s="801"/>
      <c r="BA57" s="801"/>
      <c r="BB57" s="801"/>
      <c r="BC57" s="831"/>
      <c r="BD57" s="831"/>
      <c r="BE57" s="801"/>
      <c r="BF57" s="801"/>
      <c r="BG57" s="801"/>
      <c r="BH57" s="801"/>
      <c r="BI57" s="801"/>
      <c r="BJ57" s="801"/>
      <c r="BK57" s="801"/>
      <c r="BL57" s="801"/>
      <c r="BM57" s="837">
        <v>209</v>
      </c>
      <c r="BN57" s="853">
        <f t="shared" si="6"/>
        <v>0</v>
      </c>
      <c r="BO57" s="854">
        <f t="shared" si="7"/>
        <v>0</v>
      </c>
      <c r="BP57" s="801"/>
      <c r="BQ57" s="837">
        <f t="shared" si="8"/>
        <v>209</v>
      </c>
      <c r="BR57" s="853">
        <f t="shared" ca="1" si="9"/>
        <v>0</v>
      </c>
      <c r="BS57" s="854">
        <f t="shared" ca="1" si="10"/>
        <v>0</v>
      </c>
      <c r="BT57" s="801"/>
      <c r="BU57" s="837">
        <f t="shared" si="11"/>
        <v>209</v>
      </c>
      <c r="BV57" s="855">
        <f t="shared" ca="1" si="12"/>
        <v>0</v>
      </c>
      <c r="BW57" s="801"/>
      <c r="BX57" s="801"/>
      <c r="BY57" s="801"/>
    </row>
    <row r="58" spans="1:77" ht="15.75" customHeight="1">
      <c r="A58" s="801"/>
      <c r="B58" s="818"/>
      <c r="C58" s="818"/>
      <c r="D58" s="818"/>
      <c r="E58" s="818"/>
      <c r="F58" s="818"/>
      <c r="G58" s="818"/>
      <c r="H58" s="818"/>
      <c r="I58" s="801"/>
      <c r="J58" s="801"/>
      <c r="K58" s="818"/>
      <c r="L58" s="818"/>
      <c r="M58" s="818"/>
      <c r="N58" s="818"/>
      <c r="O58" s="819"/>
      <c r="P58" s="819"/>
      <c r="Q58" s="818"/>
      <c r="R58" s="818"/>
      <c r="S58" s="818"/>
      <c r="T58" s="818"/>
      <c r="U58" s="818"/>
      <c r="V58" s="819"/>
      <c r="W58" s="819"/>
      <c r="X58" s="818"/>
      <c r="Y58" s="818"/>
      <c r="Z58" s="818"/>
      <c r="AA58" s="818"/>
      <c r="AB58" s="818"/>
      <c r="AC58" s="819"/>
      <c r="AD58" s="819"/>
      <c r="AE58" s="818"/>
      <c r="AF58" s="818"/>
      <c r="AG58" s="818"/>
      <c r="AH58" s="818"/>
      <c r="AI58" s="818"/>
      <c r="AJ58" s="819"/>
      <c r="AK58" s="825"/>
      <c r="AL58" s="818"/>
      <c r="AM58" s="818"/>
      <c r="AN58" s="818"/>
      <c r="AO58" s="818"/>
      <c r="AP58" s="819"/>
      <c r="AQ58" s="819"/>
      <c r="AR58" s="818"/>
      <c r="AS58" s="818"/>
      <c r="AT58" s="818"/>
      <c r="AU58" s="818"/>
      <c r="AV58" s="818"/>
      <c r="AW58" s="819"/>
      <c r="AX58" s="819"/>
      <c r="AY58" s="818"/>
      <c r="AZ58" s="801"/>
      <c r="BA58" s="801"/>
      <c r="BB58" s="801"/>
      <c r="BC58" s="831"/>
      <c r="BD58" s="831"/>
      <c r="BE58" s="801"/>
      <c r="BF58" s="801"/>
      <c r="BG58" s="801"/>
      <c r="BH58" s="801"/>
      <c r="BI58" s="801"/>
      <c r="BJ58" s="801"/>
      <c r="BK58" s="801"/>
      <c r="BL58" s="801"/>
      <c r="BM58" s="837">
        <v>210</v>
      </c>
      <c r="BN58" s="853">
        <f t="shared" si="6"/>
        <v>0</v>
      </c>
      <c r="BO58" s="854">
        <f t="shared" si="7"/>
        <v>0</v>
      </c>
      <c r="BP58" s="801"/>
      <c r="BQ58" s="837">
        <f t="shared" si="8"/>
        <v>210</v>
      </c>
      <c r="BR58" s="853">
        <f t="shared" ca="1" si="9"/>
        <v>0</v>
      </c>
      <c r="BS58" s="854">
        <f t="shared" ca="1" si="10"/>
        <v>0</v>
      </c>
      <c r="BT58" s="801"/>
      <c r="BU58" s="837">
        <f t="shared" si="11"/>
        <v>210</v>
      </c>
      <c r="BV58" s="855">
        <f t="shared" ca="1" si="12"/>
        <v>0</v>
      </c>
      <c r="BW58" s="801"/>
      <c r="BX58" s="801"/>
      <c r="BY58" s="801"/>
    </row>
    <row r="59" spans="1:77" ht="15.75" customHeight="1">
      <c r="A59" s="801"/>
      <c r="B59" s="818"/>
      <c r="C59" s="818"/>
      <c r="D59" s="818"/>
      <c r="E59" s="818"/>
      <c r="F59" s="818"/>
      <c r="G59" s="818"/>
      <c r="H59" s="818"/>
      <c r="I59" s="801"/>
      <c r="J59" s="801"/>
      <c r="K59" s="818"/>
      <c r="L59" s="818"/>
      <c r="M59" s="818"/>
      <c r="N59" s="818"/>
      <c r="O59" s="819"/>
      <c r="P59" s="819"/>
      <c r="Q59" s="818"/>
      <c r="R59" s="818"/>
      <c r="S59" s="818"/>
      <c r="T59" s="818"/>
      <c r="U59" s="818"/>
      <c r="V59" s="819"/>
      <c r="W59" s="819"/>
      <c r="X59" s="818"/>
      <c r="Y59" s="818"/>
      <c r="Z59" s="818"/>
      <c r="AA59" s="818"/>
      <c r="AB59" s="818"/>
      <c r="AC59" s="819"/>
      <c r="AD59" s="819"/>
      <c r="AE59" s="818"/>
      <c r="AF59" s="818"/>
      <c r="AG59" s="818"/>
      <c r="AH59" s="818"/>
      <c r="AI59" s="818"/>
      <c r="AJ59" s="819"/>
      <c r="AK59" s="825"/>
      <c r="AL59" s="818"/>
      <c r="AM59" s="818"/>
      <c r="AN59" s="818"/>
      <c r="AO59" s="818"/>
      <c r="AP59" s="819"/>
      <c r="AQ59" s="819"/>
      <c r="AR59" s="818"/>
      <c r="AS59" s="818"/>
      <c r="AT59" s="818"/>
      <c r="AU59" s="818"/>
      <c r="AV59" s="818"/>
      <c r="AW59" s="819"/>
      <c r="AX59" s="819"/>
      <c r="AY59" s="818"/>
      <c r="AZ59" s="801"/>
      <c r="BA59" s="801"/>
      <c r="BB59" s="801"/>
      <c r="BC59" s="831"/>
      <c r="BD59" s="831"/>
      <c r="BE59" s="801"/>
      <c r="BF59" s="801"/>
      <c r="BG59" s="801"/>
      <c r="BH59" s="801"/>
      <c r="BI59" s="801"/>
      <c r="BJ59" s="801"/>
      <c r="BK59" s="801"/>
      <c r="BL59" s="801"/>
      <c r="BM59" s="837">
        <v>211</v>
      </c>
      <c r="BN59" s="853">
        <f t="shared" si="6"/>
        <v>0.51249999999999996</v>
      </c>
      <c r="BO59" s="854">
        <f t="shared" si="7"/>
        <v>12.299999999999999</v>
      </c>
      <c r="BP59" s="801"/>
      <c r="BQ59" s="837">
        <f t="shared" si="8"/>
        <v>211</v>
      </c>
      <c r="BR59" s="853">
        <f t="shared" ca="1" si="9"/>
        <v>0</v>
      </c>
      <c r="BS59" s="854">
        <f t="shared" ca="1" si="10"/>
        <v>0</v>
      </c>
      <c r="BT59" s="801"/>
      <c r="BU59" s="837">
        <f t="shared" si="11"/>
        <v>211</v>
      </c>
      <c r="BV59" s="855">
        <f t="shared" ca="1" si="12"/>
        <v>12.299999999999999</v>
      </c>
      <c r="BW59" s="801"/>
      <c r="BX59" s="801"/>
      <c r="BY59" s="801"/>
    </row>
    <row r="60" spans="1:77" ht="15.75" customHeight="1">
      <c r="A60" s="801"/>
      <c r="B60" s="818"/>
      <c r="C60" s="818"/>
      <c r="D60" s="818"/>
      <c r="E60" s="818"/>
      <c r="F60" s="818"/>
      <c r="G60" s="818"/>
      <c r="H60" s="818"/>
      <c r="I60" s="801"/>
      <c r="J60" s="801"/>
      <c r="K60" s="818"/>
      <c r="L60" s="818"/>
      <c r="M60" s="818"/>
      <c r="N60" s="818"/>
      <c r="O60" s="819"/>
      <c r="P60" s="819"/>
      <c r="Q60" s="818"/>
      <c r="R60" s="818"/>
      <c r="S60" s="818"/>
      <c r="T60" s="818"/>
      <c r="U60" s="818"/>
      <c r="V60" s="819"/>
      <c r="W60" s="819"/>
      <c r="X60" s="818"/>
      <c r="Y60" s="818"/>
      <c r="Z60" s="818"/>
      <c r="AA60" s="818"/>
      <c r="AB60" s="818"/>
      <c r="AC60" s="819"/>
      <c r="AD60" s="819"/>
      <c r="AE60" s="818"/>
      <c r="AF60" s="818"/>
      <c r="AG60" s="818"/>
      <c r="AH60" s="818"/>
      <c r="AI60" s="818"/>
      <c r="AJ60" s="819"/>
      <c r="AK60" s="825"/>
      <c r="AL60" s="818"/>
      <c r="AM60" s="818"/>
      <c r="AN60" s="818"/>
      <c r="AO60" s="818"/>
      <c r="AP60" s="819"/>
      <c r="AQ60" s="819"/>
      <c r="AR60" s="818"/>
      <c r="AS60" s="818"/>
      <c r="AT60" s="818"/>
      <c r="AU60" s="818"/>
      <c r="AV60" s="818"/>
      <c r="AW60" s="819"/>
      <c r="AX60" s="819"/>
      <c r="AY60" s="818"/>
      <c r="AZ60" s="801"/>
      <c r="BA60" s="801"/>
      <c r="BB60" s="801"/>
      <c r="BC60" s="831"/>
      <c r="BD60" s="831"/>
      <c r="BE60" s="801"/>
      <c r="BF60" s="801"/>
      <c r="BG60" s="801"/>
      <c r="BH60" s="801"/>
      <c r="BI60" s="801"/>
      <c r="BJ60" s="801"/>
      <c r="BK60" s="801"/>
      <c r="BL60" s="801"/>
      <c r="BM60" s="837">
        <v>213</v>
      </c>
      <c r="BN60" s="853">
        <f t="shared" si="6"/>
        <v>0</v>
      </c>
      <c r="BO60" s="854">
        <f t="shared" si="7"/>
        <v>0</v>
      </c>
      <c r="BP60" s="801"/>
      <c r="BQ60" s="837">
        <f t="shared" si="8"/>
        <v>213</v>
      </c>
      <c r="BR60" s="853">
        <f t="shared" ca="1" si="9"/>
        <v>0</v>
      </c>
      <c r="BS60" s="854">
        <f t="shared" ca="1" si="10"/>
        <v>0</v>
      </c>
      <c r="BT60" s="801"/>
      <c r="BU60" s="837">
        <f t="shared" si="11"/>
        <v>213</v>
      </c>
      <c r="BV60" s="855">
        <f t="shared" ca="1" si="12"/>
        <v>0</v>
      </c>
      <c r="BW60" s="801"/>
      <c r="BX60" s="801"/>
      <c r="BY60" s="801"/>
    </row>
    <row r="61" spans="1:77" ht="15.75" customHeight="1">
      <c r="A61" s="801"/>
      <c r="B61" s="818"/>
      <c r="C61" s="818"/>
      <c r="D61" s="818"/>
      <c r="E61" s="818"/>
      <c r="F61" s="818"/>
      <c r="G61" s="818"/>
      <c r="H61" s="818"/>
      <c r="I61" s="801"/>
      <c r="J61" s="801"/>
      <c r="K61" s="818"/>
      <c r="L61" s="818"/>
      <c r="M61" s="818"/>
      <c r="N61" s="818"/>
      <c r="O61" s="819"/>
      <c r="P61" s="819"/>
      <c r="Q61" s="818"/>
      <c r="R61" s="818"/>
      <c r="S61" s="818"/>
      <c r="T61" s="818"/>
      <c r="U61" s="818"/>
      <c r="V61" s="819"/>
      <c r="W61" s="819"/>
      <c r="X61" s="818"/>
      <c r="Y61" s="818"/>
      <c r="Z61" s="818"/>
      <c r="AA61" s="818"/>
      <c r="AB61" s="818"/>
      <c r="AC61" s="819"/>
      <c r="AD61" s="819"/>
      <c r="AE61" s="818"/>
      <c r="AF61" s="818"/>
      <c r="AG61" s="818"/>
      <c r="AH61" s="818"/>
      <c r="AI61" s="818"/>
      <c r="AJ61" s="819"/>
      <c r="AK61" s="825"/>
      <c r="AL61" s="818"/>
      <c r="AM61" s="818"/>
      <c r="AN61" s="818"/>
      <c r="AO61" s="818"/>
      <c r="AP61" s="819"/>
      <c r="AQ61" s="819"/>
      <c r="AR61" s="818"/>
      <c r="AS61" s="818"/>
      <c r="AT61" s="818"/>
      <c r="AU61" s="818"/>
      <c r="AV61" s="818"/>
      <c r="AW61" s="819"/>
      <c r="AX61" s="819"/>
      <c r="AY61" s="818"/>
      <c r="AZ61" s="801"/>
      <c r="BA61" s="801"/>
      <c r="BB61" s="801"/>
      <c r="BC61" s="831"/>
      <c r="BD61" s="831"/>
      <c r="BE61" s="801"/>
      <c r="BF61" s="801"/>
      <c r="BG61" s="801"/>
      <c r="BH61" s="801"/>
      <c r="BI61" s="801"/>
      <c r="BJ61" s="801"/>
      <c r="BK61" s="801"/>
      <c r="BL61" s="801"/>
      <c r="BM61" s="837">
        <v>214</v>
      </c>
      <c r="BN61" s="853">
        <f t="shared" si="6"/>
        <v>0.11388888888888898</v>
      </c>
      <c r="BO61" s="854">
        <f t="shared" si="7"/>
        <v>2.7333333333333356</v>
      </c>
      <c r="BP61" s="801"/>
      <c r="BQ61" s="837">
        <f t="shared" si="8"/>
        <v>214</v>
      </c>
      <c r="BR61" s="853">
        <f t="shared" ca="1" si="9"/>
        <v>0</v>
      </c>
      <c r="BS61" s="854">
        <f t="shared" ca="1" si="10"/>
        <v>0</v>
      </c>
      <c r="BT61" s="801"/>
      <c r="BU61" s="837">
        <f t="shared" si="11"/>
        <v>214</v>
      </c>
      <c r="BV61" s="855">
        <f t="shared" ca="1" si="12"/>
        <v>2.7333333333333356</v>
      </c>
      <c r="BW61" s="801"/>
      <c r="BX61" s="801"/>
      <c r="BY61" s="801"/>
    </row>
    <row r="62" spans="1:77" ht="15.75" customHeight="1">
      <c r="A62" s="801"/>
      <c r="B62" s="818"/>
      <c r="C62" s="818"/>
      <c r="D62" s="818"/>
      <c r="E62" s="818"/>
      <c r="F62" s="818"/>
      <c r="G62" s="818"/>
      <c r="H62" s="818"/>
      <c r="I62" s="801"/>
      <c r="J62" s="801"/>
      <c r="K62" s="818"/>
      <c r="L62" s="818"/>
      <c r="M62" s="818"/>
      <c r="N62" s="818"/>
      <c r="O62" s="819"/>
      <c r="P62" s="819"/>
      <c r="Q62" s="818"/>
      <c r="R62" s="818"/>
      <c r="S62" s="818"/>
      <c r="T62" s="818"/>
      <c r="U62" s="818"/>
      <c r="V62" s="819"/>
      <c r="W62" s="819"/>
      <c r="X62" s="818"/>
      <c r="Y62" s="818"/>
      <c r="Z62" s="818"/>
      <c r="AA62" s="818"/>
      <c r="AB62" s="818"/>
      <c r="AC62" s="819"/>
      <c r="AD62" s="819"/>
      <c r="AE62" s="818"/>
      <c r="AF62" s="818"/>
      <c r="AG62" s="818"/>
      <c r="AH62" s="818"/>
      <c r="AI62" s="818"/>
      <c r="AJ62" s="819"/>
      <c r="AK62" s="825"/>
      <c r="AL62" s="818"/>
      <c r="AM62" s="818"/>
      <c r="AN62" s="818"/>
      <c r="AO62" s="818"/>
      <c r="AP62" s="819"/>
      <c r="AQ62" s="819"/>
      <c r="AR62" s="818"/>
      <c r="AS62" s="818"/>
      <c r="AT62" s="818"/>
      <c r="AU62" s="818"/>
      <c r="AV62" s="818"/>
      <c r="AW62" s="819"/>
      <c r="AX62" s="819"/>
      <c r="AY62" s="818"/>
      <c r="AZ62" s="801"/>
      <c r="BA62" s="801"/>
      <c r="BB62" s="801"/>
      <c r="BC62" s="831"/>
      <c r="BD62" s="831"/>
      <c r="BE62" s="801"/>
      <c r="BF62" s="801"/>
      <c r="BG62" s="801"/>
      <c r="BH62" s="801"/>
      <c r="BI62" s="801"/>
      <c r="BJ62" s="801"/>
      <c r="BK62" s="801"/>
      <c r="BL62" s="801"/>
      <c r="BM62" s="837">
        <v>216</v>
      </c>
      <c r="BN62" s="853">
        <f t="shared" si="6"/>
        <v>0</v>
      </c>
      <c r="BO62" s="854">
        <f t="shared" si="7"/>
        <v>0</v>
      </c>
      <c r="BP62" s="801"/>
      <c r="BQ62" s="837">
        <f t="shared" si="8"/>
        <v>216</v>
      </c>
      <c r="BR62" s="853">
        <f t="shared" ca="1" si="9"/>
        <v>0</v>
      </c>
      <c r="BS62" s="854">
        <f t="shared" ca="1" si="10"/>
        <v>0</v>
      </c>
      <c r="BT62" s="801"/>
      <c r="BU62" s="837">
        <f t="shared" si="11"/>
        <v>216</v>
      </c>
      <c r="BV62" s="855">
        <f t="shared" ca="1" si="12"/>
        <v>0</v>
      </c>
      <c r="BW62" s="801"/>
      <c r="BX62" s="801"/>
      <c r="BY62" s="801"/>
    </row>
    <row r="63" spans="1:77" ht="15.75" customHeight="1">
      <c r="A63" s="801"/>
      <c r="B63" s="818"/>
      <c r="C63" s="818"/>
      <c r="D63" s="818"/>
      <c r="E63" s="818"/>
      <c r="F63" s="818"/>
      <c r="G63" s="818"/>
      <c r="H63" s="818"/>
      <c r="I63" s="801"/>
      <c r="J63" s="801"/>
      <c r="K63" s="818"/>
      <c r="L63" s="818"/>
      <c r="M63" s="818"/>
      <c r="N63" s="818"/>
      <c r="O63" s="819"/>
      <c r="P63" s="819"/>
      <c r="Q63" s="818"/>
      <c r="R63" s="818"/>
      <c r="S63" s="818"/>
      <c r="T63" s="818"/>
      <c r="U63" s="818"/>
      <c r="V63" s="819"/>
      <c r="W63" s="819"/>
      <c r="X63" s="818"/>
      <c r="Y63" s="818"/>
      <c r="Z63" s="818"/>
      <c r="AA63" s="818"/>
      <c r="AB63" s="818"/>
      <c r="AC63" s="819"/>
      <c r="AD63" s="819"/>
      <c r="AE63" s="818"/>
      <c r="AF63" s="818"/>
      <c r="AG63" s="818"/>
      <c r="AH63" s="818"/>
      <c r="AI63" s="818"/>
      <c r="AJ63" s="819"/>
      <c r="AK63" s="825"/>
      <c r="AL63" s="818"/>
      <c r="AM63" s="818"/>
      <c r="AN63" s="818"/>
      <c r="AO63" s="818"/>
      <c r="AP63" s="819"/>
      <c r="AQ63" s="819"/>
      <c r="AR63" s="818"/>
      <c r="AS63" s="818"/>
      <c r="AT63" s="818"/>
      <c r="AU63" s="818"/>
      <c r="AV63" s="818"/>
      <c r="AW63" s="819"/>
      <c r="AX63" s="819"/>
      <c r="AY63" s="818"/>
      <c r="AZ63" s="801"/>
      <c r="BA63" s="801"/>
      <c r="BB63" s="801"/>
      <c r="BC63" s="831"/>
      <c r="BD63" s="831"/>
      <c r="BE63" s="801"/>
      <c r="BF63" s="801"/>
      <c r="BG63" s="801"/>
      <c r="BH63" s="801"/>
      <c r="BI63" s="801"/>
      <c r="BJ63" s="801"/>
      <c r="BK63" s="801"/>
      <c r="BL63" s="801"/>
      <c r="BM63" s="837">
        <v>217</v>
      </c>
      <c r="BN63" s="853">
        <f t="shared" si="6"/>
        <v>0</v>
      </c>
      <c r="BO63" s="854">
        <f t="shared" si="7"/>
        <v>0</v>
      </c>
      <c r="BP63" s="801"/>
      <c r="BQ63" s="837">
        <f t="shared" si="8"/>
        <v>217</v>
      </c>
      <c r="BR63" s="853">
        <f t="shared" ca="1" si="9"/>
        <v>0</v>
      </c>
      <c r="BS63" s="854">
        <f t="shared" ca="1" si="10"/>
        <v>0</v>
      </c>
      <c r="BT63" s="801"/>
      <c r="BU63" s="837">
        <f t="shared" si="11"/>
        <v>217</v>
      </c>
      <c r="BV63" s="855">
        <f t="shared" ca="1" si="12"/>
        <v>0</v>
      </c>
      <c r="BW63" s="837">
        <v>217</v>
      </c>
      <c r="BX63" s="801"/>
      <c r="BY63" s="801"/>
    </row>
    <row r="64" spans="1:77" ht="15.75" customHeight="1">
      <c r="A64" s="801"/>
      <c r="B64" s="818"/>
      <c r="C64" s="818"/>
      <c r="D64" s="818"/>
      <c r="E64" s="818"/>
      <c r="F64" s="818"/>
      <c r="G64" s="818"/>
      <c r="H64" s="818"/>
      <c r="I64" s="801"/>
      <c r="J64" s="801"/>
      <c r="K64" s="818"/>
      <c r="L64" s="818"/>
      <c r="M64" s="818"/>
      <c r="N64" s="818"/>
      <c r="O64" s="819"/>
      <c r="P64" s="819"/>
      <c r="Q64" s="818"/>
      <c r="R64" s="818"/>
      <c r="S64" s="818"/>
      <c r="T64" s="818"/>
      <c r="U64" s="818"/>
      <c r="V64" s="819"/>
      <c r="W64" s="819"/>
      <c r="X64" s="818"/>
      <c r="Y64" s="818"/>
      <c r="Z64" s="818"/>
      <c r="AA64" s="818"/>
      <c r="AB64" s="818"/>
      <c r="AC64" s="819"/>
      <c r="AD64" s="819"/>
      <c r="AE64" s="818"/>
      <c r="AF64" s="818"/>
      <c r="AG64" s="818"/>
      <c r="AH64" s="818"/>
      <c r="AI64" s="818"/>
      <c r="AJ64" s="819"/>
      <c r="AK64" s="825"/>
      <c r="AL64" s="818"/>
      <c r="AM64" s="818"/>
      <c r="AN64" s="818"/>
      <c r="AO64" s="818"/>
      <c r="AP64" s="819"/>
      <c r="AQ64" s="819"/>
      <c r="AR64" s="818"/>
      <c r="AS64" s="818"/>
      <c r="AT64" s="818"/>
      <c r="AU64" s="818"/>
      <c r="AV64" s="818"/>
      <c r="AW64" s="819"/>
      <c r="AX64" s="819"/>
      <c r="AY64" s="818"/>
      <c r="AZ64" s="801"/>
      <c r="BA64" s="801"/>
      <c r="BB64" s="801"/>
      <c r="BC64" s="831"/>
      <c r="BD64" s="831"/>
      <c r="BE64" s="801"/>
      <c r="BF64" s="801"/>
      <c r="BG64" s="801"/>
      <c r="BH64" s="801"/>
      <c r="BI64" s="801"/>
      <c r="BJ64" s="801"/>
      <c r="BK64" s="801"/>
      <c r="BL64" s="801"/>
      <c r="BM64" s="837">
        <v>218</v>
      </c>
      <c r="BN64" s="853">
        <f t="shared" si="6"/>
        <v>0.67500000000000204</v>
      </c>
      <c r="BO64" s="854">
        <f t="shared" si="7"/>
        <v>16.200000000000049</v>
      </c>
      <c r="BP64" s="801"/>
      <c r="BQ64" s="837">
        <f t="shared" si="8"/>
        <v>218</v>
      </c>
      <c r="BR64" s="853">
        <f t="shared" ca="1" si="9"/>
        <v>0</v>
      </c>
      <c r="BS64" s="854">
        <f t="shared" ca="1" si="10"/>
        <v>0</v>
      </c>
      <c r="BT64" s="801"/>
      <c r="BU64" s="837">
        <f t="shared" si="11"/>
        <v>218</v>
      </c>
      <c r="BV64" s="855">
        <f t="shared" ca="1" si="12"/>
        <v>16.200000000000049</v>
      </c>
      <c r="BW64" s="837">
        <v>218</v>
      </c>
      <c r="BX64" s="801"/>
      <c r="BY64" s="801"/>
    </row>
    <row r="65" spans="1:77" ht="15.75" customHeight="1">
      <c r="A65" s="801"/>
      <c r="B65" s="818"/>
      <c r="C65" s="818"/>
      <c r="D65" s="818"/>
      <c r="E65" s="818"/>
      <c r="F65" s="818"/>
      <c r="G65" s="818"/>
      <c r="H65" s="818"/>
      <c r="I65" s="801"/>
      <c r="J65" s="801"/>
      <c r="K65" s="818"/>
      <c r="L65" s="818"/>
      <c r="M65" s="818"/>
      <c r="N65" s="818"/>
      <c r="O65" s="819"/>
      <c r="P65" s="819"/>
      <c r="Q65" s="818"/>
      <c r="R65" s="818"/>
      <c r="S65" s="818"/>
      <c r="T65" s="818"/>
      <c r="U65" s="818"/>
      <c r="V65" s="819"/>
      <c r="W65" s="819"/>
      <c r="X65" s="818"/>
      <c r="Y65" s="818"/>
      <c r="Z65" s="818"/>
      <c r="AA65" s="818"/>
      <c r="AB65" s="818"/>
      <c r="AC65" s="819"/>
      <c r="AD65" s="819"/>
      <c r="AE65" s="818"/>
      <c r="AF65" s="818"/>
      <c r="AG65" s="818"/>
      <c r="AH65" s="818"/>
      <c r="AI65" s="818"/>
      <c r="AJ65" s="819"/>
      <c r="AK65" s="825"/>
      <c r="AL65" s="818"/>
      <c r="AM65" s="818"/>
      <c r="AN65" s="818"/>
      <c r="AO65" s="818"/>
      <c r="AP65" s="819"/>
      <c r="AQ65" s="819"/>
      <c r="AR65" s="818"/>
      <c r="AS65" s="818"/>
      <c r="AT65" s="818"/>
      <c r="AU65" s="818"/>
      <c r="AV65" s="818"/>
      <c r="AW65" s="819"/>
      <c r="AX65" s="819"/>
      <c r="AY65" s="818"/>
      <c r="AZ65" s="801"/>
      <c r="BA65" s="801"/>
      <c r="BB65" s="801"/>
      <c r="BC65" s="831"/>
      <c r="BD65" s="831"/>
      <c r="BE65" s="801"/>
      <c r="BF65" s="801"/>
      <c r="BG65" s="801"/>
      <c r="BH65" s="801"/>
      <c r="BI65" s="801"/>
      <c r="BJ65" s="801"/>
      <c r="BK65" s="801"/>
      <c r="BL65" s="801"/>
      <c r="BM65" s="801">
        <v>220</v>
      </c>
      <c r="BN65" s="853">
        <f t="shared" si="6"/>
        <v>0</v>
      </c>
      <c r="BO65" s="854">
        <f t="shared" si="7"/>
        <v>0</v>
      </c>
      <c r="BP65" s="801"/>
      <c r="BQ65" s="837">
        <f t="shared" si="8"/>
        <v>220</v>
      </c>
      <c r="BR65" s="853">
        <f t="shared" ca="1" si="9"/>
        <v>0</v>
      </c>
      <c r="BS65" s="854">
        <f t="shared" ca="1" si="10"/>
        <v>0</v>
      </c>
      <c r="BT65" s="801"/>
      <c r="BU65" s="837">
        <f t="shared" si="11"/>
        <v>220</v>
      </c>
      <c r="BV65" s="855">
        <f t="shared" ca="1" si="12"/>
        <v>0</v>
      </c>
      <c r="BW65" s="801">
        <v>220</v>
      </c>
      <c r="BX65" s="801"/>
      <c r="BY65" s="801"/>
    </row>
    <row r="66" spans="1:77" ht="15.75" customHeight="1">
      <c r="A66" s="801"/>
      <c r="B66" s="818"/>
      <c r="C66" s="818"/>
      <c r="D66" s="818"/>
      <c r="E66" s="818"/>
      <c r="F66" s="818"/>
      <c r="G66" s="818"/>
      <c r="H66" s="818"/>
      <c r="I66" s="801"/>
      <c r="J66" s="801"/>
      <c r="K66" s="818"/>
      <c r="L66" s="818"/>
      <c r="M66" s="818"/>
      <c r="N66" s="818"/>
      <c r="O66" s="819"/>
      <c r="P66" s="819"/>
      <c r="Q66" s="818"/>
      <c r="R66" s="818"/>
      <c r="S66" s="818"/>
      <c r="T66" s="818"/>
      <c r="U66" s="818"/>
      <c r="V66" s="819"/>
      <c r="W66" s="819"/>
      <c r="X66" s="818"/>
      <c r="Y66" s="818"/>
      <c r="Z66" s="818"/>
      <c r="AA66" s="818"/>
      <c r="AB66" s="818"/>
      <c r="AC66" s="819"/>
      <c r="AD66" s="819"/>
      <c r="AE66" s="818"/>
      <c r="AF66" s="818"/>
      <c r="AG66" s="818"/>
      <c r="AH66" s="818"/>
      <c r="AI66" s="818"/>
      <c r="AJ66" s="819"/>
      <c r="AK66" s="825"/>
      <c r="AL66" s="818"/>
      <c r="AM66" s="818"/>
      <c r="AN66" s="818"/>
      <c r="AO66" s="818"/>
      <c r="AP66" s="819"/>
      <c r="AQ66" s="819"/>
      <c r="AR66" s="818"/>
      <c r="AS66" s="818"/>
      <c r="AT66" s="818"/>
      <c r="AU66" s="818"/>
      <c r="AV66" s="818"/>
      <c r="AW66" s="819"/>
      <c r="AX66" s="819"/>
      <c r="AY66" s="818"/>
      <c r="AZ66" s="801"/>
      <c r="BA66" s="801"/>
      <c r="BB66" s="801"/>
      <c r="BC66" s="831"/>
      <c r="BD66" s="831"/>
      <c r="BE66" s="801"/>
      <c r="BF66" s="801"/>
      <c r="BG66" s="801"/>
      <c r="BH66" s="801"/>
      <c r="BI66" s="801"/>
      <c r="BJ66" s="801"/>
      <c r="BK66" s="801"/>
      <c r="BL66" s="801"/>
      <c r="BM66" s="801">
        <v>221</v>
      </c>
      <c r="BN66" s="853">
        <f t="shared" si="6"/>
        <v>0</v>
      </c>
      <c r="BO66" s="854">
        <f t="shared" si="7"/>
        <v>0</v>
      </c>
      <c r="BP66" s="801"/>
      <c r="BQ66" s="837">
        <f t="shared" si="8"/>
        <v>221</v>
      </c>
      <c r="BR66" s="853">
        <f t="shared" ca="1" si="9"/>
        <v>0</v>
      </c>
      <c r="BS66" s="854">
        <f t="shared" ca="1" si="10"/>
        <v>0</v>
      </c>
      <c r="BT66" s="801"/>
      <c r="BU66" s="837">
        <f t="shared" si="11"/>
        <v>221</v>
      </c>
      <c r="BV66" s="855">
        <f t="shared" ca="1" si="12"/>
        <v>0</v>
      </c>
      <c r="BW66" s="801">
        <v>221</v>
      </c>
      <c r="BX66" s="801"/>
      <c r="BY66" s="801"/>
    </row>
    <row r="67" spans="1:77" ht="15.75" customHeight="1">
      <c r="A67" s="801"/>
      <c r="B67" s="818"/>
      <c r="C67" s="818"/>
      <c r="D67" s="818"/>
      <c r="E67" s="818"/>
      <c r="F67" s="818"/>
      <c r="G67" s="818"/>
      <c r="H67" s="818"/>
      <c r="I67" s="801"/>
      <c r="J67" s="801"/>
      <c r="K67" s="818"/>
      <c r="L67" s="818"/>
      <c r="M67" s="818"/>
      <c r="N67" s="818"/>
      <c r="O67" s="819"/>
      <c r="P67" s="819"/>
      <c r="Q67" s="818"/>
      <c r="R67" s="818"/>
      <c r="S67" s="818"/>
      <c r="T67" s="818"/>
      <c r="U67" s="818"/>
      <c r="V67" s="819"/>
      <c r="W67" s="819"/>
      <c r="X67" s="818"/>
      <c r="Y67" s="818"/>
      <c r="Z67" s="818"/>
      <c r="AA67" s="818"/>
      <c r="AB67" s="818"/>
      <c r="AC67" s="819"/>
      <c r="AD67" s="819"/>
      <c r="AE67" s="818"/>
      <c r="AF67" s="818"/>
      <c r="AG67" s="818"/>
      <c r="AH67" s="818"/>
      <c r="AI67" s="818"/>
      <c r="AJ67" s="819"/>
      <c r="AK67" s="825"/>
      <c r="AL67" s="818"/>
      <c r="AM67" s="818"/>
      <c r="AN67" s="818"/>
      <c r="AO67" s="818"/>
      <c r="AP67" s="819"/>
      <c r="AQ67" s="819"/>
      <c r="AR67" s="818"/>
      <c r="AS67" s="818"/>
      <c r="AT67" s="818"/>
      <c r="AU67" s="818"/>
      <c r="AV67" s="818"/>
      <c r="AW67" s="819"/>
      <c r="AX67" s="819"/>
      <c r="AY67" s="818"/>
      <c r="AZ67" s="801"/>
      <c r="BA67" s="801"/>
      <c r="BB67" s="801"/>
      <c r="BC67" s="831"/>
      <c r="BD67" s="831"/>
      <c r="BE67" s="801"/>
      <c r="BF67" s="801"/>
      <c r="BG67" s="801"/>
      <c r="BH67" s="801"/>
      <c r="BI67" s="801"/>
      <c r="BJ67" s="801"/>
      <c r="BK67" s="801"/>
      <c r="BL67" s="801"/>
      <c r="BM67" s="801" t="s">
        <v>147</v>
      </c>
      <c r="BN67" s="853">
        <f t="shared" si="6"/>
        <v>0</v>
      </c>
      <c r="BO67" s="854">
        <f t="shared" si="7"/>
        <v>0</v>
      </c>
      <c r="BP67" s="801"/>
      <c r="BQ67" s="837" t="str">
        <f t="shared" si="8"/>
        <v>TAP</v>
      </c>
      <c r="BR67" s="853">
        <f t="shared" ca="1" si="9"/>
        <v>0.34583333333333299</v>
      </c>
      <c r="BS67" s="854">
        <f t="shared" ca="1" si="10"/>
        <v>8.2999999999999918</v>
      </c>
      <c r="BT67" s="801"/>
      <c r="BU67" s="837" t="str">
        <f t="shared" si="11"/>
        <v>TAP</v>
      </c>
      <c r="BV67" s="855">
        <f t="shared" ca="1" si="12"/>
        <v>8.2999999999999918</v>
      </c>
      <c r="BW67" s="801" t="str">
        <f t="shared" ref="BW67:BW76" si="14">BU67</f>
        <v>TAP</v>
      </c>
      <c r="BX67" s="801"/>
      <c r="BY67" s="801"/>
    </row>
    <row r="68" spans="1:77" ht="15.75" customHeight="1">
      <c r="A68" s="801"/>
      <c r="B68" s="818"/>
      <c r="C68" s="818"/>
      <c r="D68" s="818"/>
      <c r="E68" s="818"/>
      <c r="F68" s="818"/>
      <c r="G68" s="818"/>
      <c r="H68" s="818"/>
      <c r="I68" s="801"/>
      <c r="J68" s="801"/>
      <c r="K68" s="818"/>
      <c r="L68" s="818"/>
      <c r="M68" s="818"/>
      <c r="N68" s="818"/>
      <c r="O68" s="819"/>
      <c r="P68" s="819"/>
      <c r="Q68" s="818"/>
      <c r="R68" s="818"/>
      <c r="S68" s="818"/>
      <c r="T68" s="818"/>
      <c r="U68" s="818"/>
      <c r="V68" s="819"/>
      <c r="W68" s="819"/>
      <c r="X68" s="818"/>
      <c r="Y68" s="818"/>
      <c r="Z68" s="818"/>
      <c r="AA68" s="818"/>
      <c r="AB68" s="818"/>
      <c r="AC68" s="819"/>
      <c r="AD68" s="819"/>
      <c r="AE68" s="818"/>
      <c r="AF68" s="818"/>
      <c r="AG68" s="818"/>
      <c r="AH68" s="818"/>
      <c r="AI68" s="818"/>
      <c r="AJ68" s="819"/>
      <c r="AK68" s="825"/>
      <c r="AL68" s="818"/>
      <c r="AM68" s="818"/>
      <c r="AN68" s="818"/>
      <c r="AO68" s="818"/>
      <c r="AP68" s="819"/>
      <c r="AQ68" s="819"/>
      <c r="AR68" s="818"/>
      <c r="AS68" s="818"/>
      <c r="AT68" s="818"/>
      <c r="AU68" s="818"/>
      <c r="AV68" s="818"/>
      <c r="AW68" s="819"/>
      <c r="AX68" s="819"/>
      <c r="AY68" s="818"/>
      <c r="AZ68" s="801"/>
      <c r="BA68" s="801"/>
      <c r="BB68" s="801"/>
      <c r="BC68" s="831"/>
      <c r="BD68" s="831"/>
      <c r="BE68" s="801"/>
      <c r="BF68" s="801"/>
      <c r="BG68" s="801"/>
      <c r="BH68" s="801"/>
      <c r="BI68" s="801"/>
      <c r="BJ68" s="801"/>
      <c r="BK68" s="801"/>
      <c r="BL68" s="801"/>
      <c r="BM68" s="801"/>
      <c r="BN68" s="853">
        <f t="shared" si="6"/>
        <v>0</v>
      </c>
      <c r="BO68" s="854">
        <f t="shared" si="7"/>
        <v>0</v>
      </c>
      <c r="BP68" s="801"/>
      <c r="BQ68" s="837">
        <f t="shared" si="8"/>
        <v>0</v>
      </c>
      <c r="BR68" s="853">
        <f t="shared" ca="1" si="9"/>
        <v>0</v>
      </c>
      <c r="BS68" s="854">
        <f t="shared" ca="1" si="10"/>
        <v>0</v>
      </c>
      <c r="BT68" s="801"/>
      <c r="BU68" s="837">
        <f t="shared" si="11"/>
        <v>0</v>
      </c>
      <c r="BV68" s="855">
        <f t="shared" ca="1" si="12"/>
        <v>0</v>
      </c>
      <c r="BW68" s="801">
        <f t="shared" si="14"/>
        <v>0</v>
      </c>
      <c r="BX68" s="801"/>
      <c r="BY68" s="801"/>
    </row>
    <row r="69" spans="1:77" ht="15.75" customHeight="1">
      <c r="A69" s="801"/>
      <c r="B69" s="818"/>
      <c r="C69" s="818"/>
      <c r="D69" s="818"/>
      <c r="E69" s="818"/>
      <c r="F69" s="818"/>
      <c r="G69" s="818"/>
      <c r="H69" s="818"/>
      <c r="I69" s="801"/>
      <c r="J69" s="801"/>
      <c r="K69" s="818"/>
      <c r="L69" s="818"/>
      <c r="M69" s="818"/>
      <c r="N69" s="818"/>
      <c r="O69" s="819"/>
      <c r="P69" s="819"/>
      <c r="Q69" s="818"/>
      <c r="R69" s="818"/>
      <c r="S69" s="818"/>
      <c r="T69" s="818"/>
      <c r="U69" s="818"/>
      <c r="V69" s="819"/>
      <c r="W69" s="819"/>
      <c r="X69" s="818"/>
      <c r="Y69" s="818"/>
      <c r="Z69" s="818"/>
      <c r="AA69" s="818"/>
      <c r="AB69" s="818"/>
      <c r="AC69" s="819"/>
      <c r="AD69" s="819"/>
      <c r="AE69" s="818"/>
      <c r="AF69" s="818"/>
      <c r="AG69" s="818"/>
      <c r="AH69" s="818"/>
      <c r="AI69" s="818"/>
      <c r="AJ69" s="819"/>
      <c r="AK69" s="825"/>
      <c r="AL69" s="818"/>
      <c r="AM69" s="818"/>
      <c r="AN69" s="818"/>
      <c r="AO69" s="818"/>
      <c r="AP69" s="819"/>
      <c r="AQ69" s="819"/>
      <c r="AR69" s="818"/>
      <c r="AS69" s="818"/>
      <c r="AT69" s="818"/>
      <c r="AU69" s="818"/>
      <c r="AV69" s="818"/>
      <c r="AW69" s="819"/>
      <c r="AX69" s="819"/>
      <c r="AY69" s="818"/>
      <c r="AZ69" s="801"/>
      <c r="BA69" s="801"/>
      <c r="BB69" s="801"/>
      <c r="BC69" s="831"/>
      <c r="BD69" s="831"/>
      <c r="BE69" s="801"/>
      <c r="BF69" s="801"/>
      <c r="BG69" s="801"/>
      <c r="BH69" s="801"/>
      <c r="BI69" s="801"/>
      <c r="BJ69" s="801"/>
      <c r="BK69" s="801"/>
      <c r="BL69" s="801"/>
      <c r="BM69" s="801" t="s">
        <v>148</v>
      </c>
      <c r="BN69" s="853">
        <f t="shared" si="6"/>
        <v>0.10833333333333195</v>
      </c>
      <c r="BO69" s="854">
        <f t="shared" si="7"/>
        <v>2.5999999999999668</v>
      </c>
      <c r="BP69" s="801"/>
      <c r="BQ69" s="837" t="str">
        <f t="shared" si="8"/>
        <v>IEC3</v>
      </c>
      <c r="BR69" s="853">
        <f t="shared" ca="1" si="9"/>
        <v>0.22569444444444398</v>
      </c>
      <c r="BS69" s="854">
        <f t="shared" ca="1" si="10"/>
        <v>5.4166666666666554</v>
      </c>
      <c r="BT69" s="801"/>
      <c r="BU69" s="837" t="str">
        <f t="shared" si="11"/>
        <v>IEC3</v>
      </c>
      <c r="BV69" s="855">
        <f t="shared" ca="1" si="12"/>
        <v>8.0166666666666231</v>
      </c>
      <c r="BW69" s="801" t="str">
        <f t="shared" si="14"/>
        <v>IEC3</v>
      </c>
      <c r="BX69" s="801"/>
      <c r="BY69" s="801"/>
    </row>
    <row r="70" spans="1:77" ht="15.75" customHeight="1">
      <c r="A70" s="801"/>
      <c r="B70" s="818"/>
      <c r="C70" s="818"/>
      <c r="D70" s="818"/>
      <c r="E70" s="818"/>
      <c r="F70" s="818"/>
      <c r="G70" s="818"/>
      <c r="H70" s="818"/>
      <c r="I70" s="801"/>
      <c r="J70" s="801"/>
      <c r="K70" s="818"/>
      <c r="L70" s="818"/>
      <c r="M70" s="818"/>
      <c r="N70" s="818"/>
      <c r="O70" s="819"/>
      <c r="P70" s="819"/>
      <c r="Q70" s="818"/>
      <c r="R70" s="818"/>
      <c r="S70" s="818"/>
      <c r="T70" s="818"/>
      <c r="U70" s="818"/>
      <c r="V70" s="819"/>
      <c r="W70" s="819"/>
      <c r="X70" s="818"/>
      <c r="Y70" s="818"/>
      <c r="Z70" s="818"/>
      <c r="AA70" s="818"/>
      <c r="AB70" s="818"/>
      <c r="AC70" s="819"/>
      <c r="AD70" s="819"/>
      <c r="AE70" s="818"/>
      <c r="AF70" s="818"/>
      <c r="AG70" s="818"/>
      <c r="AH70" s="818"/>
      <c r="AI70" s="818"/>
      <c r="AJ70" s="819"/>
      <c r="AK70" s="825"/>
      <c r="AL70" s="818"/>
      <c r="AM70" s="818"/>
      <c r="AN70" s="818"/>
      <c r="AO70" s="818"/>
      <c r="AP70" s="819"/>
      <c r="AQ70" s="819"/>
      <c r="AR70" s="818"/>
      <c r="AS70" s="818"/>
      <c r="AT70" s="818"/>
      <c r="AU70" s="818"/>
      <c r="AV70" s="818"/>
      <c r="AW70" s="819"/>
      <c r="AX70" s="819"/>
      <c r="AY70" s="818"/>
      <c r="AZ70" s="801"/>
      <c r="BA70" s="801"/>
      <c r="BB70" s="801"/>
      <c r="BC70" s="831"/>
      <c r="BD70" s="831"/>
      <c r="BE70" s="801"/>
      <c r="BF70" s="801"/>
      <c r="BG70" s="801"/>
      <c r="BH70" s="801"/>
      <c r="BI70" s="801"/>
      <c r="BJ70" s="801"/>
      <c r="BK70" s="801"/>
      <c r="BL70" s="801"/>
      <c r="BM70" s="801" t="s">
        <v>50</v>
      </c>
      <c r="BN70" s="853">
        <f t="shared" si="6"/>
        <v>0.11111111111111194</v>
      </c>
      <c r="BO70" s="854">
        <f t="shared" si="7"/>
        <v>2.6666666666666865</v>
      </c>
      <c r="BP70" s="801"/>
      <c r="BQ70" s="837" t="str">
        <f t="shared" si="8"/>
        <v>IES2</v>
      </c>
      <c r="BR70" s="853">
        <f t="shared" ca="1" si="9"/>
        <v>0.18194444444444297</v>
      </c>
      <c r="BS70" s="854">
        <f t="shared" ca="1" si="10"/>
        <v>4.3666666666666316</v>
      </c>
      <c r="BT70" s="801"/>
      <c r="BU70" s="837" t="str">
        <f t="shared" si="11"/>
        <v>IES2</v>
      </c>
      <c r="BV70" s="855">
        <f t="shared" ca="1" si="12"/>
        <v>7.0333333333333181</v>
      </c>
      <c r="BW70" s="801" t="str">
        <f t="shared" si="14"/>
        <v>IES2</v>
      </c>
      <c r="BX70" s="801"/>
      <c r="BY70" s="801"/>
    </row>
    <row r="71" spans="1:77" ht="15.75" customHeight="1">
      <c r="A71" s="801"/>
      <c r="B71" s="818"/>
      <c r="C71" s="818"/>
      <c r="D71" s="818"/>
      <c r="E71" s="818"/>
      <c r="F71" s="818"/>
      <c r="G71" s="818"/>
      <c r="H71" s="818"/>
      <c r="I71" s="801"/>
      <c r="J71" s="801"/>
      <c r="K71" s="818"/>
      <c r="L71" s="818"/>
      <c r="M71" s="818"/>
      <c r="N71" s="818"/>
      <c r="O71" s="819"/>
      <c r="P71" s="819"/>
      <c r="Q71" s="818"/>
      <c r="R71" s="818"/>
      <c r="S71" s="818"/>
      <c r="T71" s="818"/>
      <c r="U71" s="818"/>
      <c r="V71" s="819"/>
      <c r="W71" s="819"/>
      <c r="X71" s="818"/>
      <c r="Y71" s="818"/>
      <c r="Z71" s="818"/>
      <c r="AA71" s="818"/>
      <c r="AB71" s="818"/>
      <c r="AC71" s="819"/>
      <c r="AD71" s="819"/>
      <c r="AE71" s="818"/>
      <c r="AF71" s="818"/>
      <c r="AG71" s="818"/>
      <c r="AH71" s="818"/>
      <c r="AI71" s="818"/>
      <c r="AJ71" s="819"/>
      <c r="AK71" s="825"/>
      <c r="AL71" s="818"/>
      <c r="AM71" s="818"/>
      <c r="AN71" s="818"/>
      <c r="AO71" s="818"/>
      <c r="AP71" s="819"/>
      <c r="AQ71" s="819"/>
      <c r="AR71" s="818"/>
      <c r="AS71" s="818"/>
      <c r="AT71" s="818"/>
      <c r="AU71" s="818"/>
      <c r="AV71" s="818"/>
      <c r="AW71" s="819"/>
      <c r="AX71" s="819"/>
      <c r="AY71" s="818"/>
      <c r="AZ71" s="801"/>
      <c r="BA71" s="801"/>
      <c r="BB71" s="801"/>
      <c r="BC71" s="831"/>
      <c r="BD71" s="831"/>
      <c r="BE71" s="801"/>
      <c r="BF71" s="801"/>
      <c r="BG71" s="801"/>
      <c r="BH71" s="801"/>
      <c r="BI71" s="801"/>
      <c r="BJ71" s="801"/>
      <c r="BK71" s="801"/>
      <c r="BL71" s="801"/>
      <c r="BM71" s="801" t="s">
        <v>149</v>
      </c>
      <c r="BN71" s="853">
        <f t="shared" si="6"/>
        <v>0.16180555555555698</v>
      </c>
      <c r="BO71" s="854">
        <f t="shared" si="7"/>
        <v>3.8833333333333675</v>
      </c>
      <c r="BP71" s="801"/>
      <c r="BQ71" s="837" t="str">
        <f t="shared" si="8"/>
        <v>PTC</v>
      </c>
      <c r="BR71" s="853">
        <f t="shared" ca="1" si="9"/>
        <v>0</v>
      </c>
      <c r="BS71" s="854">
        <f t="shared" ca="1" si="10"/>
        <v>0</v>
      </c>
      <c r="BT71" s="801"/>
      <c r="BU71" s="837" t="str">
        <f t="shared" si="11"/>
        <v>PTC</v>
      </c>
      <c r="BV71" s="855">
        <f t="shared" ca="1" si="12"/>
        <v>3.8833333333333675</v>
      </c>
      <c r="BW71" s="801" t="str">
        <f t="shared" si="14"/>
        <v>PTC</v>
      </c>
      <c r="BX71" s="801"/>
      <c r="BY71" s="801"/>
    </row>
    <row r="72" spans="1:77" ht="15.75" customHeight="1">
      <c r="O72" s="856"/>
      <c r="P72" s="856"/>
      <c r="V72" s="856"/>
      <c r="W72" s="856"/>
      <c r="AC72" s="856"/>
      <c r="AD72" s="856"/>
      <c r="AJ72" s="856"/>
      <c r="AK72" s="857"/>
      <c r="AP72" s="856"/>
      <c r="AQ72" s="856"/>
      <c r="AW72" s="856"/>
      <c r="AX72" s="856"/>
      <c r="BC72" s="858"/>
      <c r="BD72" s="858"/>
      <c r="BE72" s="642"/>
      <c r="BF72" s="642"/>
      <c r="BG72" s="642"/>
      <c r="BH72" s="642"/>
      <c r="BI72" s="642"/>
      <c r="BJ72" s="642"/>
      <c r="BK72" s="642"/>
      <c r="BL72" s="642"/>
      <c r="BM72" s="801"/>
      <c r="BN72" s="853">
        <f t="shared" si="6"/>
        <v>0</v>
      </c>
      <c r="BO72" s="854">
        <f t="shared" si="7"/>
        <v>0</v>
      </c>
      <c r="BP72" s="801"/>
      <c r="BQ72" s="837">
        <f t="shared" si="8"/>
        <v>0</v>
      </c>
      <c r="BR72" s="853">
        <f t="shared" ca="1" si="9"/>
        <v>0</v>
      </c>
      <c r="BS72" s="854">
        <f t="shared" ca="1" si="10"/>
        <v>0</v>
      </c>
      <c r="BT72" s="801"/>
      <c r="BU72" s="837">
        <f t="shared" si="11"/>
        <v>0</v>
      </c>
      <c r="BV72" s="855">
        <f t="shared" ca="1" si="12"/>
        <v>0</v>
      </c>
      <c r="BW72" s="801">
        <f t="shared" si="14"/>
        <v>0</v>
      </c>
    </row>
    <row r="73" spans="1:77" ht="15.75" customHeight="1">
      <c r="O73" s="856"/>
      <c r="P73" s="856"/>
      <c r="V73" s="856"/>
      <c r="W73" s="856"/>
      <c r="AC73" s="856"/>
      <c r="AD73" s="856"/>
      <c r="AJ73" s="856"/>
      <c r="AK73" s="857"/>
      <c r="AP73" s="856"/>
      <c r="AQ73" s="856"/>
      <c r="AW73" s="856"/>
      <c r="AX73" s="856"/>
      <c r="BC73" s="858"/>
      <c r="BD73" s="858"/>
      <c r="BE73" s="642"/>
      <c r="BF73" s="642"/>
      <c r="BG73" s="642"/>
      <c r="BH73" s="642"/>
      <c r="BI73" s="642"/>
      <c r="BJ73" s="642"/>
      <c r="BK73" s="642"/>
      <c r="BL73" s="642"/>
      <c r="BM73" s="801">
        <v>88</v>
      </c>
      <c r="BN73" s="853">
        <f t="shared" si="6"/>
        <v>0</v>
      </c>
      <c r="BO73" s="854">
        <f t="shared" si="7"/>
        <v>0</v>
      </c>
      <c r="BP73" s="801"/>
      <c r="BQ73" s="837">
        <f t="shared" si="8"/>
        <v>88</v>
      </c>
      <c r="BR73" s="853">
        <f t="shared" ca="1" si="9"/>
        <v>0.125</v>
      </c>
      <c r="BS73" s="854">
        <f t="shared" ca="1" si="10"/>
        <v>3</v>
      </c>
      <c r="BT73" s="801"/>
      <c r="BU73" s="837">
        <f t="shared" si="11"/>
        <v>88</v>
      </c>
      <c r="BV73" s="855">
        <f t="shared" ca="1" si="12"/>
        <v>3</v>
      </c>
      <c r="BW73" s="801">
        <f t="shared" si="14"/>
        <v>88</v>
      </c>
    </row>
    <row r="74" spans="1:77" ht="15.75" customHeight="1">
      <c r="O74" s="856"/>
      <c r="P74" s="856"/>
      <c r="V74" s="856"/>
      <c r="W74" s="856"/>
      <c r="AC74" s="856"/>
      <c r="AD74" s="856"/>
      <c r="AJ74" s="856"/>
      <c r="AK74" s="857"/>
      <c r="AP74" s="856"/>
      <c r="AQ74" s="856"/>
      <c r="AW74" s="856"/>
      <c r="AX74" s="856"/>
      <c r="BC74" s="858"/>
      <c r="BD74" s="858"/>
      <c r="BE74" s="642"/>
      <c r="BF74" s="642"/>
      <c r="BG74" s="642"/>
      <c r="BH74" s="642"/>
      <c r="BI74" s="642"/>
      <c r="BJ74" s="642"/>
      <c r="BK74" s="642"/>
      <c r="BL74" s="642"/>
      <c r="BM74" s="801">
        <v>154</v>
      </c>
      <c r="BN74" s="853">
        <f t="shared" si="6"/>
        <v>0</v>
      </c>
      <c r="BO74" s="854">
        <f t="shared" si="7"/>
        <v>0</v>
      </c>
      <c r="BP74" s="801"/>
      <c r="BQ74" s="837">
        <f t="shared" si="8"/>
        <v>154</v>
      </c>
      <c r="BR74" s="853">
        <f t="shared" ca="1" si="9"/>
        <v>0.125</v>
      </c>
      <c r="BS74" s="854">
        <f t="shared" ca="1" si="10"/>
        <v>3</v>
      </c>
      <c r="BT74" s="801"/>
      <c r="BU74" s="837">
        <f t="shared" si="11"/>
        <v>154</v>
      </c>
      <c r="BV74" s="855">
        <f t="shared" ca="1" si="12"/>
        <v>3</v>
      </c>
      <c r="BW74" s="801">
        <f t="shared" si="14"/>
        <v>154</v>
      </c>
    </row>
    <row r="75" spans="1:77" ht="15.75" customHeight="1">
      <c r="O75" s="856"/>
      <c r="P75" s="856"/>
      <c r="V75" s="856"/>
      <c r="W75" s="856"/>
      <c r="AC75" s="856"/>
      <c r="AD75" s="856"/>
      <c r="AJ75" s="856"/>
      <c r="AK75" s="857"/>
      <c r="AP75" s="856"/>
      <c r="AQ75" s="856"/>
      <c r="AW75" s="856"/>
      <c r="AX75" s="856"/>
      <c r="BC75" s="858"/>
      <c r="BD75" s="858"/>
      <c r="BE75" s="642"/>
      <c r="BF75" s="642"/>
      <c r="BG75" s="642"/>
      <c r="BH75" s="642"/>
      <c r="BI75" s="642"/>
      <c r="BJ75" s="642"/>
      <c r="BK75" s="642"/>
      <c r="BL75" s="642"/>
      <c r="BM75" s="801">
        <v>220</v>
      </c>
      <c r="BN75" s="853">
        <f t="shared" si="6"/>
        <v>0</v>
      </c>
      <c r="BO75" s="854">
        <f t="shared" si="7"/>
        <v>0</v>
      </c>
      <c r="BP75" s="801"/>
      <c r="BQ75" s="837">
        <f t="shared" si="8"/>
        <v>220</v>
      </c>
      <c r="BR75" s="853">
        <f t="shared" ca="1" si="9"/>
        <v>0</v>
      </c>
      <c r="BS75" s="854">
        <f t="shared" ca="1" si="10"/>
        <v>0</v>
      </c>
      <c r="BT75" s="801"/>
      <c r="BU75" s="837">
        <f t="shared" si="11"/>
        <v>220</v>
      </c>
      <c r="BV75" s="855">
        <f t="shared" ca="1" si="12"/>
        <v>0</v>
      </c>
      <c r="BW75" s="801">
        <f t="shared" si="14"/>
        <v>220</v>
      </c>
    </row>
    <row r="76" spans="1:77" ht="15.75" customHeight="1">
      <c r="O76" s="856"/>
      <c r="P76" s="856"/>
      <c r="V76" s="856"/>
      <c r="W76" s="856"/>
      <c r="AC76" s="856"/>
      <c r="AD76" s="856"/>
      <c r="AJ76" s="856"/>
      <c r="AK76" s="857"/>
      <c r="AP76" s="856"/>
      <c r="AQ76" s="856"/>
      <c r="AW76" s="856"/>
      <c r="AX76" s="856"/>
      <c r="BC76" s="858"/>
      <c r="BD76" s="858"/>
      <c r="BE76" s="642"/>
      <c r="BF76" s="642"/>
      <c r="BG76" s="642"/>
      <c r="BH76" s="642"/>
      <c r="BI76" s="642"/>
      <c r="BJ76" s="642"/>
      <c r="BK76" s="642"/>
      <c r="BL76" s="642"/>
      <c r="BM76" s="801">
        <v>221</v>
      </c>
      <c r="BN76" s="853">
        <f t="shared" si="6"/>
        <v>0</v>
      </c>
      <c r="BO76" s="854">
        <f t="shared" si="7"/>
        <v>0</v>
      </c>
      <c r="BP76" s="801"/>
      <c r="BQ76" s="837">
        <f t="shared" si="8"/>
        <v>221</v>
      </c>
      <c r="BR76" s="853">
        <f t="shared" ca="1" si="9"/>
        <v>0</v>
      </c>
      <c r="BS76" s="854">
        <f t="shared" ca="1" si="10"/>
        <v>0</v>
      </c>
      <c r="BT76" s="801"/>
      <c r="BU76" s="837">
        <f t="shared" si="11"/>
        <v>221</v>
      </c>
      <c r="BV76" s="855">
        <f t="shared" ca="1" si="12"/>
        <v>0</v>
      </c>
      <c r="BW76" s="801">
        <f t="shared" si="14"/>
        <v>221</v>
      </c>
    </row>
    <row r="77" spans="1:77" ht="15.75" customHeight="1">
      <c r="O77" s="856"/>
      <c r="P77" s="856"/>
      <c r="V77" s="856"/>
      <c r="W77" s="856"/>
      <c r="AC77" s="856"/>
      <c r="AD77" s="856"/>
      <c r="AJ77" s="856"/>
      <c r="AK77" s="857"/>
      <c r="AP77" s="856"/>
      <c r="AQ77" s="856"/>
      <c r="AW77" s="856"/>
      <c r="AX77" s="856"/>
      <c r="BC77" s="858"/>
      <c r="BD77" s="858"/>
      <c r="BE77" s="642"/>
      <c r="BF77" s="642"/>
      <c r="BG77" s="642"/>
      <c r="BH77" s="642"/>
      <c r="BI77" s="642"/>
      <c r="BJ77" s="642"/>
      <c r="BK77" s="642"/>
      <c r="BL77" s="642"/>
      <c r="BM77" s="859"/>
      <c r="BO77" s="860"/>
      <c r="BP77" s="642"/>
      <c r="BQ77" s="859"/>
      <c r="BS77" s="860"/>
      <c r="BT77" s="642"/>
      <c r="BV77" s="855">
        <f t="shared" si="12"/>
        <v>0</v>
      </c>
    </row>
    <row r="78" spans="1:77" ht="15.75" customHeight="1">
      <c r="O78" s="856"/>
      <c r="P78" s="856"/>
      <c r="V78" s="856"/>
      <c r="W78" s="856"/>
      <c r="AC78" s="856"/>
      <c r="AD78" s="856"/>
      <c r="AJ78" s="856"/>
      <c r="AK78" s="857"/>
      <c r="AP78" s="856"/>
      <c r="AQ78" s="856"/>
      <c r="AW78" s="856"/>
      <c r="AX78" s="856"/>
      <c r="BC78" s="858"/>
      <c r="BD78" s="858"/>
      <c r="BE78" s="642"/>
      <c r="BF78" s="642"/>
      <c r="BG78" s="642"/>
      <c r="BH78" s="642"/>
      <c r="BI78" s="642"/>
      <c r="BJ78" s="642"/>
      <c r="BK78" s="642"/>
      <c r="BL78" s="642"/>
      <c r="BM78" s="859"/>
      <c r="BO78" s="860"/>
      <c r="BP78" s="642"/>
      <c r="BQ78" s="859"/>
      <c r="BS78" s="860"/>
      <c r="BT78" s="642"/>
      <c r="BV78" s="642"/>
    </row>
    <row r="79" spans="1:77" ht="15.75" customHeight="1">
      <c r="O79" s="856"/>
      <c r="P79" s="856"/>
      <c r="V79" s="856"/>
      <c r="W79" s="856"/>
      <c r="AC79" s="856"/>
      <c r="AD79" s="856"/>
      <c r="AJ79" s="856"/>
      <c r="AK79" s="857"/>
      <c r="AP79" s="856"/>
      <c r="AQ79" s="856"/>
      <c r="AW79" s="856"/>
      <c r="AX79" s="856"/>
      <c r="BC79" s="858"/>
      <c r="BD79" s="858"/>
      <c r="BE79" s="642"/>
      <c r="BF79" s="642"/>
      <c r="BG79" s="642"/>
      <c r="BH79" s="642"/>
      <c r="BI79" s="642"/>
      <c r="BJ79" s="642"/>
      <c r="BK79" s="642"/>
      <c r="BL79" s="642"/>
      <c r="BM79" s="859"/>
      <c r="BO79" s="860"/>
      <c r="BP79" s="642"/>
      <c r="BQ79" s="859"/>
      <c r="BS79" s="860"/>
      <c r="BT79" s="642"/>
      <c r="BV79" s="642"/>
    </row>
    <row r="80" spans="1:77" ht="15.75" customHeight="1">
      <c r="O80" s="856"/>
      <c r="P80" s="856"/>
      <c r="V80" s="856"/>
      <c r="W80" s="856"/>
      <c r="AC80" s="856"/>
      <c r="AD80" s="856"/>
      <c r="AJ80" s="856"/>
      <c r="AK80" s="857"/>
      <c r="AP80" s="856"/>
      <c r="AQ80" s="856"/>
      <c r="AW80" s="856"/>
      <c r="AX80" s="856"/>
      <c r="BC80" s="858"/>
      <c r="BD80" s="858"/>
      <c r="BE80" s="642"/>
      <c r="BF80" s="642"/>
      <c r="BG80" s="642"/>
      <c r="BH80" s="642"/>
      <c r="BI80" s="642"/>
      <c r="BJ80" s="642"/>
      <c r="BK80" s="642"/>
      <c r="BL80" s="642"/>
      <c r="BM80" s="859"/>
      <c r="BO80" s="860"/>
      <c r="BP80" s="642"/>
      <c r="BQ80" s="859"/>
      <c r="BS80" s="860"/>
      <c r="BT80" s="642"/>
      <c r="BV80" s="642"/>
    </row>
    <row r="81" spans="15:74" ht="15.75" customHeight="1">
      <c r="O81" s="856"/>
      <c r="P81" s="856"/>
      <c r="V81" s="856"/>
      <c r="W81" s="856"/>
      <c r="AC81" s="856"/>
      <c r="AD81" s="856"/>
      <c r="AJ81" s="856"/>
      <c r="AK81" s="857"/>
      <c r="AP81" s="856"/>
      <c r="AQ81" s="856"/>
      <c r="AW81" s="856"/>
      <c r="AX81" s="856"/>
      <c r="BC81" s="858"/>
      <c r="BD81" s="858"/>
      <c r="BE81" s="642"/>
      <c r="BF81" s="642"/>
      <c r="BG81" s="642"/>
      <c r="BH81" s="642"/>
      <c r="BI81" s="642"/>
      <c r="BJ81" s="642"/>
      <c r="BK81" s="642"/>
      <c r="BL81" s="642"/>
      <c r="BM81" s="859"/>
      <c r="BO81" s="860"/>
      <c r="BP81" s="642"/>
      <c r="BQ81" s="859"/>
      <c r="BS81" s="860"/>
      <c r="BT81" s="642"/>
      <c r="BV81" s="642"/>
    </row>
    <row r="82" spans="15:74" ht="15.75" customHeight="1">
      <c r="O82" s="856"/>
      <c r="P82" s="856"/>
      <c r="V82" s="856"/>
      <c r="W82" s="856"/>
      <c r="AC82" s="856"/>
      <c r="AD82" s="856"/>
      <c r="AJ82" s="856"/>
      <c r="AK82" s="857"/>
      <c r="AP82" s="856"/>
      <c r="AQ82" s="856"/>
      <c r="AW82" s="856"/>
      <c r="AX82" s="856"/>
      <c r="BC82" s="858"/>
      <c r="BD82" s="858"/>
      <c r="BE82" s="642"/>
      <c r="BF82" s="642"/>
      <c r="BG82" s="642"/>
      <c r="BH82" s="642"/>
      <c r="BI82" s="642"/>
      <c r="BJ82" s="642"/>
      <c r="BK82" s="642"/>
      <c r="BL82" s="642"/>
      <c r="BM82" s="859"/>
      <c r="BO82" s="860"/>
      <c r="BP82" s="642"/>
      <c r="BQ82" s="859"/>
      <c r="BS82" s="860"/>
      <c r="BT82" s="642"/>
      <c r="BV82" s="642"/>
    </row>
    <row r="83" spans="15:74" ht="15.75" customHeight="1">
      <c r="O83" s="856"/>
      <c r="P83" s="856"/>
      <c r="V83" s="856"/>
      <c r="W83" s="856"/>
      <c r="AC83" s="856"/>
      <c r="AD83" s="856"/>
      <c r="AJ83" s="856"/>
      <c r="AK83" s="857"/>
      <c r="AP83" s="856"/>
      <c r="AQ83" s="856"/>
      <c r="AW83" s="856"/>
      <c r="AX83" s="856"/>
      <c r="BC83" s="858"/>
      <c r="BD83" s="858"/>
      <c r="BE83" s="642"/>
      <c r="BF83" s="642"/>
      <c r="BG83" s="642"/>
      <c r="BH83" s="642"/>
      <c r="BI83" s="642"/>
      <c r="BJ83" s="642"/>
      <c r="BK83" s="642"/>
      <c r="BL83" s="642"/>
      <c r="BM83" s="859"/>
      <c r="BO83" s="860"/>
      <c r="BP83" s="642"/>
      <c r="BQ83" s="859"/>
      <c r="BS83" s="860"/>
      <c r="BT83" s="642"/>
      <c r="BV83" s="642"/>
    </row>
    <row r="84" spans="15:74" ht="15.75" customHeight="1">
      <c r="O84" s="856"/>
      <c r="P84" s="856"/>
      <c r="V84" s="856"/>
      <c r="W84" s="856"/>
      <c r="AC84" s="856"/>
      <c r="AD84" s="856"/>
      <c r="AJ84" s="856"/>
      <c r="AK84" s="857"/>
      <c r="AP84" s="856"/>
      <c r="AQ84" s="856"/>
      <c r="AW84" s="856"/>
      <c r="AX84" s="856"/>
      <c r="BC84" s="858"/>
      <c r="BD84" s="858"/>
      <c r="BE84" s="642"/>
      <c r="BF84" s="642"/>
      <c r="BG84" s="642"/>
      <c r="BH84" s="642"/>
      <c r="BI84" s="642"/>
      <c r="BJ84" s="642"/>
      <c r="BK84" s="642"/>
      <c r="BL84" s="642"/>
      <c r="BM84" s="859"/>
      <c r="BO84" s="860"/>
      <c r="BP84" s="642"/>
      <c r="BQ84" s="859"/>
      <c r="BS84" s="860"/>
      <c r="BT84" s="642"/>
      <c r="BV84" s="642"/>
    </row>
    <row r="85" spans="15:74" ht="15.75" customHeight="1">
      <c r="O85" s="856"/>
      <c r="P85" s="856"/>
      <c r="V85" s="856"/>
      <c r="W85" s="856"/>
      <c r="AC85" s="856"/>
      <c r="AD85" s="856"/>
      <c r="AJ85" s="856"/>
      <c r="AK85" s="857"/>
      <c r="AP85" s="856"/>
      <c r="AQ85" s="856"/>
      <c r="AW85" s="856"/>
      <c r="AX85" s="856"/>
      <c r="BC85" s="858"/>
      <c r="BD85" s="858"/>
      <c r="BE85" s="642"/>
      <c r="BF85" s="642"/>
      <c r="BG85" s="642"/>
      <c r="BH85" s="642"/>
      <c r="BI85" s="642"/>
      <c r="BJ85" s="642"/>
      <c r="BK85" s="642"/>
      <c r="BL85" s="642"/>
      <c r="BM85" s="859"/>
      <c r="BO85" s="860"/>
      <c r="BP85" s="642"/>
      <c r="BQ85" s="859"/>
      <c r="BS85" s="860"/>
      <c r="BT85" s="642"/>
      <c r="BV85" s="642"/>
    </row>
    <row r="86" spans="15:74" ht="15.75" customHeight="1">
      <c r="O86" s="856"/>
      <c r="P86" s="856"/>
      <c r="V86" s="856"/>
      <c r="W86" s="856"/>
      <c r="AC86" s="856"/>
      <c r="AD86" s="856"/>
      <c r="AJ86" s="856"/>
      <c r="AK86" s="857"/>
      <c r="AP86" s="856"/>
      <c r="AQ86" s="856"/>
      <c r="AW86" s="856"/>
      <c r="AX86" s="856"/>
      <c r="BC86" s="858"/>
      <c r="BD86" s="858"/>
      <c r="BE86" s="642"/>
      <c r="BF86" s="642"/>
      <c r="BG86" s="642"/>
      <c r="BH86" s="642"/>
      <c r="BI86" s="642"/>
      <c r="BJ86" s="642"/>
      <c r="BK86" s="642"/>
      <c r="BL86" s="642"/>
      <c r="BM86" s="859"/>
      <c r="BO86" s="860"/>
      <c r="BP86" s="642"/>
      <c r="BQ86" s="859"/>
      <c r="BS86" s="860"/>
      <c r="BT86" s="642"/>
      <c r="BV86" s="642"/>
    </row>
    <row r="87" spans="15:74" ht="15.75" customHeight="1">
      <c r="O87" s="856"/>
      <c r="P87" s="856"/>
      <c r="V87" s="856"/>
      <c r="W87" s="856"/>
      <c r="AC87" s="856"/>
      <c r="AD87" s="856"/>
      <c r="AJ87" s="856"/>
      <c r="AK87" s="857"/>
      <c r="AP87" s="856"/>
      <c r="AQ87" s="856"/>
      <c r="AW87" s="856"/>
      <c r="AX87" s="856"/>
      <c r="BC87" s="858"/>
      <c r="BD87" s="858"/>
      <c r="BE87" s="642"/>
      <c r="BF87" s="642"/>
      <c r="BG87" s="642"/>
      <c r="BH87" s="642"/>
      <c r="BI87" s="642"/>
      <c r="BJ87" s="642"/>
      <c r="BK87" s="642"/>
      <c r="BL87" s="642"/>
      <c r="BM87" s="859"/>
      <c r="BO87" s="860"/>
      <c r="BP87" s="642"/>
      <c r="BQ87" s="859"/>
      <c r="BS87" s="860"/>
      <c r="BT87" s="642"/>
      <c r="BV87" s="642"/>
    </row>
    <row r="88" spans="15:74" ht="15.75" customHeight="1">
      <c r="O88" s="856"/>
      <c r="P88" s="856"/>
      <c r="V88" s="856"/>
      <c r="W88" s="856"/>
      <c r="AC88" s="856"/>
      <c r="AD88" s="856"/>
      <c r="AJ88" s="856"/>
      <c r="AK88" s="857"/>
      <c r="AP88" s="856"/>
      <c r="AQ88" s="856"/>
      <c r="AW88" s="856"/>
      <c r="AX88" s="856"/>
      <c r="BC88" s="858"/>
      <c r="BD88" s="858"/>
      <c r="BE88" s="642"/>
      <c r="BF88" s="642"/>
      <c r="BG88" s="642"/>
      <c r="BH88" s="642"/>
      <c r="BI88" s="642"/>
      <c r="BJ88" s="642"/>
      <c r="BK88" s="642"/>
      <c r="BL88" s="642"/>
      <c r="BM88" s="859"/>
      <c r="BO88" s="860"/>
      <c r="BP88" s="642"/>
      <c r="BQ88" s="859"/>
      <c r="BS88" s="860"/>
      <c r="BT88" s="642"/>
      <c r="BV88" s="642"/>
    </row>
    <row r="89" spans="15:74" ht="15.75" customHeight="1">
      <c r="O89" s="856"/>
      <c r="P89" s="856"/>
      <c r="V89" s="856"/>
      <c r="W89" s="856"/>
      <c r="AC89" s="856"/>
      <c r="AD89" s="856"/>
      <c r="AJ89" s="856"/>
      <c r="AK89" s="857"/>
      <c r="AP89" s="856"/>
      <c r="AQ89" s="856"/>
      <c r="AW89" s="856"/>
      <c r="AX89" s="856"/>
      <c r="BC89" s="858"/>
      <c r="BD89" s="858"/>
      <c r="BE89" s="642"/>
      <c r="BF89" s="642"/>
      <c r="BG89" s="642"/>
      <c r="BH89" s="642"/>
      <c r="BI89" s="642"/>
      <c r="BJ89" s="642"/>
      <c r="BK89" s="642"/>
      <c r="BL89" s="642"/>
      <c r="BM89" s="859"/>
      <c r="BO89" s="860"/>
      <c r="BP89" s="642"/>
      <c r="BQ89" s="859"/>
      <c r="BS89" s="860"/>
      <c r="BT89" s="642"/>
      <c r="BV89" s="642"/>
    </row>
    <row r="90" spans="15:74" ht="15.75" customHeight="1">
      <c r="O90" s="856"/>
      <c r="P90" s="856"/>
      <c r="V90" s="856"/>
      <c r="W90" s="856"/>
      <c r="AC90" s="856"/>
      <c r="AD90" s="856"/>
      <c r="AJ90" s="856"/>
      <c r="AK90" s="857"/>
      <c r="AP90" s="856"/>
      <c r="AQ90" s="856"/>
      <c r="AW90" s="856"/>
      <c r="AX90" s="856"/>
      <c r="BC90" s="858"/>
      <c r="BD90" s="858"/>
      <c r="BE90" s="642"/>
      <c r="BF90" s="642"/>
      <c r="BG90" s="642"/>
      <c r="BH90" s="642"/>
      <c r="BI90" s="642"/>
      <c r="BJ90" s="642"/>
      <c r="BK90" s="642"/>
      <c r="BL90" s="642"/>
      <c r="BM90" s="859"/>
      <c r="BO90" s="860"/>
      <c r="BP90" s="642"/>
      <c r="BQ90" s="859"/>
      <c r="BS90" s="860"/>
      <c r="BT90" s="642"/>
      <c r="BV90" s="642"/>
    </row>
    <row r="91" spans="15:74" ht="15.75" customHeight="1">
      <c r="O91" s="856"/>
      <c r="P91" s="856"/>
      <c r="V91" s="856"/>
      <c r="W91" s="856"/>
      <c r="AC91" s="856"/>
      <c r="AD91" s="856"/>
      <c r="AJ91" s="856"/>
      <c r="AK91" s="857"/>
      <c r="AP91" s="856"/>
      <c r="AQ91" s="856"/>
      <c r="AW91" s="856"/>
      <c r="AX91" s="856"/>
      <c r="BC91" s="858"/>
      <c r="BD91" s="858"/>
      <c r="BE91" s="642"/>
      <c r="BF91" s="642"/>
      <c r="BG91" s="642"/>
      <c r="BH91" s="642"/>
      <c r="BI91" s="642"/>
      <c r="BJ91" s="642"/>
      <c r="BK91" s="642"/>
      <c r="BL91" s="642"/>
      <c r="BM91" s="859"/>
      <c r="BO91" s="860"/>
      <c r="BP91" s="642"/>
      <c r="BQ91" s="859"/>
      <c r="BS91" s="860"/>
      <c r="BT91" s="642"/>
      <c r="BV91" s="642"/>
    </row>
    <row r="92" spans="15:74" ht="15.75" customHeight="1">
      <c r="O92" s="856"/>
      <c r="P92" s="856"/>
      <c r="V92" s="856"/>
      <c r="W92" s="856"/>
      <c r="AC92" s="856"/>
      <c r="AD92" s="856"/>
      <c r="AJ92" s="856"/>
      <c r="AK92" s="857"/>
      <c r="AP92" s="856"/>
      <c r="AQ92" s="856"/>
      <c r="AW92" s="856"/>
      <c r="AX92" s="856"/>
      <c r="BC92" s="858"/>
      <c r="BD92" s="858"/>
      <c r="BE92" s="642"/>
      <c r="BF92" s="642"/>
      <c r="BG92" s="642"/>
      <c r="BH92" s="642"/>
      <c r="BI92" s="642"/>
      <c r="BJ92" s="642"/>
      <c r="BK92" s="642"/>
      <c r="BL92" s="642"/>
      <c r="BM92" s="859"/>
      <c r="BO92" s="860"/>
      <c r="BP92" s="642"/>
      <c r="BQ92" s="859"/>
      <c r="BS92" s="860"/>
      <c r="BT92" s="642"/>
      <c r="BV92" s="642"/>
    </row>
    <row r="93" spans="15:74" ht="15.75" customHeight="1">
      <c r="O93" s="856"/>
      <c r="P93" s="856"/>
      <c r="V93" s="856"/>
      <c r="W93" s="856"/>
      <c r="AC93" s="856"/>
      <c r="AD93" s="856"/>
      <c r="AJ93" s="856"/>
      <c r="AK93" s="857"/>
      <c r="AP93" s="856"/>
      <c r="AQ93" s="856"/>
      <c r="AW93" s="856"/>
      <c r="AX93" s="856"/>
      <c r="BC93" s="858"/>
      <c r="BD93" s="858"/>
      <c r="BE93" s="642"/>
      <c r="BF93" s="642"/>
      <c r="BG93" s="642"/>
      <c r="BH93" s="642"/>
      <c r="BI93" s="642"/>
      <c r="BJ93" s="642"/>
      <c r="BK93" s="642"/>
      <c r="BL93" s="642"/>
      <c r="BM93" s="859"/>
      <c r="BO93" s="860"/>
      <c r="BP93" s="642"/>
      <c r="BQ93" s="859"/>
      <c r="BS93" s="860"/>
      <c r="BT93" s="642"/>
      <c r="BV93" s="642"/>
    </row>
    <row r="94" spans="15:74" ht="15.75" customHeight="1">
      <c r="O94" s="856"/>
      <c r="P94" s="856"/>
      <c r="V94" s="856"/>
      <c r="W94" s="856"/>
      <c r="AC94" s="856"/>
      <c r="AD94" s="856"/>
      <c r="AJ94" s="856"/>
      <c r="AK94" s="857"/>
      <c r="AP94" s="856"/>
      <c r="AQ94" s="856"/>
      <c r="AW94" s="856"/>
      <c r="AX94" s="856"/>
      <c r="BC94" s="858"/>
      <c r="BD94" s="858"/>
      <c r="BE94" s="642"/>
      <c r="BF94" s="642"/>
      <c r="BG94" s="642"/>
      <c r="BH94" s="642"/>
      <c r="BI94" s="642"/>
      <c r="BJ94" s="642"/>
      <c r="BK94" s="642"/>
      <c r="BL94" s="642"/>
      <c r="BM94" s="859"/>
      <c r="BO94" s="860"/>
      <c r="BP94" s="642"/>
      <c r="BQ94" s="859"/>
      <c r="BS94" s="860"/>
      <c r="BT94" s="642"/>
      <c r="BV94" s="642"/>
    </row>
    <row r="95" spans="15:74" ht="15.75" customHeight="1">
      <c r="O95" s="856"/>
      <c r="P95" s="856"/>
      <c r="V95" s="856"/>
      <c r="W95" s="856"/>
      <c r="AC95" s="856"/>
      <c r="AD95" s="856"/>
      <c r="AJ95" s="856"/>
      <c r="AK95" s="857"/>
      <c r="AP95" s="856"/>
      <c r="AQ95" s="856"/>
      <c r="AW95" s="856"/>
      <c r="AX95" s="856"/>
      <c r="BC95" s="858"/>
      <c r="BD95" s="858"/>
      <c r="BE95" s="642"/>
      <c r="BF95" s="642"/>
      <c r="BG95" s="642"/>
      <c r="BH95" s="642"/>
      <c r="BI95" s="642"/>
      <c r="BJ95" s="642"/>
      <c r="BK95" s="642"/>
      <c r="BL95" s="642"/>
      <c r="BM95" s="859"/>
      <c r="BO95" s="860"/>
      <c r="BP95" s="642"/>
      <c r="BQ95" s="859"/>
      <c r="BS95" s="860"/>
      <c r="BT95" s="642"/>
      <c r="BV95" s="642"/>
    </row>
    <row r="96" spans="15:74" ht="15.75" customHeight="1">
      <c r="O96" s="856"/>
      <c r="P96" s="856"/>
      <c r="V96" s="856"/>
      <c r="W96" s="856"/>
      <c r="AC96" s="856"/>
      <c r="AD96" s="856"/>
      <c r="AJ96" s="856"/>
      <c r="AK96" s="857"/>
      <c r="AP96" s="856"/>
      <c r="AQ96" s="856"/>
      <c r="AW96" s="856"/>
      <c r="AX96" s="856"/>
      <c r="BC96" s="858"/>
      <c r="BD96" s="858"/>
      <c r="BE96" s="642"/>
      <c r="BF96" s="642"/>
      <c r="BG96" s="642"/>
      <c r="BH96" s="642"/>
      <c r="BI96" s="642"/>
      <c r="BJ96" s="642"/>
      <c r="BK96" s="642"/>
      <c r="BL96" s="642"/>
      <c r="BM96" s="859"/>
      <c r="BO96" s="860"/>
      <c r="BP96" s="642"/>
      <c r="BQ96" s="859"/>
      <c r="BS96" s="860"/>
      <c r="BT96" s="642"/>
      <c r="BV96" s="642"/>
    </row>
    <row r="97" spans="15:74" ht="15.75" customHeight="1">
      <c r="O97" s="856"/>
      <c r="P97" s="856"/>
      <c r="V97" s="856"/>
      <c r="W97" s="856"/>
      <c r="AC97" s="856"/>
      <c r="AD97" s="856"/>
      <c r="AJ97" s="856"/>
      <c r="AK97" s="857"/>
      <c r="AP97" s="856"/>
      <c r="AQ97" s="856"/>
      <c r="AW97" s="856"/>
      <c r="AX97" s="856"/>
      <c r="BC97" s="858"/>
      <c r="BD97" s="858"/>
      <c r="BE97" s="642"/>
      <c r="BF97" s="642"/>
      <c r="BG97" s="642"/>
      <c r="BH97" s="642"/>
      <c r="BI97" s="642"/>
      <c r="BJ97" s="642"/>
      <c r="BK97" s="642"/>
      <c r="BL97" s="642"/>
      <c r="BM97" s="859"/>
      <c r="BO97" s="860"/>
      <c r="BP97" s="642"/>
      <c r="BQ97" s="859"/>
      <c r="BS97" s="860"/>
      <c r="BT97" s="642"/>
      <c r="BV97" s="642"/>
    </row>
    <row r="98" spans="15:74" ht="15.75" customHeight="1">
      <c r="O98" s="856"/>
      <c r="P98" s="856"/>
      <c r="V98" s="856"/>
      <c r="W98" s="856"/>
      <c r="AC98" s="856"/>
      <c r="AD98" s="856"/>
      <c r="AJ98" s="856"/>
      <c r="AK98" s="857"/>
      <c r="AP98" s="856"/>
      <c r="AQ98" s="856"/>
      <c r="AW98" s="856"/>
      <c r="AX98" s="856"/>
      <c r="BC98" s="858"/>
      <c r="BD98" s="858"/>
      <c r="BE98" s="642"/>
      <c r="BF98" s="642"/>
      <c r="BG98" s="642"/>
      <c r="BH98" s="642"/>
      <c r="BI98" s="642"/>
      <c r="BJ98" s="642"/>
      <c r="BK98" s="642"/>
      <c r="BL98" s="642"/>
      <c r="BM98" s="859"/>
      <c r="BO98" s="860"/>
      <c r="BP98" s="642"/>
      <c r="BQ98" s="859"/>
      <c r="BS98" s="860"/>
      <c r="BT98" s="642"/>
      <c r="BV98" s="642"/>
    </row>
    <row r="99" spans="15:74" ht="15.75" customHeight="1">
      <c r="O99" s="856"/>
      <c r="P99" s="856"/>
      <c r="V99" s="856"/>
      <c r="W99" s="856"/>
      <c r="AC99" s="856"/>
      <c r="AD99" s="856"/>
      <c r="AJ99" s="856"/>
      <c r="AK99" s="857"/>
      <c r="AP99" s="856"/>
      <c r="AQ99" s="856"/>
      <c r="AW99" s="856"/>
      <c r="AX99" s="856"/>
      <c r="BC99" s="858"/>
      <c r="BD99" s="858"/>
      <c r="BE99" s="642"/>
      <c r="BF99" s="642"/>
      <c r="BG99" s="642"/>
      <c r="BH99" s="642"/>
      <c r="BI99" s="642"/>
      <c r="BJ99" s="642"/>
      <c r="BK99" s="642"/>
      <c r="BL99" s="642"/>
      <c r="BM99" s="859"/>
      <c r="BO99" s="860"/>
      <c r="BP99" s="642"/>
      <c r="BQ99" s="859"/>
      <c r="BS99" s="860"/>
      <c r="BT99" s="642"/>
      <c r="BV99" s="642"/>
    </row>
    <row r="100" spans="15:74" ht="15.75" customHeight="1">
      <c r="O100" s="856"/>
      <c r="P100" s="856"/>
      <c r="V100" s="856"/>
      <c r="W100" s="856"/>
      <c r="AC100" s="856"/>
      <c r="AD100" s="856"/>
      <c r="AJ100" s="856"/>
      <c r="AK100" s="857"/>
      <c r="AP100" s="856"/>
      <c r="AQ100" s="856"/>
      <c r="AW100" s="856"/>
      <c r="AX100" s="856"/>
      <c r="BC100" s="858"/>
      <c r="BD100" s="858"/>
      <c r="BE100" s="642"/>
      <c r="BF100" s="642"/>
      <c r="BG100" s="642"/>
      <c r="BH100" s="642"/>
      <c r="BI100" s="642"/>
      <c r="BJ100" s="642"/>
      <c r="BK100" s="642"/>
      <c r="BL100" s="642"/>
      <c r="BM100" s="859"/>
      <c r="BO100" s="860"/>
      <c r="BP100" s="642"/>
      <c r="BQ100" s="859"/>
      <c r="BS100" s="860"/>
      <c r="BT100" s="642"/>
      <c r="BV100" s="642"/>
    </row>
    <row r="101" spans="15:74" ht="15.75" customHeight="1">
      <c r="O101" s="856"/>
      <c r="P101" s="856"/>
      <c r="V101" s="856"/>
      <c r="W101" s="856"/>
      <c r="AC101" s="856"/>
      <c r="AD101" s="856"/>
      <c r="AJ101" s="856"/>
      <c r="AK101" s="857"/>
      <c r="AP101" s="856"/>
      <c r="AQ101" s="856"/>
      <c r="AW101" s="856"/>
      <c r="AX101" s="856"/>
      <c r="BC101" s="858"/>
      <c r="BD101" s="858"/>
      <c r="BE101" s="642"/>
      <c r="BF101" s="642"/>
      <c r="BG101" s="642"/>
      <c r="BH101" s="642"/>
      <c r="BI101" s="642"/>
      <c r="BJ101" s="642"/>
      <c r="BK101" s="642"/>
      <c r="BL101" s="642"/>
      <c r="BM101" s="859"/>
      <c r="BO101" s="860"/>
      <c r="BP101" s="642"/>
      <c r="BQ101" s="859"/>
      <c r="BS101" s="860"/>
      <c r="BT101" s="642"/>
      <c r="BV101" s="642"/>
    </row>
    <row r="102" spans="15:74" ht="15.75" customHeight="1">
      <c r="O102" s="856"/>
      <c r="P102" s="856"/>
      <c r="V102" s="856"/>
      <c r="W102" s="856"/>
      <c r="AC102" s="856"/>
      <c r="AD102" s="856"/>
      <c r="AJ102" s="856"/>
      <c r="AK102" s="857"/>
      <c r="AP102" s="856"/>
      <c r="AQ102" s="856"/>
      <c r="AW102" s="856"/>
      <c r="AX102" s="856"/>
      <c r="BC102" s="858"/>
      <c r="BD102" s="858"/>
      <c r="BE102" s="642"/>
      <c r="BF102" s="642"/>
      <c r="BG102" s="642"/>
      <c r="BH102" s="642"/>
      <c r="BI102" s="642"/>
      <c r="BJ102" s="642"/>
      <c r="BK102" s="642"/>
      <c r="BL102" s="642"/>
      <c r="BM102" s="859"/>
      <c r="BO102" s="860"/>
      <c r="BP102" s="642"/>
      <c r="BQ102" s="859"/>
      <c r="BS102" s="860"/>
      <c r="BT102" s="642"/>
      <c r="BV102" s="642"/>
    </row>
    <row r="103" spans="15:74" ht="15.75" customHeight="1">
      <c r="O103" s="856"/>
      <c r="P103" s="856"/>
      <c r="V103" s="856"/>
      <c r="W103" s="856"/>
      <c r="AC103" s="856"/>
      <c r="AD103" s="856"/>
      <c r="AJ103" s="856"/>
      <c r="AK103" s="857"/>
      <c r="AP103" s="856"/>
      <c r="AQ103" s="856"/>
      <c r="AW103" s="856"/>
      <c r="AX103" s="856"/>
      <c r="BC103" s="858"/>
      <c r="BD103" s="858"/>
      <c r="BE103" s="642"/>
      <c r="BF103" s="642"/>
      <c r="BG103" s="642"/>
      <c r="BH103" s="642"/>
      <c r="BI103" s="642"/>
      <c r="BJ103" s="642"/>
      <c r="BK103" s="642"/>
      <c r="BL103" s="642"/>
      <c r="BM103" s="859"/>
      <c r="BO103" s="860"/>
      <c r="BP103" s="642"/>
      <c r="BQ103" s="859"/>
      <c r="BS103" s="860"/>
      <c r="BT103" s="642"/>
      <c r="BV103" s="642"/>
    </row>
    <row r="104" spans="15:74" ht="15.75" customHeight="1">
      <c r="O104" s="856"/>
      <c r="P104" s="856"/>
      <c r="V104" s="856"/>
      <c r="W104" s="856"/>
      <c r="AC104" s="856"/>
      <c r="AD104" s="856"/>
      <c r="AJ104" s="856"/>
      <c r="AK104" s="857"/>
      <c r="AP104" s="856"/>
      <c r="AQ104" s="856"/>
      <c r="AW104" s="856"/>
      <c r="AX104" s="856"/>
      <c r="BC104" s="858"/>
      <c r="BD104" s="858"/>
      <c r="BE104" s="642"/>
      <c r="BF104" s="642"/>
      <c r="BG104" s="642"/>
      <c r="BH104" s="642"/>
      <c r="BI104" s="642"/>
      <c r="BJ104" s="642"/>
      <c r="BK104" s="642"/>
      <c r="BL104" s="642"/>
      <c r="BM104" s="859"/>
      <c r="BO104" s="860"/>
      <c r="BP104" s="642"/>
      <c r="BQ104" s="859"/>
      <c r="BS104" s="860"/>
      <c r="BT104" s="642"/>
      <c r="BV104" s="642"/>
    </row>
    <row r="105" spans="15:74" ht="15.75" customHeight="1">
      <c r="O105" s="856"/>
      <c r="P105" s="856"/>
      <c r="V105" s="856"/>
      <c r="W105" s="856"/>
      <c r="AC105" s="856"/>
      <c r="AD105" s="856"/>
      <c r="AJ105" s="856"/>
      <c r="AK105" s="857"/>
      <c r="AP105" s="856"/>
      <c r="AQ105" s="856"/>
      <c r="AW105" s="856"/>
      <c r="AX105" s="856"/>
      <c r="BC105" s="858"/>
      <c r="BD105" s="858"/>
      <c r="BE105" s="642"/>
      <c r="BF105" s="642"/>
      <c r="BG105" s="642"/>
      <c r="BH105" s="642"/>
      <c r="BI105" s="642"/>
      <c r="BJ105" s="642"/>
      <c r="BK105" s="642"/>
      <c r="BL105" s="642"/>
      <c r="BM105" s="859"/>
      <c r="BO105" s="860"/>
      <c r="BP105" s="642"/>
      <c r="BQ105" s="859"/>
      <c r="BS105" s="860"/>
      <c r="BT105" s="642"/>
      <c r="BV105" s="642"/>
    </row>
    <row r="106" spans="15:74" ht="15.75" customHeight="1">
      <c r="O106" s="856"/>
      <c r="P106" s="856"/>
      <c r="V106" s="856"/>
      <c r="W106" s="856"/>
      <c r="AC106" s="856"/>
      <c r="AD106" s="856"/>
      <c r="AJ106" s="856"/>
      <c r="AK106" s="857"/>
      <c r="AP106" s="856"/>
      <c r="AQ106" s="856"/>
      <c r="AW106" s="856"/>
      <c r="AX106" s="856"/>
      <c r="BC106" s="858"/>
      <c r="BD106" s="858"/>
      <c r="BE106" s="642"/>
      <c r="BF106" s="642"/>
      <c r="BG106" s="642"/>
      <c r="BH106" s="642"/>
      <c r="BI106" s="642"/>
      <c r="BJ106" s="642"/>
      <c r="BK106" s="642"/>
      <c r="BL106" s="642"/>
      <c r="BM106" s="859"/>
      <c r="BO106" s="860"/>
      <c r="BP106" s="642"/>
      <c r="BQ106" s="859"/>
      <c r="BS106" s="860"/>
      <c r="BT106" s="642"/>
      <c r="BV106" s="642"/>
    </row>
    <row r="107" spans="15:74" ht="15.75" customHeight="1">
      <c r="O107" s="856"/>
      <c r="P107" s="856"/>
      <c r="V107" s="856"/>
      <c r="W107" s="856"/>
      <c r="AC107" s="856"/>
      <c r="AD107" s="856"/>
      <c r="AJ107" s="856"/>
      <c r="AK107" s="857"/>
      <c r="AP107" s="856"/>
      <c r="AQ107" s="856"/>
      <c r="AW107" s="856"/>
      <c r="AX107" s="856"/>
      <c r="BC107" s="858"/>
      <c r="BD107" s="858"/>
      <c r="BE107" s="642"/>
      <c r="BF107" s="642"/>
      <c r="BG107" s="642"/>
      <c r="BH107" s="642"/>
      <c r="BI107" s="642"/>
      <c r="BJ107" s="642"/>
      <c r="BK107" s="642"/>
      <c r="BL107" s="642"/>
      <c r="BM107" s="859"/>
      <c r="BO107" s="860"/>
      <c r="BP107" s="642"/>
      <c r="BQ107" s="859"/>
      <c r="BS107" s="860"/>
      <c r="BT107" s="642"/>
      <c r="BV107" s="642"/>
    </row>
    <row r="108" spans="15:74" ht="15.75" customHeight="1">
      <c r="O108" s="856"/>
      <c r="P108" s="856"/>
      <c r="V108" s="856"/>
      <c r="W108" s="856"/>
      <c r="AC108" s="856"/>
      <c r="AD108" s="856"/>
      <c r="AJ108" s="856"/>
      <c r="AK108" s="857"/>
      <c r="AP108" s="856"/>
      <c r="AQ108" s="856"/>
      <c r="AW108" s="856"/>
      <c r="AX108" s="856"/>
      <c r="BC108" s="858"/>
      <c r="BD108" s="858"/>
      <c r="BE108" s="642"/>
      <c r="BF108" s="642"/>
      <c r="BG108" s="642"/>
      <c r="BH108" s="642"/>
      <c r="BI108" s="642"/>
      <c r="BJ108" s="642"/>
      <c r="BK108" s="642"/>
      <c r="BL108" s="642"/>
      <c r="BM108" s="859"/>
      <c r="BO108" s="860"/>
      <c r="BP108" s="642"/>
      <c r="BQ108" s="859"/>
      <c r="BS108" s="860"/>
      <c r="BT108" s="642"/>
      <c r="BV108" s="642"/>
    </row>
    <row r="109" spans="15:74" ht="15.75" customHeight="1">
      <c r="O109" s="856"/>
      <c r="P109" s="856"/>
      <c r="V109" s="856"/>
      <c r="W109" s="856"/>
      <c r="AC109" s="856"/>
      <c r="AD109" s="856"/>
      <c r="AJ109" s="856"/>
      <c r="AK109" s="857"/>
      <c r="AP109" s="856"/>
      <c r="AQ109" s="856"/>
      <c r="AW109" s="856"/>
      <c r="AX109" s="856"/>
      <c r="BC109" s="858"/>
      <c r="BD109" s="858"/>
      <c r="BE109" s="642"/>
      <c r="BF109" s="642"/>
      <c r="BG109" s="642"/>
      <c r="BH109" s="642"/>
      <c r="BI109" s="642"/>
      <c r="BJ109" s="642"/>
      <c r="BK109" s="642"/>
      <c r="BL109" s="642"/>
      <c r="BM109" s="859"/>
      <c r="BO109" s="860"/>
      <c r="BP109" s="642"/>
      <c r="BQ109" s="859"/>
      <c r="BS109" s="860"/>
      <c r="BT109" s="642"/>
      <c r="BV109" s="642"/>
    </row>
    <row r="110" spans="15:74" ht="15.75" customHeight="1">
      <c r="O110" s="856"/>
      <c r="P110" s="856"/>
      <c r="V110" s="856"/>
      <c r="W110" s="856"/>
      <c r="AC110" s="856"/>
      <c r="AD110" s="856"/>
      <c r="AJ110" s="856"/>
      <c r="AK110" s="857"/>
      <c r="AP110" s="856"/>
      <c r="AQ110" s="856"/>
      <c r="AW110" s="856"/>
      <c r="AX110" s="856"/>
      <c r="BC110" s="858"/>
      <c r="BD110" s="858"/>
      <c r="BE110" s="642"/>
      <c r="BF110" s="642"/>
      <c r="BG110" s="642"/>
      <c r="BH110" s="642"/>
      <c r="BI110" s="642"/>
      <c r="BJ110" s="642"/>
      <c r="BK110" s="642"/>
      <c r="BL110" s="642"/>
      <c r="BM110" s="859"/>
      <c r="BO110" s="860"/>
      <c r="BP110" s="642"/>
      <c r="BQ110" s="859"/>
      <c r="BS110" s="860"/>
      <c r="BT110" s="642"/>
      <c r="BV110" s="642"/>
    </row>
    <row r="111" spans="15:74" ht="15.75" customHeight="1">
      <c r="O111" s="856"/>
      <c r="P111" s="856"/>
      <c r="V111" s="856"/>
      <c r="W111" s="856"/>
      <c r="AC111" s="856"/>
      <c r="AD111" s="856"/>
      <c r="AJ111" s="856"/>
      <c r="AK111" s="857"/>
      <c r="AP111" s="856"/>
      <c r="AQ111" s="856"/>
      <c r="AW111" s="856"/>
      <c r="AX111" s="856"/>
      <c r="BC111" s="858"/>
      <c r="BD111" s="858"/>
      <c r="BE111" s="642"/>
      <c r="BF111" s="642"/>
      <c r="BG111" s="642"/>
      <c r="BH111" s="642"/>
      <c r="BI111" s="642"/>
      <c r="BJ111" s="642"/>
      <c r="BK111" s="642"/>
      <c r="BL111" s="642"/>
      <c r="BM111" s="859"/>
      <c r="BO111" s="860"/>
      <c r="BP111" s="642"/>
      <c r="BQ111" s="859"/>
      <c r="BS111" s="860"/>
      <c r="BT111" s="642"/>
      <c r="BV111" s="642"/>
    </row>
    <row r="112" spans="15:74" ht="15.75" customHeight="1">
      <c r="O112" s="856"/>
      <c r="P112" s="856"/>
      <c r="V112" s="856"/>
      <c r="W112" s="856"/>
      <c r="AC112" s="856"/>
      <c r="AD112" s="856"/>
      <c r="AJ112" s="856"/>
      <c r="AK112" s="857"/>
      <c r="AP112" s="856"/>
      <c r="AQ112" s="856"/>
      <c r="AW112" s="856"/>
      <c r="AX112" s="856"/>
      <c r="BC112" s="858"/>
      <c r="BD112" s="858"/>
      <c r="BE112" s="642"/>
      <c r="BF112" s="642"/>
      <c r="BG112" s="642"/>
      <c r="BH112" s="642"/>
      <c r="BI112" s="642"/>
      <c r="BJ112" s="642"/>
      <c r="BK112" s="642"/>
      <c r="BL112" s="642"/>
      <c r="BM112" s="859"/>
      <c r="BO112" s="860"/>
      <c r="BP112" s="642"/>
      <c r="BQ112" s="859"/>
      <c r="BS112" s="860"/>
      <c r="BT112" s="642"/>
      <c r="BV112" s="642"/>
    </row>
    <row r="113" spans="15:74" ht="15.75" customHeight="1">
      <c r="O113" s="856"/>
      <c r="P113" s="856"/>
      <c r="V113" s="856"/>
      <c r="W113" s="856"/>
      <c r="AC113" s="856"/>
      <c r="AD113" s="856"/>
      <c r="AJ113" s="856"/>
      <c r="AK113" s="857"/>
      <c r="AP113" s="856"/>
      <c r="AQ113" s="856"/>
      <c r="AW113" s="856"/>
      <c r="AX113" s="856"/>
      <c r="BC113" s="858"/>
      <c r="BD113" s="858"/>
      <c r="BE113" s="642"/>
      <c r="BF113" s="642"/>
      <c r="BG113" s="642"/>
      <c r="BH113" s="642"/>
      <c r="BI113" s="642"/>
      <c r="BJ113" s="642"/>
      <c r="BK113" s="642"/>
      <c r="BL113" s="642"/>
      <c r="BM113" s="859"/>
      <c r="BO113" s="860"/>
      <c r="BP113" s="642"/>
      <c r="BQ113" s="859"/>
      <c r="BS113" s="860"/>
      <c r="BT113" s="642"/>
      <c r="BV113" s="642"/>
    </row>
    <row r="114" spans="15:74" ht="15.75" customHeight="1">
      <c r="O114" s="856"/>
      <c r="P114" s="856"/>
      <c r="V114" s="856"/>
      <c r="W114" s="856"/>
      <c r="AC114" s="856"/>
      <c r="AD114" s="856"/>
      <c r="AJ114" s="856"/>
      <c r="AK114" s="857"/>
      <c r="AP114" s="856"/>
      <c r="AQ114" s="856"/>
      <c r="AW114" s="856"/>
      <c r="AX114" s="856"/>
      <c r="BC114" s="858"/>
      <c r="BD114" s="858"/>
      <c r="BE114" s="642"/>
      <c r="BF114" s="642"/>
      <c r="BG114" s="642"/>
      <c r="BH114" s="642"/>
      <c r="BI114" s="642"/>
      <c r="BJ114" s="642"/>
      <c r="BK114" s="642"/>
      <c r="BL114" s="642"/>
      <c r="BM114" s="859"/>
      <c r="BO114" s="860"/>
      <c r="BP114" s="642"/>
      <c r="BQ114" s="859"/>
      <c r="BS114" s="860"/>
      <c r="BT114" s="642"/>
      <c r="BV114" s="642"/>
    </row>
    <row r="115" spans="15:74" ht="15.75" customHeight="1">
      <c r="O115" s="856"/>
      <c r="P115" s="856"/>
      <c r="V115" s="856"/>
      <c r="W115" s="856"/>
      <c r="AC115" s="856"/>
      <c r="AD115" s="856"/>
      <c r="AJ115" s="856"/>
      <c r="AK115" s="857"/>
      <c r="AP115" s="856"/>
      <c r="AQ115" s="856"/>
      <c r="AW115" s="856"/>
      <c r="AX115" s="856"/>
      <c r="BC115" s="858"/>
      <c r="BD115" s="858"/>
      <c r="BE115" s="642"/>
      <c r="BF115" s="642"/>
      <c r="BG115" s="642"/>
      <c r="BH115" s="642"/>
      <c r="BI115" s="642"/>
      <c r="BJ115" s="642"/>
      <c r="BK115" s="642"/>
      <c r="BL115" s="642"/>
      <c r="BM115" s="859"/>
      <c r="BO115" s="860"/>
      <c r="BP115" s="642"/>
      <c r="BQ115" s="859"/>
      <c r="BS115" s="860"/>
      <c r="BT115" s="642"/>
      <c r="BV115" s="642"/>
    </row>
    <row r="116" spans="15:74" ht="15.75" customHeight="1">
      <c r="O116" s="856"/>
      <c r="P116" s="856"/>
      <c r="V116" s="856"/>
      <c r="W116" s="856"/>
      <c r="AC116" s="856"/>
      <c r="AD116" s="856"/>
      <c r="AJ116" s="856"/>
      <c r="AK116" s="857"/>
      <c r="AP116" s="856"/>
      <c r="AQ116" s="856"/>
      <c r="AW116" s="856"/>
      <c r="AX116" s="856"/>
      <c r="BC116" s="858"/>
      <c r="BD116" s="858"/>
      <c r="BE116" s="642"/>
      <c r="BF116" s="642"/>
      <c r="BG116" s="642"/>
      <c r="BH116" s="642"/>
      <c r="BI116" s="642"/>
      <c r="BJ116" s="642"/>
      <c r="BK116" s="642"/>
      <c r="BL116" s="642"/>
      <c r="BM116" s="859"/>
      <c r="BO116" s="860"/>
      <c r="BP116" s="642"/>
      <c r="BQ116" s="859"/>
      <c r="BS116" s="860"/>
      <c r="BT116" s="642"/>
      <c r="BV116" s="642"/>
    </row>
    <row r="117" spans="15:74" ht="15.75" customHeight="1">
      <c r="O117" s="856"/>
      <c r="P117" s="856"/>
      <c r="V117" s="856"/>
      <c r="W117" s="856"/>
      <c r="AC117" s="856"/>
      <c r="AD117" s="856"/>
      <c r="AJ117" s="856"/>
      <c r="AK117" s="857"/>
      <c r="AP117" s="856"/>
      <c r="AQ117" s="856"/>
      <c r="AW117" s="856"/>
      <c r="AX117" s="856"/>
      <c r="BC117" s="858"/>
      <c r="BD117" s="858"/>
      <c r="BE117" s="642"/>
      <c r="BF117" s="642"/>
      <c r="BG117" s="642"/>
      <c r="BH117" s="642"/>
      <c r="BI117" s="642"/>
      <c r="BJ117" s="642"/>
      <c r="BK117" s="642"/>
      <c r="BL117" s="642"/>
      <c r="BM117" s="859"/>
      <c r="BO117" s="860"/>
      <c r="BP117" s="642"/>
      <c r="BQ117" s="859"/>
      <c r="BS117" s="860"/>
      <c r="BT117" s="642"/>
      <c r="BV117" s="642"/>
    </row>
    <row r="118" spans="15:74" ht="15.75" customHeight="1">
      <c r="O118" s="856"/>
      <c r="P118" s="856"/>
      <c r="V118" s="856"/>
      <c r="W118" s="856"/>
      <c r="AC118" s="856"/>
      <c r="AD118" s="856"/>
      <c r="AJ118" s="856"/>
      <c r="AK118" s="857"/>
      <c r="AP118" s="856"/>
      <c r="AQ118" s="856"/>
      <c r="AW118" s="856"/>
      <c r="AX118" s="856"/>
      <c r="BC118" s="858"/>
      <c r="BD118" s="858"/>
      <c r="BE118" s="642"/>
      <c r="BF118" s="642"/>
      <c r="BG118" s="642"/>
      <c r="BH118" s="642"/>
      <c r="BI118" s="642"/>
      <c r="BJ118" s="642"/>
      <c r="BK118" s="642"/>
      <c r="BL118" s="642"/>
      <c r="BM118" s="859"/>
      <c r="BO118" s="860"/>
      <c r="BP118" s="642"/>
      <c r="BQ118" s="859"/>
      <c r="BS118" s="860"/>
      <c r="BT118" s="642"/>
      <c r="BV118" s="642"/>
    </row>
    <row r="119" spans="15:74" ht="15.75" customHeight="1">
      <c r="O119" s="856"/>
      <c r="P119" s="856"/>
      <c r="V119" s="856"/>
      <c r="W119" s="856"/>
      <c r="AC119" s="856"/>
      <c r="AD119" s="856"/>
      <c r="AJ119" s="856"/>
      <c r="AK119" s="857"/>
      <c r="AP119" s="856"/>
      <c r="AQ119" s="856"/>
      <c r="AW119" s="856"/>
      <c r="AX119" s="856"/>
      <c r="BC119" s="858"/>
      <c r="BD119" s="858"/>
      <c r="BE119" s="642"/>
      <c r="BF119" s="642"/>
      <c r="BG119" s="642"/>
      <c r="BH119" s="642"/>
      <c r="BI119" s="642"/>
      <c r="BJ119" s="642"/>
      <c r="BK119" s="642"/>
      <c r="BL119" s="642"/>
      <c r="BM119" s="859"/>
      <c r="BO119" s="860"/>
      <c r="BP119" s="642"/>
      <c r="BQ119" s="859"/>
      <c r="BS119" s="860"/>
      <c r="BT119" s="642"/>
      <c r="BV119" s="642"/>
    </row>
    <row r="120" spans="15:74" ht="15.75" customHeight="1">
      <c r="O120" s="856"/>
      <c r="P120" s="856"/>
      <c r="V120" s="856"/>
      <c r="W120" s="856"/>
      <c r="AC120" s="856"/>
      <c r="AD120" s="856"/>
      <c r="AJ120" s="856"/>
      <c r="AK120" s="857"/>
      <c r="AP120" s="856"/>
      <c r="AQ120" s="856"/>
      <c r="AW120" s="856"/>
      <c r="AX120" s="856"/>
      <c r="BC120" s="858"/>
      <c r="BD120" s="858"/>
      <c r="BE120" s="642"/>
      <c r="BF120" s="642"/>
      <c r="BG120" s="642"/>
      <c r="BH120" s="642"/>
      <c r="BI120" s="642"/>
      <c r="BJ120" s="642"/>
      <c r="BK120" s="642"/>
      <c r="BL120" s="642"/>
      <c r="BM120" s="859"/>
      <c r="BO120" s="860"/>
      <c r="BP120" s="642"/>
      <c r="BQ120" s="859"/>
      <c r="BS120" s="860"/>
      <c r="BT120" s="642"/>
      <c r="BV120" s="642"/>
    </row>
    <row r="121" spans="15:74" ht="15.75" customHeight="1">
      <c r="O121" s="856"/>
      <c r="P121" s="856"/>
      <c r="V121" s="856"/>
      <c r="W121" s="856"/>
      <c r="AC121" s="856"/>
      <c r="AD121" s="856"/>
      <c r="AJ121" s="856"/>
      <c r="AK121" s="857"/>
      <c r="AP121" s="856"/>
      <c r="AQ121" s="856"/>
      <c r="AW121" s="856"/>
      <c r="AX121" s="856"/>
      <c r="BC121" s="858"/>
      <c r="BD121" s="858"/>
      <c r="BE121" s="642"/>
      <c r="BF121" s="642"/>
      <c r="BG121" s="642"/>
      <c r="BH121" s="642"/>
      <c r="BI121" s="642"/>
      <c r="BJ121" s="642"/>
      <c r="BK121" s="642"/>
      <c r="BL121" s="642"/>
      <c r="BM121" s="859"/>
      <c r="BO121" s="860"/>
      <c r="BP121" s="642"/>
      <c r="BQ121" s="859"/>
      <c r="BS121" s="860"/>
      <c r="BT121" s="642"/>
      <c r="BV121" s="642"/>
    </row>
    <row r="122" spans="15:74" ht="15.75" customHeight="1">
      <c r="O122" s="856"/>
      <c r="P122" s="856"/>
      <c r="V122" s="856"/>
      <c r="W122" s="856"/>
      <c r="AC122" s="856"/>
      <c r="AD122" s="856"/>
      <c r="AJ122" s="856"/>
      <c r="AK122" s="857"/>
      <c r="AP122" s="856"/>
      <c r="AQ122" s="856"/>
      <c r="AW122" s="856"/>
      <c r="AX122" s="856"/>
      <c r="BC122" s="858"/>
      <c r="BD122" s="858"/>
      <c r="BE122" s="642"/>
      <c r="BF122" s="642"/>
      <c r="BG122" s="642"/>
      <c r="BH122" s="642"/>
      <c r="BI122" s="642"/>
      <c r="BJ122" s="642"/>
      <c r="BK122" s="642"/>
      <c r="BL122" s="642"/>
      <c r="BM122" s="859"/>
      <c r="BO122" s="860"/>
      <c r="BP122" s="642"/>
      <c r="BQ122" s="859"/>
      <c r="BS122" s="860"/>
      <c r="BT122" s="642"/>
      <c r="BV122" s="642"/>
    </row>
    <row r="123" spans="15:74" ht="15.75" customHeight="1">
      <c r="O123" s="856"/>
      <c r="P123" s="856"/>
      <c r="V123" s="856"/>
      <c r="W123" s="856"/>
      <c r="AC123" s="856"/>
      <c r="AD123" s="856"/>
      <c r="AJ123" s="856"/>
      <c r="AK123" s="857"/>
      <c r="AP123" s="856"/>
      <c r="AQ123" s="856"/>
      <c r="AW123" s="856"/>
      <c r="AX123" s="856"/>
      <c r="BC123" s="858"/>
      <c r="BD123" s="858"/>
      <c r="BE123" s="642"/>
      <c r="BF123" s="642"/>
      <c r="BG123" s="642"/>
      <c r="BH123" s="642"/>
      <c r="BI123" s="642"/>
      <c r="BJ123" s="642"/>
      <c r="BK123" s="642"/>
      <c r="BL123" s="642"/>
      <c r="BM123" s="859"/>
      <c r="BO123" s="860"/>
      <c r="BP123" s="642"/>
      <c r="BQ123" s="859"/>
      <c r="BS123" s="860"/>
      <c r="BT123" s="642"/>
      <c r="BV123" s="642"/>
    </row>
    <row r="124" spans="15:74" ht="15.75" customHeight="1">
      <c r="O124" s="856"/>
      <c r="P124" s="856"/>
      <c r="V124" s="856"/>
      <c r="W124" s="856"/>
      <c r="AC124" s="856"/>
      <c r="AD124" s="856"/>
      <c r="AJ124" s="856"/>
      <c r="AK124" s="857"/>
      <c r="AP124" s="856"/>
      <c r="AQ124" s="856"/>
      <c r="AW124" s="856"/>
      <c r="AX124" s="856"/>
      <c r="BC124" s="858"/>
      <c r="BD124" s="858"/>
      <c r="BE124" s="642"/>
      <c r="BF124" s="642"/>
      <c r="BG124" s="642"/>
      <c r="BH124" s="642"/>
      <c r="BI124" s="642"/>
      <c r="BJ124" s="642"/>
      <c r="BK124" s="642"/>
      <c r="BL124" s="642"/>
      <c r="BM124" s="859"/>
      <c r="BO124" s="860"/>
      <c r="BP124" s="642"/>
      <c r="BQ124" s="859"/>
      <c r="BS124" s="860"/>
      <c r="BT124" s="642"/>
      <c r="BV124" s="642"/>
    </row>
    <row r="125" spans="15:74" ht="15.75" customHeight="1">
      <c r="O125" s="856"/>
      <c r="P125" s="856"/>
      <c r="V125" s="856"/>
      <c r="W125" s="856"/>
      <c r="AC125" s="856"/>
      <c r="AD125" s="856"/>
      <c r="AJ125" s="856"/>
      <c r="AK125" s="857"/>
      <c r="AP125" s="856"/>
      <c r="AQ125" s="856"/>
      <c r="AW125" s="856"/>
      <c r="AX125" s="856"/>
      <c r="BC125" s="858"/>
      <c r="BD125" s="858"/>
      <c r="BE125" s="642"/>
      <c r="BF125" s="642"/>
      <c r="BG125" s="642"/>
      <c r="BH125" s="642"/>
      <c r="BI125" s="642"/>
      <c r="BJ125" s="642"/>
      <c r="BK125" s="642"/>
      <c r="BL125" s="642"/>
      <c r="BM125" s="859"/>
      <c r="BO125" s="860"/>
      <c r="BP125" s="642"/>
      <c r="BQ125" s="859"/>
      <c r="BS125" s="860"/>
      <c r="BT125" s="642"/>
      <c r="BV125" s="642"/>
    </row>
    <row r="126" spans="15:74" ht="15.75" customHeight="1">
      <c r="O126" s="856"/>
      <c r="P126" s="856"/>
      <c r="V126" s="856"/>
      <c r="W126" s="856"/>
      <c r="AC126" s="856"/>
      <c r="AD126" s="856"/>
      <c r="AJ126" s="856"/>
      <c r="AK126" s="857"/>
      <c r="AP126" s="856"/>
      <c r="AQ126" s="856"/>
      <c r="AW126" s="856"/>
      <c r="AX126" s="856"/>
      <c r="BC126" s="858"/>
      <c r="BD126" s="858"/>
      <c r="BE126" s="642"/>
      <c r="BF126" s="642"/>
      <c r="BG126" s="642"/>
      <c r="BH126" s="642"/>
      <c r="BI126" s="642"/>
      <c r="BJ126" s="642"/>
      <c r="BK126" s="642"/>
      <c r="BL126" s="642"/>
      <c r="BM126" s="859"/>
      <c r="BO126" s="860"/>
      <c r="BP126" s="642"/>
      <c r="BQ126" s="859"/>
      <c r="BS126" s="860"/>
      <c r="BT126" s="642"/>
      <c r="BV126" s="642"/>
    </row>
    <row r="127" spans="15:74" ht="15.75" customHeight="1">
      <c r="O127" s="856"/>
      <c r="P127" s="856"/>
      <c r="V127" s="856"/>
      <c r="W127" s="856"/>
      <c r="AC127" s="856"/>
      <c r="AD127" s="856"/>
      <c r="AJ127" s="856"/>
      <c r="AK127" s="857"/>
      <c r="AP127" s="856"/>
      <c r="AQ127" s="856"/>
      <c r="AW127" s="856"/>
      <c r="AX127" s="856"/>
      <c r="BC127" s="858"/>
      <c r="BD127" s="858"/>
      <c r="BE127" s="642"/>
      <c r="BF127" s="642"/>
      <c r="BG127" s="642"/>
      <c r="BH127" s="642"/>
      <c r="BI127" s="642"/>
      <c r="BJ127" s="642"/>
      <c r="BK127" s="642"/>
      <c r="BL127" s="642"/>
      <c r="BM127" s="859"/>
      <c r="BO127" s="860"/>
      <c r="BP127" s="642"/>
      <c r="BQ127" s="859"/>
      <c r="BS127" s="860"/>
      <c r="BT127" s="642"/>
      <c r="BV127" s="642"/>
    </row>
    <row r="128" spans="15:74" ht="15.75" customHeight="1">
      <c r="O128" s="856"/>
      <c r="P128" s="856"/>
      <c r="V128" s="856"/>
      <c r="W128" s="856"/>
      <c r="AC128" s="856"/>
      <c r="AD128" s="856"/>
      <c r="AJ128" s="856"/>
      <c r="AK128" s="857"/>
      <c r="AP128" s="856"/>
      <c r="AQ128" s="856"/>
      <c r="AW128" s="856"/>
      <c r="AX128" s="856"/>
      <c r="BC128" s="858"/>
      <c r="BD128" s="858"/>
      <c r="BE128" s="642"/>
      <c r="BF128" s="642"/>
      <c r="BG128" s="642"/>
      <c r="BH128" s="642"/>
      <c r="BI128" s="642"/>
      <c r="BJ128" s="642"/>
      <c r="BK128" s="642"/>
      <c r="BL128" s="642"/>
      <c r="BM128" s="859"/>
      <c r="BO128" s="860"/>
      <c r="BP128" s="642"/>
      <c r="BQ128" s="859"/>
      <c r="BS128" s="860"/>
      <c r="BT128" s="642"/>
      <c r="BV128" s="642"/>
    </row>
    <row r="129" spans="15:74" ht="15.75" customHeight="1">
      <c r="O129" s="856"/>
      <c r="P129" s="856"/>
      <c r="V129" s="856"/>
      <c r="W129" s="856"/>
      <c r="AC129" s="856"/>
      <c r="AD129" s="856"/>
      <c r="AJ129" s="856"/>
      <c r="AK129" s="857"/>
      <c r="AP129" s="856"/>
      <c r="AQ129" s="856"/>
      <c r="AW129" s="856"/>
      <c r="AX129" s="856"/>
      <c r="BC129" s="858"/>
      <c r="BD129" s="858"/>
      <c r="BE129" s="642"/>
      <c r="BF129" s="642"/>
      <c r="BG129" s="642"/>
      <c r="BH129" s="642"/>
      <c r="BI129" s="642"/>
      <c r="BJ129" s="642"/>
      <c r="BK129" s="642"/>
      <c r="BL129" s="642"/>
      <c r="BM129" s="859"/>
      <c r="BO129" s="860"/>
      <c r="BP129" s="642"/>
      <c r="BQ129" s="859"/>
      <c r="BS129" s="860"/>
      <c r="BT129" s="642"/>
      <c r="BV129" s="642"/>
    </row>
    <row r="130" spans="15:74" ht="15.75" customHeight="1">
      <c r="O130" s="856"/>
      <c r="P130" s="856"/>
      <c r="V130" s="856"/>
      <c r="W130" s="856"/>
      <c r="AC130" s="856"/>
      <c r="AD130" s="856"/>
      <c r="AJ130" s="856"/>
      <c r="AK130" s="857"/>
      <c r="AP130" s="856"/>
      <c r="AQ130" s="856"/>
      <c r="AW130" s="856"/>
      <c r="AX130" s="856"/>
      <c r="BC130" s="858"/>
      <c r="BD130" s="858"/>
      <c r="BE130" s="642"/>
      <c r="BF130" s="642"/>
      <c r="BG130" s="642"/>
      <c r="BH130" s="642"/>
      <c r="BI130" s="642"/>
      <c r="BJ130" s="642"/>
      <c r="BK130" s="642"/>
      <c r="BL130" s="642"/>
      <c r="BM130" s="859"/>
      <c r="BO130" s="860"/>
      <c r="BP130" s="642"/>
      <c r="BQ130" s="859"/>
      <c r="BS130" s="860"/>
      <c r="BT130" s="642"/>
      <c r="BV130" s="642"/>
    </row>
    <row r="131" spans="15:74" ht="15.75" customHeight="1">
      <c r="O131" s="856"/>
      <c r="P131" s="856"/>
      <c r="V131" s="856"/>
      <c r="W131" s="856"/>
      <c r="AC131" s="856"/>
      <c r="AD131" s="856"/>
      <c r="AJ131" s="856"/>
      <c r="AK131" s="857"/>
      <c r="AP131" s="856"/>
      <c r="AQ131" s="856"/>
      <c r="AW131" s="856"/>
      <c r="AX131" s="856"/>
      <c r="BC131" s="858"/>
      <c r="BD131" s="858"/>
      <c r="BE131" s="642"/>
      <c r="BF131" s="642"/>
      <c r="BG131" s="642"/>
      <c r="BH131" s="642"/>
      <c r="BI131" s="642"/>
      <c r="BJ131" s="642"/>
      <c r="BK131" s="642"/>
      <c r="BL131" s="642"/>
      <c r="BM131" s="859"/>
      <c r="BO131" s="860"/>
      <c r="BP131" s="642"/>
      <c r="BQ131" s="859"/>
      <c r="BS131" s="860"/>
      <c r="BT131" s="642"/>
      <c r="BV131" s="642"/>
    </row>
    <row r="132" spans="15:74" ht="15.75" customHeight="1">
      <c r="O132" s="856"/>
      <c r="P132" s="856"/>
      <c r="V132" s="856"/>
      <c r="W132" s="856"/>
      <c r="AC132" s="856"/>
      <c r="AD132" s="856"/>
      <c r="AJ132" s="856"/>
      <c r="AK132" s="857"/>
      <c r="AP132" s="856"/>
      <c r="AQ132" s="856"/>
      <c r="AW132" s="856"/>
      <c r="AX132" s="856"/>
      <c r="BC132" s="858"/>
      <c r="BD132" s="858"/>
      <c r="BE132" s="642"/>
      <c r="BF132" s="642"/>
      <c r="BG132" s="642"/>
      <c r="BH132" s="642"/>
      <c r="BI132" s="642"/>
      <c r="BJ132" s="642"/>
      <c r="BK132" s="642"/>
      <c r="BL132" s="642"/>
      <c r="BM132" s="859"/>
      <c r="BO132" s="860"/>
      <c r="BP132" s="642"/>
      <c r="BQ132" s="859"/>
      <c r="BS132" s="860"/>
      <c r="BT132" s="642"/>
      <c r="BV132" s="642"/>
    </row>
    <row r="133" spans="15:74" ht="15.75" customHeight="1">
      <c r="O133" s="856"/>
      <c r="P133" s="856"/>
      <c r="V133" s="856"/>
      <c r="W133" s="856"/>
      <c r="AC133" s="856"/>
      <c r="AD133" s="856"/>
      <c r="AJ133" s="856"/>
      <c r="AK133" s="857"/>
      <c r="AP133" s="856"/>
      <c r="AQ133" s="856"/>
      <c r="AW133" s="856"/>
      <c r="AX133" s="856"/>
      <c r="BC133" s="858"/>
      <c r="BD133" s="858"/>
      <c r="BE133" s="642"/>
      <c r="BF133" s="642"/>
      <c r="BG133" s="642"/>
      <c r="BH133" s="642"/>
      <c r="BI133" s="642"/>
      <c r="BJ133" s="642"/>
      <c r="BK133" s="642"/>
      <c r="BL133" s="642"/>
      <c r="BM133" s="859"/>
      <c r="BO133" s="860"/>
      <c r="BP133" s="642"/>
      <c r="BQ133" s="859"/>
      <c r="BS133" s="860"/>
      <c r="BT133" s="642"/>
      <c r="BV133" s="642"/>
    </row>
    <row r="134" spans="15:74" ht="15.75" customHeight="1">
      <c r="O134" s="856"/>
      <c r="P134" s="856"/>
      <c r="V134" s="856"/>
      <c r="W134" s="856"/>
      <c r="AC134" s="856"/>
      <c r="AD134" s="856"/>
      <c r="AJ134" s="856"/>
      <c r="AK134" s="857"/>
      <c r="AP134" s="856"/>
      <c r="AQ134" s="856"/>
      <c r="AW134" s="856"/>
      <c r="AX134" s="856"/>
      <c r="BC134" s="858"/>
      <c r="BD134" s="858"/>
      <c r="BE134" s="642"/>
      <c r="BF134" s="642"/>
      <c r="BG134" s="642"/>
      <c r="BH134" s="642"/>
      <c r="BI134" s="642"/>
      <c r="BJ134" s="642"/>
      <c r="BK134" s="642"/>
      <c r="BL134" s="642"/>
      <c r="BM134" s="859"/>
      <c r="BO134" s="860"/>
      <c r="BP134" s="642"/>
      <c r="BQ134" s="859"/>
      <c r="BS134" s="860"/>
      <c r="BT134" s="642"/>
      <c r="BV134" s="642"/>
    </row>
    <row r="135" spans="15:74" ht="15.75" customHeight="1">
      <c r="O135" s="856"/>
      <c r="P135" s="856"/>
      <c r="V135" s="856"/>
      <c r="W135" s="856"/>
      <c r="AC135" s="856"/>
      <c r="AD135" s="856"/>
      <c r="AJ135" s="856"/>
      <c r="AK135" s="857"/>
      <c r="AP135" s="856"/>
      <c r="AQ135" s="856"/>
      <c r="AW135" s="856"/>
      <c r="AX135" s="856"/>
      <c r="BC135" s="858"/>
      <c r="BD135" s="858"/>
      <c r="BE135" s="642"/>
      <c r="BF135" s="642"/>
      <c r="BG135" s="642"/>
      <c r="BH135" s="642"/>
      <c r="BI135" s="642"/>
      <c r="BJ135" s="642"/>
      <c r="BK135" s="642"/>
      <c r="BL135" s="642"/>
      <c r="BM135" s="859"/>
      <c r="BO135" s="860"/>
      <c r="BP135" s="642"/>
      <c r="BQ135" s="859"/>
      <c r="BS135" s="860"/>
      <c r="BT135" s="642"/>
      <c r="BV135" s="642"/>
    </row>
    <row r="136" spans="15:74" ht="15.75" customHeight="1">
      <c r="O136" s="856"/>
      <c r="P136" s="856"/>
      <c r="V136" s="856"/>
      <c r="W136" s="856"/>
      <c r="AC136" s="856"/>
      <c r="AD136" s="856"/>
      <c r="AJ136" s="856"/>
      <c r="AK136" s="857"/>
      <c r="AP136" s="856"/>
      <c r="AQ136" s="856"/>
      <c r="AW136" s="856"/>
      <c r="AX136" s="856"/>
      <c r="BC136" s="858"/>
      <c r="BD136" s="858"/>
      <c r="BE136" s="642"/>
      <c r="BF136" s="642"/>
      <c r="BG136" s="642"/>
      <c r="BH136" s="642"/>
      <c r="BI136" s="642"/>
      <c r="BJ136" s="642"/>
      <c r="BK136" s="642"/>
      <c r="BL136" s="642"/>
      <c r="BM136" s="859"/>
      <c r="BO136" s="860"/>
      <c r="BP136" s="642"/>
      <c r="BQ136" s="859"/>
      <c r="BS136" s="860"/>
      <c r="BT136" s="642"/>
      <c r="BV136" s="642"/>
    </row>
    <row r="137" spans="15:74" ht="15.75" customHeight="1">
      <c r="O137" s="856"/>
      <c r="P137" s="856"/>
      <c r="V137" s="856"/>
      <c r="W137" s="856"/>
      <c r="AC137" s="856"/>
      <c r="AD137" s="856"/>
      <c r="AJ137" s="856"/>
      <c r="AK137" s="857"/>
      <c r="AP137" s="856"/>
      <c r="AQ137" s="856"/>
      <c r="AW137" s="856"/>
      <c r="AX137" s="856"/>
      <c r="BC137" s="858"/>
      <c r="BD137" s="858"/>
      <c r="BE137" s="642"/>
      <c r="BF137" s="642"/>
      <c r="BG137" s="642"/>
      <c r="BH137" s="642"/>
      <c r="BI137" s="642"/>
      <c r="BJ137" s="642"/>
      <c r="BK137" s="642"/>
      <c r="BL137" s="642"/>
      <c r="BM137" s="859"/>
      <c r="BO137" s="860"/>
      <c r="BP137" s="642"/>
      <c r="BQ137" s="859"/>
      <c r="BS137" s="860"/>
      <c r="BT137" s="642"/>
      <c r="BV137" s="642"/>
    </row>
    <row r="138" spans="15:74" ht="15.75" customHeight="1">
      <c r="O138" s="856"/>
      <c r="P138" s="856"/>
      <c r="V138" s="856"/>
      <c r="W138" s="856"/>
      <c r="AC138" s="856"/>
      <c r="AD138" s="856"/>
      <c r="AJ138" s="856"/>
      <c r="AK138" s="857"/>
      <c r="AP138" s="856"/>
      <c r="AQ138" s="856"/>
      <c r="AW138" s="856"/>
      <c r="AX138" s="856"/>
      <c r="BC138" s="858"/>
      <c r="BD138" s="858"/>
      <c r="BE138" s="642"/>
      <c r="BF138" s="642"/>
      <c r="BG138" s="642"/>
      <c r="BH138" s="642"/>
      <c r="BI138" s="642"/>
      <c r="BJ138" s="642"/>
      <c r="BK138" s="642"/>
      <c r="BL138" s="642"/>
      <c r="BM138" s="859"/>
      <c r="BO138" s="860"/>
      <c r="BP138" s="642"/>
      <c r="BQ138" s="859"/>
      <c r="BS138" s="860"/>
      <c r="BT138" s="642"/>
      <c r="BV138" s="642"/>
    </row>
    <row r="139" spans="15:74" ht="15.75" customHeight="1">
      <c r="O139" s="856"/>
      <c r="P139" s="856"/>
      <c r="V139" s="856"/>
      <c r="W139" s="856"/>
      <c r="AC139" s="856"/>
      <c r="AD139" s="856"/>
      <c r="AJ139" s="856"/>
      <c r="AK139" s="857"/>
      <c r="AP139" s="856"/>
      <c r="AQ139" s="856"/>
      <c r="AW139" s="856"/>
      <c r="AX139" s="856"/>
      <c r="BC139" s="858"/>
      <c r="BD139" s="858"/>
      <c r="BE139" s="642"/>
      <c r="BF139" s="642"/>
      <c r="BG139" s="642"/>
      <c r="BH139" s="642"/>
      <c r="BI139" s="642"/>
      <c r="BJ139" s="642"/>
      <c r="BK139" s="642"/>
      <c r="BL139" s="642"/>
      <c r="BM139" s="859"/>
      <c r="BO139" s="860"/>
      <c r="BP139" s="642"/>
      <c r="BQ139" s="859"/>
      <c r="BS139" s="860"/>
      <c r="BT139" s="642"/>
      <c r="BV139" s="642"/>
    </row>
    <row r="140" spans="15:74" ht="15.75" customHeight="1">
      <c r="O140" s="856"/>
      <c r="P140" s="856"/>
      <c r="V140" s="856"/>
      <c r="W140" s="856"/>
      <c r="AC140" s="856"/>
      <c r="AD140" s="856"/>
      <c r="AJ140" s="856"/>
      <c r="AK140" s="857"/>
      <c r="AP140" s="856"/>
      <c r="AQ140" s="856"/>
      <c r="AW140" s="856"/>
      <c r="AX140" s="856"/>
      <c r="BC140" s="858"/>
      <c r="BD140" s="858"/>
      <c r="BE140" s="642"/>
      <c r="BF140" s="642"/>
      <c r="BG140" s="642"/>
      <c r="BH140" s="642"/>
      <c r="BI140" s="642"/>
      <c r="BJ140" s="642"/>
      <c r="BK140" s="642"/>
      <c r="BL140" s="642"/>
      <c r="BM140" s="859"/>
      <c r="BO140" s="860"/>
      <c r="BP140" s="642"/>
      <c r="BQ140" s="859"/>
      <c r="BS140" s="860"/>
      <c r="BT140" s="642"/>
      <c r="BV140" s="642"/>
    </row>
    <row r="141" spans="15:74" ht="15.75" customHeight="1">
      <c r="O141" s="856"/>
      <c r="P141" s="856"/>
      <c r="V141" s="856"/>
      <c r="W141" s="856"/>
      <c r="AC141" s="856"/>
      <c r="AD141" s="856"/>
      <c r="AJ141" s="856"/>
      <c r="AK141" s="857"/>
      <c r="AP141" s="856"/>
      <c r="AQ141" s="856"/>
      <c r="AW141" s="856"/>
      <c r="AX141" s="856"/>
      <c r="BC141" s="858"/>
      <c r="BD141" s="858"/>
      <c r="BE141" s="642"/>
      <c r="BF141" s="642"/>
      <c r="BG141" s="642"/>
      <c r="BH141" s="642"/>
      <c r="BI141" s="642"/>
      <c r="BJ141" s="642"/>
      <c r="BK141" s="642"/>
      <c r="BL141" s="642"/>
      <c r="BM141" s="859"/>
      <c r="BO141" s="860"/>
      <c r="BP141" s="642"/>
      <c r="BQ141" s="859"/>
      <c r="BS141" s="860"/>
      <c r="BT141" s="642"/>
      <c r="BV141" s="642"/>
    </row>
    <row r="142" spans="15:74" ht="15.75" customHeight="1">
      <c r="O142" s="856"/>
      <c r="P142" s="856"/>
      <c r="V142" s="856"/>
      <c r="W142" s="856"/>
      <c r="AC142" s="856"/>
      <c r="AD142" s="856"/>
      <c r="AJ142" s="856"/>
      <c r="AK142" s="857"/>
      <c r="AP142" s="856"/>
      <c r="AQ142" s="856"/>
      <c r="AW142" s="856"/>
      <c r="AX142" s="856"/>
      <c r="BC142" s="858"/>
      <c r="BD142" s="858"/>
      <c r="BE142" s="642"/>
      <c r="BF142" s="642"/>
      <c r="BG142" s="642"/>
      <c r="BH142" s="642"/>
      <c r="BI142" s="642"/>
      <c r="BJ142" s="642"/>
      <c r="BK142" s="642"/>
      <c r="BL142" s="642"/>
      <c r="BM142" s="859"/>
      <c r="BO142" s="860"/>
      <c r="BP142" s="642"/>
      <c r="BQ142" s="859"/>
      <c r="BS142" s="860"/>
      <c r="BT142" s="642"/>
      <c r="BV142" s="642"/>
    </row>
    <row r="143" spans="15:74" ht="15.75" customHeight="1">
      <c r="O143" s="856"/>
      <c r="P143" s="856"/>
      <c r="V143" s="856"/>
      <c r="W143" s="856"/>
      <c r="AC143" s="856"/>
      <c r="AD143" s="856"/>
      <c r="AJ143" s="856"/>
      <c r="AK143" s="857"/>
      <c r="AP143" s="856"/>
      <c r="AQ143" s="856"/>
      <c r="AW143" s="856"/>
      <c r="AX143" s="856"/>
      <c r="BC143" s="858"/>
      <c r="BD143" s="858"/>
      <c r="BE143" s="642"/>
      <c r="BF143" s="642"/>
      <c r="BG143" s="642"/>
      <c r="BH143" s="642"/>
      <c r="BI143" s="642"/>
      <c r="BJ143" s="642"/>
      <c r="BK143" s="642"/>
      <c r="BL143" s="642"/>
      <c r="BM143" s="859"/>
      <c r="BO143" s="860"/>
      <c r="BP143" s="642"/>
      <c r="BQ143" s="859"/>
      <c r="BS143" s="860"/>
      <c r="BT143" s="642"/>
      <c r="BV143" s="642"/>
    </row>
    <row r="144" spans="15:74" ht="15.75" customHeight="1">
      <c r="O144" s="856"/>
      <c r="P144" s="856"/>
      <c r="V144" s="856"/>
      <c r="W144" s="856"/>
      <c r="AC144" s="856"/>
      <c r="AD144" s="856"/>
      <c r="AJ144" s="856"/>
      <c r="AK144" s="857"/>
      <c r="AP144" s="856"/>
      <c r="AQ144" s="856"/>
      <c r="AW144" s="856"/>
      <c r="AX144" s="856"/>
      <c r="BC144" s="858"/>
      <c r="BD144" s="858"/>
      <c r="BE144" s="642"/>
      <c r="BF144" s="642"/>
      <c r="BG144" s="642"/>
      <c r="BH144" s="642"/>
      <c r="BI144" s="642"/>
      <c r="BJ144" s="642"/>
      <c r="BK144" s="642"/>
      <c r="BL144" s="642"/>
      <c r="BM144" s="859"/>
      <c r="BO144" s="860"/>
      <c r="BP144" s="642"/>
      <c r="BQ144" s="859"/>
      <c r="BS144" s="860"/>
      <c r="BT144" s="642"/>
      <c r="BV144" s="642"/>
    </row>
    <row r="145" spans="15:74" ht="15.75" customHeight="1">
      <c r="O145" s="856"/>
      <c r="P145" s="856"/>
      <c r="V145" s="856"/>
      <c r="W145" s="856"/>
      <c r="AC145" s="856"/>
      <c r="AD145" s="856"/>
      <c r="AJ145" s="856"/>
      <c r="AK145" s="857"/>
      <c r="AP145" s="856"/>
      <c r="AQ145" s="856"/>
      <c r="AW145" s="856"/>
      <c r="AX145" s="856"/>
      <c r="BC145" s="858"/>
      <c r="BD145" s="858"/>
      <c r="BE145" s="642"/>
      <c r="BF145" s="642"/>
      <c r="BG145" s="642"/>
      <c r="BH145" s="642"/>
      <c r="BI145" s="642"/>
      <c r="BJ145" s="642"/>
      <c r="BK145" s="642"/>
      <c r="BL145" s="642"/>
      <c r="BM145" s="859"/>
      <c r="BO145" s="860"/>
      <c r="BP145" s="642"/>
      <c r="BQ145" s="859"/>
      <c r="BS145" s="860"/>
      <c r="BT145" s="642"/>
      <c r="BV145" s="642"/>
    </row>
    <row r="146" spans="15:74" ht="15.75" customHeight="1">
      <c r="O146" s="856"/>
      <c r="P146" s="856"/>
      <c r="V146" s="856"/>
      <c r="W146" s="856"/>
      <c r="AC146" s="856"/>
      <c r="AD146" s="856"/>
      <c r="AJ146" s="856"/>
      <c r="AK146" s="857"/>
      <c r="AP146" s="856"/>
      <c r="AQ146" s="856"/>
      <c r="AW146" s="856"/>
      <c r="AX146" s="856"/>
      <c r="BC146" s="858"/>
      <c r="BD146" s="858"/>
      <c r="BE146" s="642"/>
      <c r="BF146" s="642"/>
      <c r="BG146" s="642"/>
      <c r="BH146" s="642"/>
      <c r="BI146" s="642"/>
      <c r="BJ146" s="642"/>
      <c r="BK146" s="642"/>
      <c r="BL146" s="642"/>
      <c r="BM146" s="859"/>
      <c r="BO146" s="860"/>
      <c r="BP146" s="642"/>
      <c r="BQ146" s="859"/>
      <c r="BS146" s="860"/>
      <c r="BT146" s="642"/>
      <c r="BV146" s="642"/>
    </row>
    <row r="147" spans="15:74" ht="15.75" customHeight="1">
      <c r="O147" s="856"/>
      <c r="P147" s="856"/>
      <c r="V147" s="856"/>
      <c r="W147" s="856"/>
      <c r="AC147" s="856"/>
      <c r="AD147" s="856"/>
      <c r="AJ147" s="856"/>
      <c r="AK147" s="857"/>
      <c r="AP147" s="856"/>
      <c r="AQ147" s="856"/>
      <c r="AW147" s="856"/>
      <c r="AX147" s="856"/>
      <c r="BC147" s="858"/>
      <c r="BD147" s="858"/>
      <c r="BE147" s="642"/>
      <c r="BF147" s="642"/>
      <c r="BG147" s="642"/>
      <c r="BH147" s="642"/>
      <c r="BI147" s="642"/>
      <c r="BJ147" s="642"/>
      <c r="BK147" s="642"/>
      <c r="BL147" s="642"/>
      <c r="BM147" s="859"/>
      <c r="BO147" s="860"/>
      <c r="BP147" s="642"/>
      <c r="BQ147" s="859"/>
      <c r="BS147" s="860"/>
      <c r="BT147" s="642"/>
      <c r="BV147" s="642"/>
    </row>
    <row r="148" spans="15:74" ht="15.75" customHeight="1">
      <c r="O148" s="856"/>
      <c r="P148" s="856"/>
      <c r="V148" s="856"/>
      <c r="W148" s="856"/>
      <c r="AC148" s="856"/>
      <c r="AD148" s="856"/>
      <c r="AJ148" s="856"/>
      <c r="AK148" s="857"/>
      <c r="AP148" s="856"/>
      <c r="AQ148" s="856"/>
      <c r="AW148" s="856"/>
      <c r="AX148" s="856"/>
      <c r="BC148" s="858"/>
      <c r="BD148" s="858"/>
      <c r="BE148" s="642"/>
      <c r="BF148" s="642"/>
      <c r="BG148" s="642"/>
      <c r="BH148" s="642"/>
      <c r="BI148" s="642"/>
      <c r="BJ148" s="642"/>
      <c r="BK148" s="642"/>
      <c r="BL148" s="642"/>
      <c r="BM148" s="859"/>
      <c r="BO148" s="860"/>
      <c r="BP148" s="642"/>
      <c r="BQ148" s="859"/>
      <c r="BS148" s="860"/>
      <c r="BT148" s="642"/>
      <c r="BV148" s="642"/>
    </row>
    <row r="149" spans="15:74" ht="15.75" customHeight="1">
      <c r="O149" s="856"/>
      <c r="P149" s="856"/>
      <c r="V149" s="856"/>
      <c r="W149" s="856"/>
      <c r="AC149" s="856"/>
      <c r="AD149" s="856"/>
      <c r="AJ149" s="856"/>
      <c r="AK149" s="857"/>
      <c r="AP149" s="856"/>
      <c r="AQ149" s="856"/>
      <c r="AW149" s="856"/>
      <c r="AX149" s="856"/>
      <c r="BC149" s="858"/>
      <c r="BD149" s="858"/>
      <c r="BE149" s="642"/>
      <c r="BF149" s="642"/>
      <c r="BG149" s="642"/>
      <c r="BH149" s="642"/>
      <c r="BI149" s="642"/>
      <c r="BJ149" s="642"/>
      <c r="BK149" s="642"/>
      <c r="BL149" s="642"/>
      <c r="BM149" s="859"/>
      <c r="BO149" s="860"/>
      <c r="BP149" s="642"/>
      <c r="BQ149" s="859"/>
      <c r="BS149" s="860"/>
      <c r="BT149" s="642"/>
      <c r="BV149" s="642"/>
    </row>
    <row r="150" spans="15:74" ht="15.75" customHeight="1">
      <c r="O150" s="856"/>
      <c r="P150" s="856"/>
      <c r="V150" s="856"/>
      <c r="W150" s="856"/>
      <c r="AC150" s="856"/>
      <c r="AD150" s="856"/>
      <c r="AJ150" s="856"/>
      <c r="AK150" s="857"/>
      <c r="AP150" s="856"/>
      <c r="AQ150" s="856"/>
      <c r="AW150" s="856"/>
      <c r="AX150" s="856"/>
      <c r="BC150" s="858"/>
      <c r="BD150" s="858"/>
      <c r="BE150" s="642"/>
      <c r="BF150" s="642"/>
      <c r="BG150" s="642"/>
      <c r="BH150" s="642"/>
      <c r="BI150" s="642"/>
      <c r="BJ150" s="642"/>
      <c r="BK150" s="642"/>
      <c r="BL150" s="642"/>
      <c r="BM150" s="859"/>
      <c r="BO150" s="860"/>
      <c r="BP150" s="642"/>
      <c r="BQ150" s="859"/>
      <c r="BS150" s="860"/>
      <c r="BT150" s="642"/>
      <c r="BV150" s="642"/>
    </row>
    <row r="151" spans="15:74" ht="15.75" customHeight="1">
      <c r="O151" s="856"/>
      <c r="P151" s="856"/>
      <c r="V151" s="856"/>
      <c r="W151" s="856"/>
      <c r="AC151" s="856"/>
      <c r="AD151" s="856"/>
      <c r="AJ151" s="856"/>
      <c r="AK151" s="857"/>
      <c r="AP151" s="856"/>
      <c r="AQ151" s="856"/>
      <c r="AW151" s="856"/>
      <c r="AX151" s="856"/>
      <c r="BC151" s="858"/>
      <c r="BD151" s="858"/>
      <c r="BE151" s="642"/>
      <c r="BF151" s="642"/>
      <c r="BG151" s="642"/>
      <c r="BH151" s="642"/>
      <c r="BI151" s="642"/>
      <c r="BJ151" s="642"/>
      <c r="BK151" s="642"/>
      <c r="BL151" s="642"/>
      <c r="BM151" s="859"/>
      <c r="BO151" s="860"/>
      <c r="BP151" s="642"/>
      <c r="BQ151" s="859"/>
      <c r="BS151" s="860"/>
      <c r="BT151" s="642"/>
      <c r="BV151" s="642"/>
    </row>
    <row r="152" spans="15:74" ht="15.75" customHeight="1">
      <c r="O152" s="856"/>
      <c r="P152" s="856"/>
      <c r="V152" s="856"/>
      <c r="W152" s="856"/>
      <c r="AC152" s="856"/>
      <c r="AD152" s="856"/>
      <c r="AJ152" s="856"/>
      <c r="AK152" s="857"/>
      <c r="AP152" s="856"/>
      <c r="AQ152" s="856"/>
      <c r="AW152" s="856"/>
      <c r="AX152" s="856"/>
      <c r="BC152" s="858"/>
      <c r="BD152" s="858"/>
      <c r="BE152" s="642"/>
      <c r="BF152" s="642"/>
      <c r="BG152" s="642"/>
      <c r="BH152" s="642"/>
      <c r="BI152" s="642"/>
      <c r="BJ152" s="642"/>
      <c r="BK152" s="642"/>
      <c r="BL152" s="642"/>
      <c r="BM152" s="859"/>
      <c r="BO152" s="860"/>
      <c r="BP152" s="642"/>
      <c r="BQ152" s="859"/>
      <c r="BS152" s="860"/>
      <c r="BT152" s="642"/>
      <c r="BV152" s="642"/>
    </row>
    <row r="153" spans="15:74" ht="15.75" customHeight="1">
      <c r="O153" s="856"/>
      <c r="P153" s="856"/>
      <c r="V153" s="856"/>
      <c r="W153" s="856"/>
      <c r="AC153" s="856"/>
      <c r="AD153" s="856"/>
      <c r="AJ153" s="856"/>
      <c r="AK153" s="857"/>
      <c r="AP153" s="856"/>
      <c r="AQ153" s="856"/>
      <c r="AW153" s="856"/>
      <c r="AX153" s="856"/>
      <c r="BC153" s="858"/>
      <c r="BD153" s="858"/>
      <c r="BE153" s="642"/>
      <c r="BF153" s="642"/>
      <c r="BG153" s="642"/>
      <c r="BH153" s="642"/>
      <c r="BI153" s="642"/>
      <c r="BJ153" s="642"/>
      <c r="BK153" s="642"/>
      <c r="BL153" s="642"/>
      <c r="BM153" s="859"/>
      <c r="BO153" s="860"/>
      <c r="BP153" s="642"/>
      <c r="BQ153" s="859"/>
      <c r="BS153" s="860"/>
      <c r="BT153" s="642"/>
      <c r="BV153" s="642"/>
    </row>
    <row r="154" spans="15:74" ht="15.75" customHeight="1">
      <c r="O154" s="856"/>
      <c r="P154" s="856"/>
      <c r="V154" s="856"/>
      <c r="W154" s="856"/>
      <c r="AC154" s="856"/>
      <c r="AD154" s="856"/>
      <c r="AJ154" s="856"/>
      <c r="AK154" s="857"/>
      <c r="AP154" s="856"/>
      <c r="AQ154" s="856"/>
      <c r="AW154" s="856"/>
      <c r="AX154" s="856"/>
      <c r="BC154" s="858"/>
      <c r="BD154" s="858"/>
      <c r="BE154" s="642"/>
      <c r="BF154" s="642"/>
      <c r="BG154" s="642"/>
      <c r="BH154" s="642"/>
      <c r="BI154" s="642"/>
      <c r="BJ154" s="642"/>
      <c r="BK154" s="642"/>
      <c r="BL154" s="642"/>
      <c r="BM154" s="859"/>
      <c r="BO154" s="860"/>
      <c r="BP154" s="642"/>
      <c r="BQ154" s="859"/>
      <c r="BS154" s="860"/>
      <c r="BT154" s="642"/>
      <c r="BV154" s="642"/>
    </row>
    <row r="155" spans="15:74" ht="15.75" customHeight="1">
      <c r="O155" s="856"/>
      <c r="P155" s="856"/>
      <c r="V155" s="856"/>
      <c r="W155" s="856"/>
      <c r="AC155" s="856"/>
      <c r="AD155" s="856"/>
      <c r="AJ155" s="856"/>
      <c r="AK155" s="857"/>
      <c r="AP155" s="856"/>
      <c r="AQ155" s="856"/>
      <c r="AW155" s="856"/>
      <c r="AX155" s="856"/>
      <c r="BC155" s="858"/>
      <c r="BD155" s="858"/>
      <c r="BE155" s="642"/>
      <c r="BF155" s="642"/>
      <c r="BG155" s="642"/>
      <c r="BH155" s="642"/>
      <c r="BI155" s="642"/>
      <c r="BJ155" s="642"/>
      <c r="BK155" s="642"/>
      <c r="BL155" s="642"/>
      <c r="BM155" s="859"/>
      <c r="BO155" s="860"/>
      <c r="BP155" s="642"/>
      <c r="BQ155" s="859"/>
      <c r="BS155" s="860"/>
      <c r="BT155" s="642"/>
      <c r="BV155" s="642"/>
    </row>
    <row r="156" spans="15:74" ht="15.75" customHeight="1">
      <c r="O156" s="856"/>
      <c r="P156" s="856"/>
      <c r="V156" s="856"/>
      <c r="W156" s="856"/>
      <c r="AC156" s="856"/>
      <c r="AD156" s="856"/>
      <c r="AJ156" s="856"/>
      <c r="AK156" s="857"/>
      <c r="AP156" s="856"/>
      <c r="AQ156" s="856"/>
      <c r="AW156" s="856"/>
      <c r="AX156" s="856"/>
      <c r="BC156" s="858"/>
      <c r="BD156" s="858"/>
      <c r="BE156" s="642"/>
      <c r="BF156" s="642"/>
      <c r="BG156" s="642"/>
      <c r="BH156" s="642"/>
      <c r="BI156" s="642"/>
      <c r="BJ156" s="642"/>
      <c r="BK156" s="642"/>
      <c r="BL156" s="642"/>
      <c r="BM156" s="859"/>
      <c r="BO156" s="860"/>
      <c r="BP156" s="642"/>
      <c r="BQ156" s="859"/>
      <c r="BS156" s="860"/>
      <c r="BT156" s="642"/>
      <c r="BV156" s="642"/>
    </row>
    <row r="157" spans="15:74" ht="15.75" customHeight="1">
      <c r="O157" s="856"/>
      <c r="P157" s="856"/>
      <c r="V157" s="856"/>
      <c r="W157" s="856"/>
      <c r="AC157" s="856"/>
      <c r="AD157" s="856"/>
      <c r="AJ157" s="856"/>
      <c r="AK157" s="857"/>
      <c r="AP157" s="856"/>
      <c r="AQ157" s="856"/>
      <c r="AW157" s="856"/>
      <c r="AX157" s="856"/>
      <c r="BC157" s="858"/>
      <c r="BD157" s="858"/>
      <c r="BE157" s="642"/>
      <c r="BF157" s="642"/>
      <c r="BG157" s="642"/>
      <c r="BH157" s="642"/>
      <c r="BI157" s="642"/>
      <c r="BJ157" s="642"/>
      <c r="BK157" s="642"/>
      <c r="BL157" s="642"/>
      <c r="BM157" s="859"/>
      <c r="BO157" s="860"/>
      <c r="BP157" s="642"/>
      <c r="BQ157" s="859"/>
      <c r="BS157" s="860"/>
      <c r="BT157" s="642"/>
      <c r="BV157" s="642"/>
    </row>
    <row r="158" spans="15:74" ht="15.75" customHeight="1">
      <c r="O158" s="856"/>
      <c r="P158" s="856"/>
      <c r="V158" s="856"/>
      <c r="W158" s="856"/>
      <c r="AC158" s="856"/>
      <c r="AD158" s="856"/>
      <c r="AJ158" s="856"/>
      <c r="AK158" s="857"/>
      <c r="AP158" s="856"/>
      <c r="AQ158" s="856"/>
      <c r="AW158" s="856"/>
      <c r="AX158" s="856"/>
      <c r="BC158" s="858"/>
      <c r="BD158" s="858"/>
      <c r="BE158" s="642"/>
      <c r="BF158" s="642"/>
      <c r="BG158" s="642"/>
      <c r="BH158" s="642"/>
      <c r="BI158" s="642"/>
      <c r="BJ158" s="642"/>
      <c r="BK158" s="642"/>
      <c r="BL158" s="642"/>
      <c r="BM158" s="859"/>
      <c r="BO158" s="860"/>
      <c r="BP158" s="642"/>
      <c r="BQ158" s="859"/>
      <c r="BS158" s="860"/>
      <c r="BT158" s="642"/>
      <c r="BV158" s="642"/>
    </row>
    <row r="159" spans="15:74" ht="15.75" customHeight="1">
      <c r="O159" s="856"/>
      <c r="P159" s="856"/>
      <c r="V159" s="856"/>
      <c r="W159" s="856"/>
      <c r="AC159" s="856"/>
      <c r="AD159" s="856"/>
      <c r="AJ159" s="856"/>
      <c r="AK159" s="857"/>
      <c r="AP159" s="856"/>
      <c r="AQ159" s="856"/>
      <c r="AW159" s="856"/>
      <c r="AX159" s="856"/>
      <c r="BC159" s="858"/>
      <c r="BD159" s="858"/>
      <c r="BE159" s="642"/>
      <c r="BF159" s="642"/>
      <c r="BG159" s="642"/>
      <c r="BH159" s="642"/>
      <c r="BI159" s="642"/>
      <c r="BJ159" s="642"/>
      <c r="BK159" s="642"/>
      <c r="BL159" s="642"/>
      <c r="BM159" s="859"/>
      <c r="BO159" s="860"/>
      <c r="BP159" s="642"/>
      <c r="BQ159" s="859"/>
      <c r="BS159" s="860"/>
      <c r="BT159" s="642"/>
      <c r="BV159" s="642"/>
    </row>
    <row r="160" spans="15:74" ht="15.75" customHeight="1">
      <c r="O160" s="856"/>
      <c r="P160" s="856"/>
      <c r="V160" s="856"/>
      <c r="W160" s="856"/>
      <c r="AC160" s="856"/>
      <c r="AD160" s="856"/>
      <c r="AJ160" s="856"/>
      <c r="AK160" s="857"/>
      <c r="AP160" s="856"/>
      <c r="AQ160" s="856"/>
      <c r="AW160" s="856"/>
      <c r="AX160" s="856"/>
      <c r="BC160" s="858"/>
      <c r="BD160" s="858"/>
      <c r="BE160" s="642"/>
      <c r="BF160" s="642"/>
      <c r="BG160" s="642"/>
      <c r="BH160" s="642"/>
      <c r="BI160" s="642"/>
      <c r="BJ160" s="642"/>
      <c r="BK160" s="642"/>
      <c r="BL160" s="642"/>
      <c r="BM160" s="859"/>
      <c r="BO160" s="860"/>
      <c r="BP160" s="642"/>
      <c r="BQ160" s="859"/>
      <c r="BS160" s="860"/>
      <c r="BT160" s="642"/>
      <c r="BV160" s="642"/>
    </row>
    <row r="161" spans="15:74" ht="15.75" customHeight="1">
      <c r="O161" s="856"/>
      <c r="P161" s="856"/>
      <c r="V161" s="856"/>
      <c r="W161" s="856"/>
      <c r="AC161" s="856"/>
      <c r="AD161" s="856"/>
      <c r="AJ161" s="856"/>
      <c r="AK161" s="857"/>
      <c r="AP161" s="856"/>
      <c r="AQ161" s="856"/>
      <c r="AW161" s="856"/>
      <c r="AX161" s="856"/>
      <c r="BC161" s="858"/>
      <c r="BD161" s="858"/>
      <c r="BE161" s="642"/>
      <c r="BF161" s="642"/>
      <c r="BG161" s="642"/>
      <c r="BH161" s="642"/>
      <c r="BI161" s="642"/>
      <c r="BJ161" s="642"/>
      <c r="BK161" s="642"/>
      <c r="BL161" s="642"/>
      <c r="BM161" s="859"/>
      <c r="BO161" s="860"/>
      <c r="BP161" s="642"/>
      <c r="BQ161" s="859"/>
      <c r="BS161" s="860"/>
      <c r="BT161" s="642"/>
      <c r="BV161" s="642"/>
    </row>
    <row r="162" spans="15:74" ht="15.75" customHeight="1">
      <c r="O162" s="856"/>
      <c r="P162" s="856"/>
      <c r="V162" s="856"/>
      <c r="W162" s="856"/>
      <c r="AC162" s="856"/>
      <c r="AD162" s="856"/>
      <c r="AJ162" s="856"/>
      <c r="AK162" s="857"/>
      <c r="AP162" s="856"/>
      <c r="AQ162" s="856"/>
      <c r="AW162" s="856"/>
      <c r="AX162" s="856"/>
      <c r="BC162" s="858"/>
      <c r="BD162" s="858"/>
      <c r="BE162" s="642"/>
      <c r="BF162" s="642"/>
      <c r="BG162" s="642"/>
      <c r="BH162" s="642"/>
      <c r="BI162" s="642"/>
      <c r="BJ162" s="642"/>
      <c r="BK162" s="642"/>
      <c r="BL162" s="642"/>
      <c r="BM162" s="859"/>
      <c r="BO162" s="860"/>
      <c r="BP162" s="642"/>
      <c r="BQ162" s="859"/>
      <c r="BS162" s="860"/>
      <c r="BT162" s="642"/>
      <c r="BV162" s="642"/>
    </row>
    <row r="163" spans="15:74" ht="15.75" customHeight="1">
      <c r="O163" s="856"/>
      <c r="P163" s="856"/>
      <c r="V163" s="856"/>
      <c r="W163" s="856"/>
      <c r="AC163" s="856"/>
      <c r="AD163" s="856"/>
      <c r="AJ163" s="856"/>
      <c r="AK163" s="857"/>
      <c r="AP163" s="856"/>
      <c r="AQ163" s="856"/>
      <c r="AW163" s="856"/>
      <c r="AX163" s="856"/>
      <c r="BC163" s="858"/>
      <c r="BD163" s="858"/>
      <c r="BE163" s="642"/>
      <c r="BF163" s="642"/>
      <c r="BG163" s="642"/>
      <c r="BH163" s="642"/>
      <c r="BI163" s="642"/>
      <c r="BJ163" s="642"/>
      <c r="BK163" s="642"/>
      <c r="BL163" s="642"/>
      <c r="BM163" s="859"/>
      <c r="BO163" s="860"/>
      <c r="BP163" s="642"/>
      <c r="BQ163" s="859"/>
      <c r="BS163" s="860"/>
      <c r="BT163" s="642"/>
      <c r="BV163" s="642"/>
    </row>
    <row r="164" spans="15:74" ht="15.75" customHeight="1">
      <c r="O164" s="856"/>
      <c r="P164" s="856"/>
      <c r="V164" s="856"/>
      <c r="W164" s="856"/>
      <c r="AC164" s="856"/>
      <c r="AD164" s="856"/>
      <c r="AJ164" s="856"/>
      <c r="AK164" s="857"/>
      <c r="AP164" s="856"/>
      <c r="AQ164" s="856"/>
      <c r="AW164" s="856"/>
      <c r="AX164" s="856"/>
      <c r="BC164" s="858"/>
      <c r="BD164" s="858"/>
      <c r="BE164" s="642"/>
      <c r="BF164" s="642"/>
      <c r="BG164" s="642"/>
      <c r="BH164" s="642"/>
      <c r="BI164" s="642"/>
      <c r="BJ164" s="642"/>
      <c r="BK164" s="642"/>
      <c r="BL164" s="642"/>
      <c r="BM164" s="859"/>
      <c r="BO164" s="860"/>
      <c r="BP164" s="642"/>
      <c r="BQ164" s="859"/>
      <c r="BS164" s="860"/>
      <c r="BT164" s="642"/>
      <c r="BV164" s="642"/>
    </row>
    <row r="165" spans="15:74" ht="15.75" customHeight="1">
      <c r="O165" s="856"/>
      <c r="P165" s="856"/>
      <c r="V165" s="856"/>
      <c r="W165" s="856"/>
      <c r="AC165" s="856"/>
      <c r="AD165" s="856"/>
      <c r="AJ165" s="856"/>
      <c r="AK165" s="857"/>
      <c r="AP165" s="856"/>
      <c r="AQ165" s="856"/>
      <c r="AW165" s="856"/>
      <c r="AX165" s="856"/>
      <c r="BC165" s="858"/>
      <c r="BD165" s="858"/>
      <c r="BE165" s="642"/>
      <c r="BF165" s="642"/>
      <c r="BG165" s="642"/>
      <c r="BH165" s="642"/>
      <c r="BI165" s="642"/>
      <c r="BJ165" s="642"/>
      <c r="BK165" s="642"/>
      <c r="BL165" s="642"/>
      <c r="BM165" s="859"/>
      <c r="BO165" s="860"/>
      <c r="BP165" s="642"/>
      <c r="BQ165" s="859"/>
      <c r="BS165" s="860"/>
      <c r="BT165" s="642"/>
      <c r="BV165" s="642"/>
    </row>
    <row r="166" spans="15:74" ht="15.75" customHeight="1">
      <c r="O166" s="856"/>
      <c r="P166" s="856"/>
      <c r="V166" s="856"/>
      <c r="W166" s="856"/>
      <c r="AC166" s="856"/>
      <c r="AD166" s="856"/>
      <c r="AJ166" s="856"/>
      <c r="AK166" s="857"/>
      <c r="AP166" s="856"/>
      <c r="AQ166" s="856"/>
      <c r="AW166" s="856"/>
      <c r="AX166" s="856"/>
      <c r="BC166" s="858"/>
      <c r="BD166" s="858"/>
      <c r="BE166" s="642"/>
      <c r="BF166" s="642"/>
      <c r="BG166" s="642"/>
      <c r="BH166" s="642"/>
      <c r="BI166" s="642"/>
      <c r="BJ166" s="642"/>
      <c r="BK166" s="642"/>
      <c r="BL166" s="642"/>
      <c r="BM166" s="859"/>
      <c r="BO166" s="860"/>
      <c r="BP166" s="642"/>
      <c r="BQ166" s="859"/>
      <c r="BS166" s="860"/>
      <c r="BT166" s="642"/>
      <c r="BV166" s="642"/>
    </row>
    <row r="167" spans="15:74" ht="15.75" customHeight="1">
      <c r="O167" s="856"/>
      <c r="P167" s="856"/>
      <c r="V167" s="856"/>
      <c r="W167" s="856"/>
      <c r="AC167" s="856"/>
      <c r="AD167" s="856"/>
      <c r="AJ167" s="856"/>
      <c r="AK167" s="857"/>
      <c r="AP167" s="856"/>
      <c r="AQ167" s="856"/>
      <c r="AW167" s="856"/>
      <c r="AX167" s="856"/>
      <c r="BC167" s="858"/>
      <c r="BD167" s="858"/>
      <c r="BE167" s="642"/>
      <c r="BF167" s="642"/>
      <c r="BG167" s="642"/>
      <c r="BH167" s="642"/>
      <c r="BI167" s="642"/>
      <c r="BJ167" s="642"/>
      <c r="BK167" s="642"/>
      <c r="BL167" s="642"/>
      <c r="BM167" s="859"/>
      <c r="BO167" s="860"/>
      <c r="BP167" s="642"/>
      <c r="BQ167" s="859"/>
      <c r="BS167" s="860"/>
      <c r="BT167" s="642"/>
      <c r="BV167" s="642"/>
    </row>
    <row r="168" spans="15:74" ht="15.75" customHeight="1">
      <c r="O168" s="856"/>
      <c r="P168" s="856"/>
      <c r="V168" s="856"/>
      <c r="W168" s="856"/>
      <c r="AC168" s="856"/>
      <c r="AD168" s="856"/>
      <c r="AJ168" s="856"/>
      <c r="AK168" s="857"/>
      <c r="AP168" s="856"/>
      <c r="AQ168" s="856"/>
      <c r="AW168" s="856"/>
      <c r="AX168" s="856"/>
      <c r="BC168" s="858"/>
      <c r="BD168" s="858"/>
      <c r="BE168" s="642"/>
      <c r="BF168" s="642"/>
      <c r="BG168" s="642"/>
      <c r="BH168" s="642"/>
      <c r="BI168" s="642"/>
      <c r="BJ168" s="642"/>
      <c r="BK168" s="642"/>
      <c r="BL168" s="642"/>
      <c r="BM168" s="859"/>
      <c r="BO168" s="860"/>
      <c r="BP168" s="642"/>
      <c r="BQ168" s="859"/>
      <c r="BS168" s="860"/>
      <c r="BT168" s="642"/>
      <c r="BV168" s="642"/>
    </row>
    <row r="169" spans="15:74" ht="15.75" customHeight="1">
      <c r="O169" s="856"/>
      <c r="P169" s="856"/>
      <c r="V169" s="856"/>
      <c r="W169" s="856"/>
      <c r="AC169" s="856"/>
      <c r="AD169" s="856"/>
      <c r="AJ169" s="856"/>
      <c r="AK169" s="857"/>
      <c r="AP169" s="856"/>
      <c r="AQ169" s="856"/>
      <c r="AW169" s="856"/>
      <c r="AX169" s="856"/>
      <c r="BC169" s="858"/>
      <c r="BD169" s="858"/>
      <c r="BE169" s="642"/>
      <c r="BF169" s="642"/>
      <c r="BG169" s="642"/>
      <c r="BH169" s="642"/>
      <c r="BI169" s="642"/>
      <c r="BJ169" s="642"/>
      <c r="BK169" s="642"/>
      <c r="BL169" s="642"/>
      <c r="BM169" s="859"/>
      <c r="BO169" s="860"/>
      <c r="BP169" s="642"/>
      <c r="BQ169" s="859"/>
      <c r="BS169" s="860"/>
      <c r="BT169" s="642"/>
      <c r="BV169" s="642"/>
    </row>
    <row r="170" spans="15:74" ht="15.75" customHeight="1">
      <c r="O170" s="856"/>
      <c r="P170" s="856"/>
      <c r="V170" s="856"/>
      <c r="W170" s="856"/>
      <c r="AC170" s="856"/>
      <c r="AD170" s="856"/>
      <c r="AJ170" s="856"/>
      <c r="AK170" s="857"/>
      <c r="AP170" s="856"/>
      <c r="AQ170" s="856"/>
      <c r="AW170" s="856"/>
      <c r="AX170" s="856"/>
      <c r="BC170" s="858"/>
      <c r="BD170" s="858"/>
      <c r="BE170" s="642"/>
      <c r="BF170" s="642"/>
      <c r="BG170" s="642"/>
      <c r="BH170" s="642"/>
      <c r="BI170" s="642"/>
      <c r="BJ170" s="642"/>
      <c r="BK170" s="642"/>
      <c r="BL170" s="642"/>
      <c r="BM170" s="859"/>
      <c r="BO170" s="860"/>
      <c r="BP170" s="642"/>
      <c r="BQ170" s="859"/>
      <c r="BS170" s="860"/>
      <c r="BT170" s="642"/>
      <c r="BV170" s="642"/>
    </row>
    <row r="171" spans="15:74" ht="15.75" customHeight="1">
      <c r="O171" s="856"/>
      <c r="P171" s="856"/>
      <c r="V171" s="856"/>
      <c r="W171" s="856"/>
      <c r="AC171" s="856"/>
      <c r="AD171" s="856"/>
      <c r="AJ171" s="856"/>
      <c r="AK171" s="857"/>
      <c r="AP171" s="856"/>
      <c r="AQ171" s="856"/>
      <c r="AW171" s="856"/>
      <c r="AX171" s="856"/>
      <c r="BC171" s="858"/>
      <c r="BD171" s="858"/>
      <c r="BE171" s="642"/>
      <c r="BF171" s="642"/>
      <c r="BG171" s="642"/>
      <c r="BH171" s="642"/>
      <c r="BI171" s="642"/>
      <c r="BJ171" s="642"/>
      <c r="BK171" s="642"/>
      <c r="BL171" s="642"/>
      <c r="BM171" s="859"/>
      <c r="BO171" s="860"/>
      <c r="BP171" s="642"/>
      <c r="BQ171" s="859"/>
      <c r="BS171" s="860"/>
      <c r="BT171" s="642"/>
      <c r="BV171" s="642"/>
    </row>
    <row r="172" spans="15:74" ht="15.75" customHeight="1">
      <c r="O172" s="856"/>
      <c r="P172" s="856"/>
      <c r="V172" s="856"/>
      <c r="W172" s="856"/>
      <c r="AC172" s="856"/>
      <c r="AD172" s="856"/>
      <c r="AJ172" s="856"/>
      <c r="AK172" s="857"/>
      <c r="AP172" s="856"/>
      <c r="AQ172" s="856"/>
      <c r="AW172" s="856"/>
      <c r="AX172" s="856"/>
      <c r="BC172" s="858"/>
      <c r="BD172" s="858"/>
      <c r="BE172" s="642"/>
      <c r="BF172" s="642"/>
      <c r="BG172" s="642"/>
      <c r="BH172" s="642"/>
      <c r="BI172" s="642"/>
      <c r="BJ172" s="642"/>
      <c r="BK172" s="642"/>
      <c r="BL172" s="642"/>
      <c r="BM172" s="859"/>
      <c r="BO172" s="860"/>
      <c r="BP172" s="642"/>
      <c r="BQ172" s="859"/>
      <c r="BS172" s="860"/>
      <c r="BT172" s="642"/>
      <c r="BV172" s="642"/>
    </row>
    <row r="173" spans="15:74" ht="15.75" customHeight="1">
      <c r="O173" s="856"/>
      <c r="P173" s="856"/>
      <c r="V173" s="856"/>
      <c r="W173" s="856"/>
      <c r="AC173" s="856"/>
      <c r="AD173" s="856"/>
      <c r="AJ173" s="856"/>
      <c r="AK173" s="857"/>
      <c r="AP173" s="856"/>
      <c r="AQ173" s="856"/>
      <c r="AW173" s="856"/>
      <c r="AX173" s="856"/>
      <c r="BC173" s="858"/>
      <c r="BD173" s="858"/>
      <c r="BE173" s="642"/>
      <c r="BF173" s="642"/>
      <c r="BG173" s="642"/>
      <c r="BH173" s="642"/>
      <c r="BI173" s="642"/>
      <c r="BJ173" s="642"/>
      <c r="BK173" s="642"/>
      <c r="BL173" s="642"/>
      <c r="BM173" s="859"/>
      <c r="BO173" s="860"/>
      <c r="BP173" s="642"/>
      <c r="BQ173" s="859"/>
      <c r="BS173" s="860"/>
      <c r="BT173" s="642"/>
      <c r="BV173" s="642"/>
    </row>
    <row r="174" spans="15:74" ht="15.75" customHeight="1">
      <c r="O174" s="856"/>
      <c r="P174" s="856"/>
      <c r="V174" s="856"/>
      <c r="W174" s="856"/>
      <c r="AC174" s="856"/>
      <c r="AD174" s="856"/>
      <c r="AJ174" s="856"/>
      <c r="AK174" s="857"/>
      <c r="AP174" s="856"/>
      <c r="AQ174" s="856"/>
      <c r="AW174" s="856"/>
      <c r="AX174" s="856"/>
      <c r="BC174" s="858"/>
      <c r="BD174" s="858"/>
      <c r="BE174" s="642"/>
      <c r="BF174" s="642"/>
      <c r="BG174" s="642"/>
      <c r="BH174" s="642"/>
      <c r="BI174" s="642"/>
      <c r="BJ174" s="642"/>
      <c r="BK174" s="642"/>
      <c r="BL174" s="642"/>
      <c r="BM174" s="859"/>
      <c r="BO174" s="860"/>
      <c r="BP174" s="642"/>
      <c r="BQ174" s="859"/>
      <c r="BS174" s="860"/>
      <c r="BT174" s="642"/>
      <c r="BV174" s="642"/>
    </row>
    <row r="175" spans="15:74" ht="15.75" customHeight="1">
      <c r="O175" s="856"/>
      <c r="P175" s="856"/>
      <c r="V175" s="856"/>
      <c r="W175" s="856"/>
      <c r="AC175" s="856"/>
      <c r="AD175" s="856"/>
      <c r="AJ175" s="856"/>
      <c r="AK175" s="857"/>
      <c r="AP175" s="856"/>
      <c r="AQ175" s="856"/>
      <c r="AW175" s="856"/>
      <c r="AX175" s="856"/>
      <c r="BC175" s="858"/>
      <c r="BD175" s="858"/>
      <c r="BE175" s="642"/>
      <c r="BF175" s="642"/>
      <c r="BG175" s="642"/>
      <c r="BH175" s="642"/>
      <c r="BI175" s="642"/>
      <c r="BJ175" s="642"/>
      <c r="BK175" s="642"/>
      <c r="BL175" s="642"/>
      <c r="BM175" s="859"/>
      <c r="BO175" s="860"/>
      <c r="BP175" s="642"/>
      <c r="BQ175" s="859"/>
      <c r="BS175" s="860"/>
      <c r="BT175" s="642"/>
      <c r="BV175" s="642"/>
    </row>
    <row r="176" spans="15:74" ht="15.75" customHeight="1">
      <c r="O176" s="856"/>
      <c r="P176" s="856"/>
      <c r="V176" s="856"/>
      <c r="W176" s="856"/>
      <c r="AC176" s="856"/>
      <c r="AD176" s="856"/>
      <c r="AJ176" s="856"/>
      <c r="AK176" s="857"/>
      <c r="AP176" s="856"/>
      <c r="AQ176" s="856"/>
      <c r="AW176" s="856"/>
      <c r="AX176" s="856"/>
      <c r="BC176" s="858"/>
      <c r="BD176" s="858"/>
      <c r="BE176" s="642"/>
      <c r="BF176" s="642"/>
      <c r="BG176" s="642"/>
      <c r="BH176" s="642"/>
      <c r="BI176" s="642"/>
      <c r="BJ176" s="642"/>
      <c r="BK176" s="642"/>
      <c r="BL176" s="642"/>
      <c r="BM176" s="859"/>
      <c r="BO176" s="860"/>
      <c r="BP176" s="642"/>
      <c r="BQ176" s="859"/>
      <c r="BS176" s="860"/>
      <c r="BT176" s="642"/>
      <c r="BV176" s="642"/>
    </row>
    <row r="177" spans="15:74" ht="15.75" customHeight="1">
      <c r="O177" s="856"/>
      <c r="P177" s="856"/>
      <c r="V177" s="856"/>
      <c r="W177" s="856"/>
      <c r="AC177" s="856"/>
      <c r="AD177" s="856"/>
      <c r="AJ177" s="856"/>
      <c r="AK177" s="857"/>
      <c r="AP177" s="856"/>
      <c r="AQ177" s="856"/>
      <c r="AW177" s="856"/>
      <c r="AX177" s="856"/>
      <c r="BC177" s="858"/>
      <c r="BD177" s="858"/>
      <c r="BE177" s="642"/>
      <c r="BF177" s="642"/>
      <c r="BG177" s="642"/>
      <c r="BH177" s="642"/>
      <c r="BI177" s="642"/>
      <c r="BJ177" s="642"/>
      <c r="BK177" s="642"/>
      <c r="BL177" s="642"/>
      <c r="BM177" s="859"/>
      <c r="BO177" s="860"/>
      <c r="BP177" s="642"/>
      <c r="BQ177" s="859"/>
      <c r="BS177" s="860"/>
      <c r="BT177" s="642"/>
      <c r="BV177" s="642"/>
    </row>
    <row r="178" spans="15:74" ht="15.75" customHeight="1">
      <c r="O178" s="856"/>
      <c r="P178" s="856"/>
      <c r="V178" s="856"/>
      <c r="W178" s="856"/>
      <c r="AC178" s="856"/>
      <c r="AD178" s="856"/>
      <c r="AJ178" s="856"/>
      <c r="AK178" s="857"/>
      <c r="AP178" s="856"/>
      <c r="AQ178" s="856"/>
      <c r="AW178" s="856"/>
      <c r="AX178" s="856"/>
      <c r="BC178" s="858"/>
      <c r="BD178" s="858"/>
      <c r="BE178" s="642"/>
      <c r="BF178" s="642"/>
      <c r="BG178" s="642"/>
      <c r="BH178" s="642"/>
      <c r="BI178" s="642"/>
      <c r="BJ178" s="642"/>
      <c r="BK178" s="642"/>
      <c r="BL178" s="642"/>
      <c r="BM178" s="859"/>
      <c r="BO178" s="860"/>
      <c r="BP178" s="642"/>
      <c r="BQ178" s="859"/>
      <c r="BS178" s="860"/>
      <c r="BT178" s="642"/>
      <c r="BV178" s="642"/>
    </row>
    <row r="179" spans="15:74" ht="15.75" customHeight="1">
      <c r="O179" s="856"/>
      <c r="P179" s="856"/>
      <c r="V179" s="856"/>
      <c r="W179" s="856"/>
      <c r="AC179" s="856"/>
      <c r="AD179" s="856"/>
      <c r="AJ179" s="856"/>
      <c r="AK179" s="857"/>
      <c r="AP179" s="856"/>
      <c r="AQ179" s="856"/>
      <c r="AW179" s="856"/>
      <c r="AX179" s="856"/>
      <c r="BC179" s="858"/>
      <c r="BD179" s="858"/>
      <c r="BE179" s="642"/>
      <c r="BF179" s="642"/>
      <c r="BG179" s="642"/>
      <c r="BH179" s="642"/>
      <c r="BI179" s="642"/>
      <c r="BJ179" s="642"/>
      <c r="BK179" s="642"/>
      <c r="BL179" s="642"/>
      <c r="BM179" s="859"/>
      <c r="BO179" s="860"/>
      <c r="BP179" s="642"/>
      <c r="BQ179" s="859"/>
      <c r="BS179" s="860"/>
      <c r="BT179" s="642"/>
      <c r="BV179" s="642"/>
    </row>
    <row r="180" spans="15:74" ht="15.75" customHeight="1">
      <c r="O180" s="856"/>
      <c r="P180" s="856"/>
      <c r="V180" s="856"/>
      <c r="W180" s="856"/>
      <c r="AC180" s="856"/>
      <c r="AD180" s="856"/>
      <c r="AJ180" s="856"/>
      <c r="AK180" s="857"/>
      <c r="AP180" s="856"/>
      <c r="AQ180" s="856"/>
      <c r="AW180" s="856"/>
      <c r="AX180" s="856"/>
      <c r="BC180" s="858"/>
      <c r="BD180" s="858"/>
      <c r="BE180" s="642"/>
      <c r="BF180" s="642"/>
      <c r="BG180" s="642"/>
      <c r="BH180" s="642"/>
      <c r="BI180" s="642"/>
      <c r="BJ180" s="642"/>
      <c r="BK180" s="642"/>
      <c r="BL180" s="642"/>
      <c r="BM180" s="859"/>
      <c r="BO180" s="860"/>
      <c r="BP180" s="642"/>
      <c r="BQ180" s="859"/>
      <c r="BS180" s="860"/>
      <c r="BT180" s="642"/>
      <c r="BV180" s="642"/>
    </row>
    <row r="181" spans="15:74" ht="15.75" customHeight="1">
      <c r="O181" s="856"/>
      <c r="P181" s="856"/>
      <c r="V181" s="856"/>
      <c r="W181" s="856"/>
      <c r="AC181" s="856"/>
      <c r="AD181" s="856"/>
      <c r="AJ181" s="856"/>
      <c r="AK181" s="857"/>
      <c r="AP181" s="856"/>
      <c r="AQ181" s="856"/>
      <c r="AW181" s="856"/>
      <c r="AX181" s="856"/>
      <c r="BC181" s="858"/>
      <c r="BD181" s="858"/>
      <c r="BE181" s="642"/>
      <c r="BF181" s="642"/>
      <c r="BG181" s="642"/>
      <c r="BH181" s="642"/>
      <c r="BI181" s="642"/>
      <c r="BJ181" s="642"/>
      <c r="BK181" s="642"/>
      <c r="BL181" s="642"/>
      <c r="BM181" s="859"/>
      <c r="BO181" s="860"/>
      <c r="BP181" s="642"/>
      <c r="BQ181" s="859"/>
      <c r="BS181" s="860"/>
      <c r="BT181" s="642"/>
      <c r="BV181" s="642"/>
    </row>
    <row r="182" spans="15:74" ht="15.75" customHeight="1">
      <c r="O182" s="856"/>
      <c r="P182" s="856"/>
      <c r="V182" s="856"/>
      <c r="W182" s="856"/>
      <c r="AC182" s="856"/>
      <c r="AD182" s="856"/>
      <c r="AJ182" s="856"/>
      <c r="AK182" s="857"/>
      <c r="AP182" s="856"/>
      <c r="AQ182" s="856"/>
      <c r="AW182" s="856"/>
      <c r="AX182" s="856"/>
      <c r="BC182" s="858"/>
      <c r="BD182" s="858"/>
      <c r="BE182" s="642"/>
      <c r="BF182" s="642"/>
      <c r="BG182" s="642"/>
      <c r="BH182" s="642"/>
      <c r="BI182" s="642"/>
      <c r="BJ182" s="642"/>
      <c r="BK182" s="642"/>
      <c r="BL182" s="642"/>
      <c r="BM182" s="859"/>
      <c r="BO182" s="860"/>
      <c r="BP182" s="642"/>
      <c r="BQ182" s="859"/>
      <c r="BS182" s="860"/>
      <c r="BT182" s="642"/>
      <c r="BV182" s="642"/>
    </row>
    <row r="183" spans="15:74" ht="15.75" customHeight="1">
      <c r="O183" s="856"/>
      <c r="P183" s="856"/>
      <c r="V183" s="856"/>
      <c r="W183" s="856"/>
      <c r="AC183" s="856"/>
      <c r="AD183" s="856"/>
      <c r="AJ183" s="856"/>
      <c r="AK183" s="857"/>
      <c r="AP183" s="856"/>
      <c r="AQ183" s="856"/>
      <c r="AW183" s="856"/>
      <c r="AX183" s="856"/>
      <c r="BC183" s="858"/>
      <c r="BD183" s="858"/>
      <c r="BE183" s="642"/>
      <c r="BF183" s="642"/>
      <c r="BG183" s="642"/>
      <c r="BH183" s="642"/>
      <c r="BI183" s="642"/>
      <c r="BJ183" s="642"/>
      <c r="BK183" s="642"/>
      <c r="BL183" s="642"/>
      <c r="BM183" s="859"/>
      <c r="BO183" s="860"/>
      <c r="BP183" s="642"/>
      <c r="BQ183" s="859"/>
      <c r="BS183" s="860"/>
      <c r="BT183" s="642"/>
      <c r="BV183" s="642"/>
    </row>
    <row r="184" spans="15:74" ht="15.75" customHeight="1">
      <c r="O184" s="856"/>
      <c r="P184" s="856"/>
      <c r="V184" s="856"/>
      <c r="W184" s="856"/>
      <c r="AC184" s="856"/>
      <c r="AD184" s="856"/>
      <c r="AJ184" s="856"/>
      <c r="AK184" s="857"/>
      <c r="AP184" s="856"/>
      <c r="AQ184" s="856"/>
      <c r="AW184" s="856"/>
      <c r="AX184" s="856"/>
      <c r="BC184" s="858"/>
      <c r="BD184" s="858"/>
      <c r="BE184" s="642"/>
      <c r="BF184" s="642"/>
      <c r="BG184" s="642"/>
      <c r="BH184" s="642"/>
      <c r="BI184" s="642"/>
      <c r="BJ184" s="642"/>
      <c r="BK184" s="642"/>
      <c r="BL184" s="642"/>
      <c r="BM184" s="859"/>
      <c r="BO184" s="860"/>
      <c r="BP184" s="642"/>
      <c r="BQ184" s="859"/>
      <c r="BS184" s="860"/>
      <c r="BT184" s="642"/>
      <c r="BV184" s="642"/>
    </row>
    <row r="185" spans="15:74" ht="15.75" customHeight="1">
      <c r="O185" s="856"/>
      <c r="P185" s="856"/>
      <c r="V185" s="856"/>
      <c r="W185" s="856"/>
      <c r="AC185" s="856"/>
      <c r="AD185" s="856"/>
      <c r="AJ185" s="856"/>
      <c r="AK185" s="857"/>
      <c r="AP185" s="856"/>
      <c r="AQ185" s="856"/>
      <c r="AW185" s="856"/>
      <c r="AX185" s="856"/>
      <c r="BC185" s="858"/>
      <c r="BD185" s="858"/>
      <c r="BE185" s="642"/>
      <c r="BF185" s="642"/>
      <c r="BG185" s="642"/>
      <c r="BH185" s="642"/>
      <c r="BI185" s="642"/>
      <c r="BJ185" s="642"/>
      <c r="BK185" s="642"/>
      <c r="BL185" s="642"/>
      <c r="BM185" s="859"/>
      <c r="BO185" s="860"/>
      <c r="BP185" s="642"/>
      <c r="BQ185" s="859"/>
      <c r="BS185" s="860"/>
      <c r="BT185" s="642"/>
      <c r="BV185" s="642"/>
    </row>
    <row r="186" spans="15:74" ht="15.75" customHeight="1">
      <c r="O186" s="856"/>
      <c r="P186" s="856"/>
      <c r="V186" s="856"/>
      <c r="W186" s="856"/>
      <c r="AC186" s="856"/>
      <c r="AD186" s="856"/>
      <c r="AJ186" s="856"/>
      <c r="AK186" s="857"/>
      <c r="AP186" s="856"/>
      <c r="AQ186" s="856"/>
      <c r="AW186" s="856"/>
      <c r="AX186" s="856"/>
      <c r="BC186" s="858"/>
      <c r="BD186" s="858"/>
      <c r="BE186" s="642"/>
      <c r="BF186" s="642"/>
      <c r="BG186" s="642"/>
      <c r="BH186" s="642"/>
      <c r="BI186" s="642"/>
      <c r="BJ186" s="642"/>
      <c r="BK186" s="642"/>
      <c r="BL186" s="642"/>
      <c r="BM186" s="859"/>
      <c r="BO186" s="860"/>
      <c r="BP186" s="642"/>
      <c r="BQ186" s="859"/>
      <c r="BS186" s="860"/>
      <c r="BT186" s="642"/>
      <c r="BV186" s="642"/>
    </row>
    <row r="187" spans="15:74" ht="15.75" customHeight="1">
      <c r="O187" s="856"/>
      <c r="P187" s="856"/>
      <c r="V187" s="856"/>
      <c r="W187" s="856"/>
      <c r="AC187" s="856"/>
      <c r="AD187" s="856"/>
      <c r="AJ187" s="856"/>
      <c r="AK187" s="857"/>
      <c r="AP187" s="856"/>
      <c r="AQ187" s="856"/>
      <c r="AW187" s="856"/>
      <c r="AX187" s="856"/>
      <c r="BC187" s="858"/>
      <c r="BD187" s="858"/>
      <c r="BE187" s="642"/>
      <c r="BF187" s="642"/>
      <c r="BG187" s="642"/>
      <c r="BH187" s="642"/>
      <c r="BI187" s="642"/>
      <c r="BJ187" s="642"/>
      <c r="BK187" s="642"/>
      <c r="BL187" s="642"/>
      <c r="BM187" s="859"/>
      <c r="BO187" s="860"/>
      <c r="BP187" s="642"/>
      <c r="BQ187" s="859"/>
      <c r="BS187" s="860"/>
      <c r="BT187" s="642"/>
      <c r="BV187" s="642"/>
    </row>
    <row r="188" spans="15:74" ht="15.75" customHeight="1">
      <c r="O188" s="856"/>
      <c r="P188" s="856"/>
      <c r="V188" s="856"/>
      <c r="W188" s="856"/>
      <c r="AC188" s="856"/>
      <c r="AD188" s="856"/>
      <c r="AJ188" s="856"/>
      <c r="AK188" s="857"/>
      <c r="AP188" s="856"/>
      <c r="AQ188" s="856"/>
      <c r="AW188" s="856"/>
      <c r="AX188" s="856"/>
      <c r="BC188" s="858"/>
      <c r="BD188" s="858"/>
      <c r="BE188" s="642"/>
      <c r="BF188" s="642"/>
      <c r="BG188" s="642"/>
      <c r="BH188" s="642"/>
      <c r="BI188" s="642"/>
      <c r="BJ188" s="642"/>
      <c r="BK188" s="642"/>
      <c r="BL188" s="642"/>
      <c r="BM188" s="859"/>
      <c r="BO188" s="860"/>
      <c r="BP188" s="642"/>
      <c r="BQ188" s="859"/>
      <c r="BS188" s="860"/>
      <c r="BT188" s="642"/>
      <c r="BV188" s="642"/>
    </row>
    <row r="189" spans="15:74" ht="15.75" customHeight="1">
      <c r="O189" s="856"/>
      <c r="P189" s="856"/>
      <c r="V189" s="856"/>
      <c r="W189" s="856"/>
      <c r="AC189" s="856"/>
      <c r="AD189" s="856"/>
      <c r="AJ189" s="856"/>
      <c r="AK189" s="857"/>
      <c r="AP189" s="856"/>
      <c r="AQ189" s="856"/>
      <c r="AW189" s="856"/>
      <c r="AX189" s="856"/>
      <c r="BC189" s="858"/>
      <c r="BD189" s="858"/>
      <c r="BE189" s="642"/>
      <c r="BF189" s="642"/>
      <c r="BG189" s="642"/>
      <c r="BH189" s="642"/>
      <c r="BI189" s="642"/>
      <c r="BJ189" s="642"/>
      <c r="BK189" s="642"/>
      <c r="BL189" s="642"/>
      <c r="BM189" s="859"/>
      <c r="BO189" s="860"/>
      <c r="BP189" s="642"/>
      <c r="BQ189" s="859"/>
      <c r="BS189" s="860"/>
      <c r="BT189" s="642"/>
      <c r="BV189" s="642"/>
    </row>
    <row r="190" spans="15:74" ht="15.75" customHeight="1">
      <c r="O190" s="856"/>
      <c r="P190" s="856"/>
      <c r="V190" s="856"/>
      <c r="W190" s="856"/>
      <c r="AC190" s="856"/>
      <c r="AD190" s="856"/>
      <c r="AJ190" s="856"/>
      <c r="AK190" s="857"/>
      <c r="AP190" s="856"/>
      <c r="AQ190" s="856"/>
      <c r="AW190" s="856"/>
      <c r="AX190" s="856"/>
      <c r="BC190" s="858"/>
      <c r="BD190" s="858"/>
      <c r="BE190" s="642"/>
      <c r="BF190" s="642"/>
      <c r="BG190" s="642"/>
      <c r="BH190" s="642"/>
      <c r="BI190" s="642"/>
      <c r="BJ190" s="642"/>
      <c r="BK190" s="642"/>
      <c r="BL190" s="642"/>
      <c r="BM190" s="859"/>
      <c r="BO190" s="860"/>
      <c r="BP190" s="642"/>
      <c r="BQ190" s="859"/>
      <c r="BS190" s="860"/>
      <c r="BT190" s="642"/>
      <c r="BV190" s="642"/>
    </row>
    <row r="191" spans="15:74" ht="15.75" customHeight="1">
      <c r="O191" s="856"/>
      <c r="P191" s="856"/>
      <c r="V191" s="856"/>
      <c r="W191" s="856"/>
      <c r="AC191" s="856"/>
      <c r="AD191" s="856"/>
      <c r="AJ191" s="856"/>
      <c r="AK191" s="857"/>
      <c r="AP191" s="856"/>
      <c r="AQ191" s="856"/>
      <c r="AW191" s="856"/>
      <c r="AX191" s="856"/>
      <c r="BC191" s="858"/>
      <c r="BD191" s="858"/>
      <c r="BE191" s="642"/>
      <c r="BF191" s="642"/>
      <c r="BG191" s="642"/>
      <c r="BH191" s="642"/>
      <c r="BI191" s="642"/>
      <c r="BJ191" s="642"/>
      <c r="BK191" s="642"/>
      <c r="BL191" s="642"/>
      <c r="BM191" s="859"/>
      <c r="BO191" s="860"/>
      <c r="BP191" s="642"/>
      <c r="BQ191" s="859"/>
      <c r="BS191" s="860"/>
      <c r="BT191" s="642"/>
      <c r="BV191" s="642"/>
    </row>
    <row r="192" spans="15:74" ht="15.75" customHeight="1">
      <c r="O192" s="856"/>
      <c r="P192" s="856"/>
      <c r="V192" s="856"/>
      <c r="W192" s="856"/>
      <c r="AC192" s="856"/>
      <c r="AD192" s="856"/>
      <c r="AJ192" s="856"/>
      <c r="AK192" s="857"/>
      <c r="AP192" s="856"/>
      <c r="AQ192" s="856"/>
      <c r="AW192" s="856"/>
      <c r="AX192" s="856"/>
      <c r="BC192" s="858"/>
      <c r="BD192" s="858"/>
      <c r="BE192" s="642"/>
      <c r="BF192" s="642"/>
      <c r="BG192" s="642"/>
      <c r="BH192" s="642"/>
      <c r="BI192" s="642"/>
      <c r="BJ192" s="642"/>
      <c r="BK192" s="642"/>
      <c r="BL192" s="642"/>
      <c r="BM192" s="859"/>
      <c r="BO192" s="860"/>
      <c r="BP192" s="642"/>
      <c r="BQ192" s="859"/>
      <c r="BS192" s="860"/>
      <c r="BT192" s="642"/>
      <c r="BV192" s="642"/>
    </row>
    <row r="193" spans="15:74" ht="15.75" customHeight="1">
      <c r="O193" s="856"/>
      <c r="P193" s="856"/>
      <c r="V193" s="856"/>
      <c r="W193" s="856"/>
      <c r="AC193" s="856"/>
      <c r="AD193" s="856"/>
      <c r="AJ193" s="856"/>
      <c r="AK193" s="857"/>
      <c r="AP193" s="856"/>
      <c r="AQ193" s="856"/>
      <c r="AW193" s="856"/>
      <c r="AX193" s="856"/>
      <c r="BC193" s="858"/>
      <c r="BD193" s="858"/>
      <c r="BE193" s="642"/>
      <c r="BF193" s="642"/>
      <c r="BG193" s="642"/>
      <c r="BH193" s="642"/>
      <c r="BI193" s="642"/>
      <c r="BJ193" s="642"/>
      <c r="BK193" s="642"/>
      <c r="BL193" s="642"/>
      <c r="BM193" s="859"/>
      <c r="BO193" s="860"/>
      <c r="BP193" s="642"/>
      <c r="BQ193" s="859"/>
      <c r="BS193" s="860"/>
      <c r="BT193" s="642"/>
      <c r="BV193" s="642"/>
    </row>
    <row r="194" spans="15:74" ht="15.75" customHeight="1">
      <c r="O194" s="856"/>
      <c r="P194" s="856"/>
      <c r="V194" s="856"/>
      <c r="W194" s="856"/>
      <c r="AC194" s="856"/>
      <c r="AD194" s="856"/>
      <c r="AJ194" s="856"/>
      <c r="AK194" s="857"/>
      <c r="AP194" s="856"/>
      <c r="AQ194" s="856"/>
      <c r="AW194" s="856"/>
      <c r="AX194" s="856"/>
      <c r="BC194" s="858"/>
      <c r="BD194" s="858"/>
      <c r="BE194" s="642"/>
      <c r="BF194" s="642"/>
      <c r="BG194" s="642"/>
      <c r="BH194" s="642"/>
      <c r="BI194" s="642"/>
      <c r="BJ194" s="642"/>
      <c r="BK194" s="642"/>
      <c r="BL194" s="642"/>
      <c r="BM194" s="859"/>
      <c r="BO194" s="860"/>
      <c r="BP194" s="642"/>
      <c r="BQ194" s="859"/>
      <c r="BS194" s="860"/>
      <c r="BT194" s="642"/>
      <c r="BV194" s="642"/>
    </row>
    <row r="195" spans="15:74" ht="15.75" customHeight="1">
      <c r="O195" s="856"/>
      <c r="P195" s="856"/>
      <c r="V195" s="856"/>
      <c r="W195" s="856"/>
      <c r="AC195" s="856"/>
      <c r="AD195" s="856"/>
      <c r="AJ195" s="856"/>
      <c r="AK195" s="857"/>
      <c r="AP195" s="856"/>
      <c r="AQ195" s="856"/>
      <c r="AW195" s="856"/>
      <c r="AX195" s="856"/>
      <c r="BC195" s="858"/>
      <c r="BD195" s="858"/>
      <c r="BE195" s="642"/>
      <c r="BF195" s="642"/>
      <c r="BG195" s="642"/>
      <c r="BH195" s="642"/>
      <c r="BI195" s="642"/>
      <c r="BJ195" s="642"/>
      <c r="BK195" s="642"/>
      <c r="BL195" s="642"/>
      <c r="BM195" s="859"/>
      <c r="BO195" s="860"/>
      <c r="BP195" s="642"/>
      <c r="BQ195" s="859"/>
      <c r="BS195" s="860"/>
      <c r="BT195" s="642"/>
      <c r="BV195" s="642"/>
    </row>
    <row r="196" spans="15:74" ht="15.75" customHeight="1">
      <c r="O196" s="856"/>
      <c r="P196" s="856"/>
      <c r="V196" s="856"/>
      <c r="W196" s="856"/>
      <c r="AC196" s="856"/>
      <c r="AD196" s="856"/>
      <c r="AJ196" s="856"/>
      <c r="AK196" s="857"/>
      <c r="AP196" s="856"/>
      <c r="AQ196" s="856"/>
      <c r="AW196" s="856"/>
      <c r="AX196" s="856"/>
      <c r="BC196" s="858"/>
      <c r="BD196" s="858"/>
      <c r="BE196" s="642"/>
      <c r="BF196" s="642"/>
      <c r="BG196" s="642"/>
      <c r="BH196" s="642"/>
      <c r="BI196" s="642"/>
      <c r="BJ196" s="642"/>
      <c r="BK196" s="642"/>
      <c r="BL196" s="642"/>
      <c r="BM196" s="859"/>
      <c r="BO196" s="860"/>
      <c r="BP196" s="642"/>
      <c r="BQ196" s="859"/>
      <c r="BS196" s="860"/>
      <c r="BT196" s="642"/>
      <c r="BV196" s="642"/>
    </row>
    <row r="197" spans="15:74" ht="15.75" customHeight="1">
      <c r="O197" s="856"/>
      <c r="P197" s="856"/>
      <c r="V197" s="856"/>
      <c r="W197" s="856"/>
      <c r="AC197" s="856"/>
      <c r="AD197" s="856"/>
      <c r="AJ197" s="856"/>
      <c r="AK197" s="857"/>
      <c r="AP197" s="856"/>
      <c r="AQ197" s="856"/>
      <c r="AW197" s="856"/>
      <c r="AX197" s="856"/>
      <c r="BC197" s="858"/>
      <c r="BD197" s="858"/>
      <c r="BE197" s="642"/>
      <c r="BF197" s="642"/>
      <c r="BG197" s="642"/>
      <c r="BH197" s="642"/>
      <c r="BI197" s="642"/>
      <c r="BJ197" s="642"/>
      <c r="BK197" s="642"/>
      <c r="BL197" s="642"/>
      <c r="BM197" s="859"/>
      <c r="BO197" s="860"/>
      <c r="BP197" s="642"/>
      <c r="BQ197" s="859"/>
      <c r="BS197" s="860"/>
      <c r="BT197" s="642"/>
      <c r="BV197" s="642"/>
    </row>
    <row r="198" spans="15:74" ht="15.75" customHeight="1">
      <c r="O198" s="856"/>
      <c r="P198" s="856"/>
      <c r="V198" s="856"/>
      <c r="W198" s="856"/>
      <c r="AC198" s="856"/>
      <c r="AD198" s="856"/>
      <c r="AJ198" s="856"/>
      <c r="AK198" s="857"/>
      <c r="AP198" s="856"/>
      <c r="AQ198" s="856"/>
      <c r="AW198" s="856"/>
      <c r="AX198" s="856"/>
      <c r="BC198" s="858"/>
      <c r="BD198" s="858"/>
      <c r="BE198" s="642"/>
      <c r="BF198" s="642"/>
      <c r="BG198" s="642"/>
      <c r="BH198" s="642"/>
      <c r="BI198" s="642"/>
      <c r="BJ198" s="642"/>
      <c r="BK198" s="642"/>
      <c r="BL198" s="642"/>
      <c r="BM198" s="859"/>
      <c r="BO198" s="860"/>
      <c r="BP198" s="642"/>
      <c r="BQ198" s="859"/>
      <c r="BS198" s="860"/>
      <c r="BT198" s="642"/>
      <c r="BV198" s="642"/>
    </row>
    <row r="199" spans="15:74" ht="15.75" customHeight="1">
      <c r="O199" s="856"/>
      <c r="P199" s="856"/>
      <c r="V199" s="856"/>
      <c r="W199" s="856"/>
      <c r="AC199" s="856"/>
      <c r="AD199" s="856"/>
      <c r="AJ199" s="856"/>
      <c r="AK199" s="857"/>
      <c r="AP199" s="856"/>
      <c r="AQ199" s="856"/>
      <c r="AW199" s="856"/>
      <c r="AX199" s="856"/>
      <c r="BC199" s="858"/>
      <c r="BD199" s="858"/>
      <c r="BE199" s="642"/>
      <c r="BF199" s="642"/>
      <c r="BG199" s="642"/>
      <c r="BH199" s="642"/>
      <c r="BI199" s="642"/>
      <c r="BJ199" s="642"/>
      <c r="BK199" s="642"/>
      <c r="BL199" s="642"/>
      <c r="BM199" s="859"/>
      <c r="BO199" s="860"/>
      <c r="BP199" s="642"/>
      <c r="BQ199" s="859"/>
      <c r="BS199" s="860"/>
      <c r="BT199" s="642"/>
      <c r="BV199" s="642"/>
    </row>
    <row r="200" spans="15:74" ht="15.75" customHeight="1">
      <c r="O200" s="856"/>
      <c r="P200" s="856"/>
      <c r="V200" s="856"/>
      <c r="W200" s="856"/>
      <c r="AC200" s="856"/>
      <c r="AD200" s="856"/>
      <c r="AJ200" s="856"/>
      <c r="AK200" s="857"/>
      <c r="AP200" s="856"/>
      <c r="AQ200" s="856"/>
      <c r="AW200" s="856"/>
      <c r="AX200" s="856"/>
      <c r="BC200" s="858"/>
      <c r="BD200" s="858"/>
      <c r="BE200" s="642"/>
      <c r="BF200" s="642"/>
      <c r="BG200" s="642"/>
      <c r="BH200" s="642"/>
      <c r="BI200" s="642"/>
      <c r="BJ200" s="642"/>
      <c r="BK200" s="642"/>
      <c r="BL200" s="642"/>
      <c r="BM200" s="859"/>
      <c r="BO200" s="860"/>
      <c r="BP200" s="642"/>
      <c r="BQ200" s="859"/>
      <c r="BS200" s="860"/>
      <c r="BT200" s="642"/>
      <c r="BV200" s="642"/>
    </row>
    <row r="201" spans="15:74" ht="15.75" customHeight="1">
      <c r="O201" s="856"/>
      <c r="P201" s="856"/>
      <c r="V201" s="856"/>
      <c r="W201" s="856"/>
      <c r="AC201" s="856"/>
      <c r="AD201" s="856"/>
      <c r="AJ201" s="856"/>
      <c r="AK201" s="857"/>
      <c r="AP201" s="856"/>
      <c r="AQ201" s="856"/>
      <c r="AW201" s="856"/>
      <c r="AX201" s="856"/>
      <c r="BC201" s="858"/>
      <c r="BD201" s="858"/>
      <c r="BE201" s="642"/>
      <c r="BF201" s="642"/>
      <c r="BG201" s="642"/>
      <c r="BH201" s="642"/>
      <c r="BI201" s="642"/>
      <c r="BJ201" s="642"/>
      <c r="BK201" s="642"/>
      <c r="BL201" s="642"/>
      <c r="BM201" s="859"/>
      <c r="BO201" s="860"/>
      <c r="BP201" s="642"/>
      <c r="BQ201" s="859"/>
      <c r="BS201" s="860"/>
      <c r="BT201" s="642"/>
      <c r="BV201" s="642"/>
    </row>
    <row r="202" spans="15:74" ht="15.75" customHeight="1">
      <c r="O202" s="856"/>
      <c r="P202" s="856"/>
      <c r="V202" s="856"/>
      <c r="W202" s="856"/>
      <c r="AC202" s="856"/>
      <c r="AD202" s="856"/>
      <c r="AJ202" s="856"/>
      <c r="AK202" s="857"/>
      <c r="AP202" s="856"/>
      <c r="AQ202" s="856"/>
      <c r="AW202" s="856"/>
      <c r="AX202" s="856"/>
      <c r="BC202" s="858"/>
      <c r="BD202" s="858"/>
      <c r="BE202" s="642"/>
      <c r="BF202" s="642"/>
      <c r="BG202" s="642"/>
      <c r="BH202" s="642"/>
      <c r="BI202" s="642"/>
      <c r="BJ202" s="642"/>
      <c r="BK202" s="642"/>
      <c r="BL202" s="642"/>
      <c r="BM202" s="859"/>
      <c r="BO202" s="860"/>
      <c r="BP202" s="642"/>
      <c r="BQ202" s="859"/>
      <c r="BS202" s="860"/>
      <c r="BT202" s="642"/>
      <c r="BV202" s="642"/>
    </row>
    <row r="203" spans="15:74" ht="15.75" customHeight="1">
      <c r="O203" s="856"/>
      <c r="P203" s="856"/>
      <c r="V203" s="856"/>
      <c r="W203" s="856"/>
      <c r="AC203" s="856"/>
      <c r="AD203" s="856"/>
      <c r="AJ203" s="856"/>
      <c r="AK203" s="857"/>
      <c r="AP203" s="856"/>
      <c r="AQ203" s="856"/>
      <c r="AW203" s="856"/>
      <c r="AX203" s="856"/>
      <c r="BC203" s="858"/>
      <c r="BD203" s="858"/>
      <c r="BE203" s="642"/>
      <c r="BF203" s="642"/>
      <c r="BG203" s="642"/>
      <c r="BH203" s="642"/>
      <c r="BI203" s="642"/>
      <c r="BJ203" s="642"/>
      <c r="BK203" s="642"/>
      <c r="BL203" s="642"/>
      <c r="BM203" s="859"/>
      <c r="BO203" s="860"/>
      <c r="BP203" s="642"/>
      <c r="BQ203" s="859"/>
      <c r="BS203" s="860"/>
      <c r="BT203" s="642"/>
      <c r="BV203" s="642"/>
    </row>
    <row r="204" spans="15:74" ht="15.75" customHeight="1">
      <c r="O204" s="856"/>
      <c r="P204" s="856"/>
      <c r="V204" s="856"/>
      <c r="W204" s="856"/>
      <c r="AC204" s="856"/>
      <c r="AD204" s="856"/>
      <c r="AJ204" s="856"/>
      <c r="AK204" s="857"/>
      <c r="AP204" s="856"/>
      <c r="AQ204" s="856"/>
      <c r="AW204" s="856"/>
      <c r="AX204" s="856"/>
      <c r="BC204" s="858"/>
      <c r="BD204" s="858"/>
      <c r="BE204" s="642"/>
      <c r="BF204" s="642"/>
      <c r="BG204" s="642"/>
      <c r="BH204" s="642"/>
      <c r="BI204" s="642"/>
      <c r="BJ204" s="642"/>
      <c r="BK204" s="642"/>
      <c r="BL204" s="642"/>
      <c r="BM204" s="859"/>
      <c r="BO204" s="860"/>
      <c r="BP204" s="642"/>
      <c r="BQ204" s="859"/>
      <c r="BS204" s="860"/>
      <c r="BT204" s="642"/>
      <c r="BV204" s="642"/>
    </row>
    <row r="205" spans="15:74" ht="15.75" customHeight="1">
      <c r="O205" s="856"/>
      <c r="P205" s="856"/>
      <c r="V205" s="856"/>
      <c r="W205" s="856"/>
      <c r="AC205" s="856"/>
      <c r="AD205" s="856"/>
      <c r="AJ205" s="856"/>
      <c r="AK205" s="857"/>
      <c r="AP205" s="856"/>
      <c r="AQ205" s="856"/>
      <c r="AW205" s="856"/>
      <c r="AX205" s="856"/>
      <c r="BC205" s="858"/>
      <c r="BD205" s="858"/>
      <c r="BE205" s="642"/>
      <c r="BF205" s="642"/>
      <c r="BG205" s="642"/>
      <c r="BH205" s="642"/>
      <c r="BI205" s="642"/>
      <c r="BJ205" s="642"/>
      <c r="BK205" s="642"/>
      <c r="BL205" s="642"/>
      <c r="BM205" s="859"/>
      <c r="BO205" s="860"/>
      <c r="BP205" s="642"/>
      <c r="BQ205" s="859"/>
      <c r="BS205" s="860"/>
      <c r="BT205" s="642"/>
      <c r="BV205" s="642"/>
    </row>
    <row r="206" spans="15:74" ht="15.75" customHeight="1">
      <c r="O206" s="856"/>
      <c r="P206" s="856"/>
      <c r="V206" s="856"/>
      <c r="W206" s="856"/>
      <c r="AC206" s="856"/>
      <c r="AD206" s="856"/>
      <c r="AJ206" s="856"/>
      <c r="AK206" s="857"/>
      <c r="AP206" s="856"/>
      <c r="AQ206" s="856"/>
      <c r="AW206" s="856"/>
      <c r="AX206" s="856"/>
      <c r="BC206" s="858"/>
      <c r="BD206" s="858"/>
      <c r="BE206" s="642"/>
      <c r="BF206" s="642"/>
      <c r="BG206" s="642"/>
      <c r="BH206" s="642"/>
      <c r="BI206" s="642"/>
      <c r="BJ206" s="642"/>
      <c r="BK206" s="642"/>
      <c r="BL206" s="642"/>
      <c r="BM206" s="859"/>
      <c r="BO206" s="860"/>
      <c r="BP206" s="642"/>
      <c r="BQ206" s="859"/>
      <c r="BS206" s="860"/>
      <c r="BT206" s="642"/>
      <c r="BV206" s="642"/>
    </row>
    <row r="207" spans="15:74" ht="15.75" customHeight="1">
      <c r="O207" s="856"/>
      <c r="P207" s="856"/>
      <c r="V207" s="856"/>
      <c r="W207" s="856"/>
      <c r="AC207" s="856"/>
      <c r="AD207" s="856"/>
      <c r="AJ207" s="856"/>
      <c r="AK207" s="857"/>
      <c r="AP207" s="856"/>
      <c r="AQ207" s="856"/>
      <c r="AW207" s="856"/>
      <c r="AX207" s="856"/>
      <c r="BC207" s="858"/>
      <c r="BD207" s="858"/>
      <c r="BE207" s="642"/>
      <c r="BF207" s="642"/>
      <c r="BG207" s="642"/>
      <c r="BH207" s="642"/>
      <c r="BI207" s="642"/>
      <c r="BJ207" s="642"/>
      <c r="BK207" s="642"/>
      <c r="BL207" s="642"/>
      <c r="BM207" s="859"/>
      <c r="BO207" s="860"/>
      <c r="BP207" s="642"/>
      <c r="BQ207" s="859"/>
      <c r="BS207" s="860"/>
      <c r="BT207" s="642"/>
      <c r="BV207" s="642"/>
    </row>
    <row r="208" spans="15:74" ht="15.75" customHeight="1">
      <c r="O208" s="856"/>
      <c r="P208" s="856"/>
      <c r="V208" s="856"/>
      <c r="W208" s="856"/>
      <c r="AC208" s="856"/>
      <c r="AD208" s="856"/>
      <c r="AJ208" s="856"/>
      <c r="AK208" s="857"/>
      <c r="AP208" s="856"/>
      <c r="AQ208" s="856"/>
      <c r="AW208" s="856"/>
      <c r="AX208" s="856"/>
      <c r="BC208" s="858"/>
      <c r="BD208" s="858"/>
      <c r="BE208" s="642"/>
      <c r="BF208" s="642"/>
      <c r="BG208" s="642"/>
      <c r="BH208" s="642"/>
      <c r="BI208" s="642"/>
      <c r="BJ208" s="642"/>
      <c r="BK208" s="642"/>
      <c r="BL208" s="642"/>
      <c r="BM208" s="859"/>
      <c r="BO208" s="860"/>
      <c r="BP208" s="642"/>
      <c r="BQ208" s="859"/>
      <c r="BS208" s="860"/>
      <c r="BT208" s="642"/>
      <c r="BV208" s="642"/>
    </row>
    <row r="209" spans="15:74" ht="15.75" customHeight="1">
      <c r="O209" s="856"/>
      <c r="P209" s="856"/>
      <c r="V209" s="856"/>
      <c r="W209" s="856"/>
      <c r="AC209" s="856"/>
      <c r="AD209" s="856"/>
      <c r="AJ209" s="856"/>
      <c r="AK209" s="857"/>
      <c r="AP209" s="856"/>
      <c r="AQ209" s="856"/>
      <c r="AW209" s="856"/>
      <c r="AX209" s="856"/>
      <c r="BC209" s="858"/>
      <c r="BD209" s="858"/>
      <c r="BE209" s="642"/>
      <c r="BF209" s="642"/>
      <c r="BG209" s="642"/>
      <c r="BH209" s="642"/>
      <c r="BI209" s="642"/>
      <c r="BJ209" s="642"/>
      <c r="BK209" s="642"/>
      <c r="BL209" s="642"/>
      <c r="BM209" s="859"/>
      <c r="BO209" s="860"/>
      <c r="BP209" s="642"/>
      <c r="BQ209" s="859"/>
      <c r="BS209" s="860"/>
      <c r="BT209" s="642"/>
      <c r="BV209" s="642"/>
    </row>
    <row r="210" spans="15:74" ht="15.75" customHeight="1">
      <c r="O210" s="856"/>
      <c r="P210" s="856"/>
      <c r="V210" s="856"/>
      <c r="W210" s="856"/>
      <c r="AC210" s="856"/>
      <c r="AD210" s="856"/>
      <c r="AJ210" s="856"/>
      <c r="AK210" s="857"/>
      <c r="AP210" s="856"/>
      <c r="AQ210" s="856"/>
      <c r="AW210" s="856"/>
      <c r="AX210" s="856"/>
      <c r="BC210" s="858"/>
      <c r="BD210" s="858"/>
      <c r="BE210" s="642"/>
      <c r="BF210" s="642"/>
      <c r="BG210" s="642"/>
      <c r="BH210" s="642"/>
      <c r="BI210" s="642"/>
      <c r="BJ210" s="642"/>
      <c r="BK210" s="642"/>
      <c r="BL210" s="642"/>
      <c r="BM210" s="859"/>
      <c r="BO210" s="860"/>
      <c r="BP210" s="642"/>
      <c r="BQ210" s="859"/>
      <c r="BS210" s="860"/>
      <c r="BT210" s="642"/>
      <c r="BV210" s="642"/>
    </row>
    <row r="211" spans="15:74" ht="15.75" customHeight="1">
      <c r="O211" s="856"/>
      <c r="P211" s="856"/>
      <c r="V211" s="856"/>
      <c r="W211" s="856"/>
      <c r="AC211" s="856"/>
      <c r="AD211" s="856"/>
      <c r="AJ211" s="856"/>
      <c r="AK211" s="857"/>
      <c r="AP211" s="856"/>
      <c r="AQ211" s="856"/>
      <c r="AW211" s="856"/>
      <c r="AX211" s="856"/>
      <c r="BC211" s="858"/>
      <c r="BD211" s="858"/>
      <c r="BE211" s="642"/>
      <c r="BF211" s="642"/>
      <c r="BG211" s="642"/>
      <c r="BH211" s="642"/>
      <c r="BI211" s="642"/>
      <c r="BJ211" s="642"/>
      <c r="BK211" s="642"/>
      <c r="BL211" s="642"/>
      <c r="BM211" s="859"/>
      <c r="BO211" s="860"/>
      <c r="BP211" s="642"/>
      <c r="BQ211" s="859"/>
      <c r="BS211" s="860"/>
      <c r="BT211" s="642"/>
      <c r="BV211" s="642"/>
    </row>
    <row r="212" spans="15:74" ht="15.75" customHeight="1">
      <c r="O212" s="856"/>
      <c r="P212" s="856"/>
      <c r="V212" s="856"/>
      <c r="W212" s="856"/>
      <c r="AC212" s="856"/>
      <c r="AD212" s="856"/>
      <c r="AJ212" s="856"/>
      <c r="AK212" s="857"/>
      <c r="AP212" s="856"/>
      <c r="AQ212" s="856"/>
      <c r="AW212" s="856"/>
      <c r="AX212" s="856"/>
      <c r="BC212" s="858"/>
      <c r="BD212" s="858"/>
      <c r="BE212" s="642"/>
      <c r="BF212" s="642"/>
      <c r="BG212" s="642"/>
      <c r="BH212" s="642"/>
      <c r="BI212" s="642"/>
      <c r="BJ212" s="642"/>
      <c r="BK212" s="642"/>
      <c r="BL212" s="642"/>
      <c r="BM212" s="859"/>
      <c r="BO212" s="860"/>
      <c r="BP212" s="642"/>
      <c r="BQ212" s="859"/>
      <c r="BS212" s="860"/>
      <c r="BT212" s="642"/>
      <c r="BV212" s="642"/>
    </row>
    <row r="213" spans="15:74" ht="15.75" customHeight="1">
      <c r="O213" s="856"/>
      <c r="P213" s="856"/>
      <c r="V213" s="856"/>
      <c r="W213" s="856"/>
      <c r="AC213" s="856"/>
      <c r="AD213" s="856"/>
      <c r="AJ213" s="856"/>
      <c r="AK213" s="857"/>
      <c r="AP213" s="856"/>
      <c r="AQ213" s="856"/>
      <c r="AW213" s="856"/>
      <c r="AX213" s="856"/>
      <c r="BC213" s="858"/>
      <c r="BD213" s="858"/>
      <c r="BE213" s="642"/>
      <c r="BF213" s="642"/>
      <c r="BG213" s="642"/>
      <c r="BH213" s="642"/>
      <c r="BI213" s="642"/>
      <c r="BJ213" s="642"/>
      <c r="BK213" s="642"/>
      <c r="BL213" s="642"/>
      <c r="BM213" s="859"/>
      <c r="BO213" s="860"/>
      <c r="BP213" s="642"/>
      <c r="BQ213" s="859"/>
      <c r="BS213" s="860"/>
      <c r="BT213" s="642"/>
      <c r="BV213" s="642"/>
    </row>
    <row r="214" spans="15:74" ht="15.75" customHeight="1">
      <c r="O214" s="856"/>
      <c r="P214" s="856"/>
      <c r="V214" s="856"/>
      <c r="W214" s="856"/>
      <c r="AC214" s="856"/>
      <c r="AD214" s="856"/>
      <c r="AJ214" s="856"/>
      <c r="AK214" s="857"/>
      <c r="AP214" s="856"/>
      <c r="AQ214" s="856"/>
      <c r="AW214" s="856"/>
      <c r="AX214" s="856"/>
      <c r="BC214" s="858"/>
      <c r="BD214" s="858"/>
      <c r="BE214" s="642"/>
      <c r="BF214" s="642"/>
      <c r="BG214" s="642"/>
      <c r="BH214" s="642"/>
      <c r="BI214" s="642"/>
      <c r="BJ214" s="642"/>
      <c r="BK214" s="642"/>
      <c r="BL214" s="642"/>
      <c r="BM214" s="859"/>
      <c r="BO214" s="860"/>
      <c r="BP214" s="642"/>
      <c r="BQ214" s="859"/>
      <c r="BS214" s="860"/>
      <c r="BT214" s="642"/>
      <c r="BV214" s="642"/>
    </row>
    <row r="215" spans="15:74" ht="15.75" customHeight="1">
      <c r="O215" s="856"/>
      <c r="P215" s="856"/>
      <c r="V215" s="856"/>
      <c r="W215" s="856"/>
      <c r="AC215" s="856"/>
      <c r="AD215" s="856"/>
      <c r="AJ215" s="856"/>
      <c r="AK215" s="857"/>
      <c r="AP215" s="856"/>
      <c r="AQ215" s="856"/>
      <c r="AW215" s="856"/>
      <c r="AX215" s="856"/>
      <c r="BC215" s="858"/>
      <c r="BD215" s="858"/>
      <c r="BE215" s="642"/>
      <c r="BF215" s="642"/>
      <c r="BG215" s="642"/>
      <c r="BH215" s="642"/>
      <c r="BI215" s="642"/>
      <c r="BJ215" s="642"/>
      <c r="BK215" s="642"/>
      <c r="BL215" s="642"/>
      <c r="BM215" s="859"/>
      <c r="BO215" s="860"/>
      <c r="BP215" s="642"/>
      <c r="BQ215" s="859"/>
      <c r="BS215" s="860"/>
      <c r="BT215" s="642"/>
      <c r="BV215" s="642"/>
    </row>
    <row r="216" spans="15:74" ht="15.75" customHeight="1">
      <c r="O216" s="856"/>
      <c r="P216" s="856"/>
      <c r="V216" s="856"/>
      <c r="W216" s="856"/>
      <c r="AC216" s="856"/>
      <c r="AD216" s="856"/>
      <c r="AJ216" s="856"/>
      <c r="AK216" s="857"/>
      <c r="AP216" s="856"/>
      <c r="AQ216" s="856"/>
      <c r="AW216" s="856"/>
      <c r="AX216" s="856"/>
      <c r="BC216" s="858"/>
      <c r="BD216" s="858"/>
      <c r="BE216" s="642"/>
      <c r="BF216" s="642"/>
      <c r="BG216" s="642"/>
      <c r="BH216" s="642"/>
      <c r="BI216" s="642"/>
      <c r="BJ216" s="642"/>
      <c r="BK216" s="642"/>
      <c r="BL216" s="642"/>
      <c r="BM216" s="859"/>
      <c r="BO216" s="860"/>
      <c r="BP216" s="642"/>
      <c r="BQ216" s="859"/>
      <c r="BS216" s="860"/>
      <c r="BT216" s="642"/>
      <c r="BV216" s="642"/>
    </row>
    <row r="217" spans="15:74" ht="15.75" customHeight="1">
      <c r="O217" s="856"/>
      <c r="P217" s="856"/>
      <c r="V217" s="856"/>
      <c r="W217" s="856"/>
      <c r="AC217" s="856"/>
      <c r="AD217" s="856"/>
      <c r="AJ217" s="856"/>
      <c r="AK217" s="857"/>
      <c r="AP217" s="856"/>
      <c r="AQ217" s="856"/>
      <c r="AW217" s="856"/>
      <c r="AX217" s="856"/>
      <c r="BC217" s="858"/>
      <c r="BD217" s="858"/>
      <c r="BE217" s="642"/>
      <c r="BF217" s="642"/>
      <c r="BG217" s="642"/>
      <c r="BH217" s="642"/>
      <c r="BI217" s="642"/>
      <c r="BJ217" s="642"/>
      <c r="BK217" s="642"/>
      <c r="BL217" s="642"/>
      <c r="BM217" s="859"/>
      <c r="BO217" s="860"/>
      <c r="BP217" s="642"/>
      <c r="BQ217" s="859"/>
      <c r="BS217" s="860"/>
      <c r="BT217" s="642"/>
      <c r="BV217" s="642"/>
    </row>
    <row r="218" spans="15:74" ht="15.75" customHeight="1">
      <c r="O218" s="856"/>
      <c r="P218" s="856"/>
      <c r="V218" s="856"/>
      <c r="W218" s="856"/>
      <c r="AC218" s="856"/>
      <c r="AD218" s="856"/>
      <c r="AJ218" s="856"/>
      <c r="AK218" s="857"/>
      <c r="AP218" s="856"/>
      <c r="AQ218" s="856"/>
      <c r="AW218" s="856"/>
      <c r="AX218" s="856"/>
      <c r="BC218" s="858"/>
      <c r="BD218" s="858"/>
      <c r="BE218" s="642"/>
      <c r="BF218" s="642"/>
      <c r="BG218" s="642"/>
      <c r="BH218" s="642"/>
      <c r="BI218" s="642"/>
      <c r="BJ218" s="642"/>
      <c r="BK218" s="642"/>
      <c r="BL218" s="642"/>
      <c r="BM218" s="859"/>
      <c r="BO218" s="860"/>
      <c r="BP218" s="642"/>
      <c r="BQ218" s="859"/>
      <c r="BS218" s="860"/>
      <c r="BT218" s="642"/>
      <c r="BV218" s="642"/>
    </row>
    <row r="219" spans="15:74" ht="15.75" customHeight="1">
      <c r="O219" s="856"/>
      <c r="P219" s="856"/>
      <c r="V219" s="856"/>
      <c r="W219" s="856"/>
      <c r="AC219" s="856"/>
      <c r="AD219" s="856"/>
      <c r="AJ219" s="856"/>
      <c r="AK219" s="857"/>
      <c r="AP219" s="856"/>
      <c r="AQ219" s="856"/>
      <c r="AW219" s="856"/>
      <c r="AX219" s="856"/>
      <c r="BC219" s="858"/>
      <c r="BD219" s="858"/>
      <c r="BE219" s="642"/>
      <c r="BF219" s="642"/>
      <c r="BG219" s="642"/>
      <c r="BH219" s="642"/>
      <c r="BI219" s="642"/>
      <c r="BJ219" s="642"/>
      <c r="BK219" s="642"/>
      <c r="BL219" s="642"/>
      <c r="BM219" s="859"/>
      <c r="BO219" s="860"/>
      <c r="BP219" s="642"/>
      <c r="BQ219" s="859"/>
      <c r="BS219" s="860"/>
      <c r="BT219" s="642"/>
      <c r="BV219" s="642"/>
    </row>
    <row r="220" spans="15:74" ht="15.75" customHeight="1">
      <c r="O220" s="856"/>
      <c r="P220" s="856"/>
      <c r="V220" s="856"/>
      <c r="W220" s="856"/>
      <c r="AC220" s="856"/>
      <c r="AD220" s="856"/>
      <c r="AJ220" s="856"/>
      <c r="AK220" s="857"/>
      <c r="AP220" s="856"/>
      <c r="AQ220" s="856"/>
      <c r="AW220" s="856"/>
      <c r="AX220" s="856"/>
      <c r="BC220" s="858"/>
      <c r="BD220" s="858"/>
      <c r="BE220" s="642"/>
      <c r="BF220" s="642"/>
      <c r="BG220" s="642"/>
      <c r="BH220" s="642"/>
      <c r="BI220" s="642"/>
      <c r="BJ220" s="642"/>
      <c r="BK220" s="642"/>
      <c r="BL220" s="642"/>
      <c r="BM220" s="859"/>
      <c r="BO220" s="860"/>
      <c r="BP220" s="642"/>
      <c r="BQ220" s="859"/>
      <c r="BS220" s="860"/>
      <c r="BT220" s="642"/>
      <c r="BV220" s="642"/>
    </row>
    <row r="221" spans="15:74" ht="15.75" customHeight="1">
      <c r="O221" s="856"/>
      <c r="P221" s="856"/>
      <c r="V221" s="856"/>
      <c r="W221" s="856"/>
      <c r="AC221" s="856"/>
      <c r="AD221" s="856"/>
      <c r="AJ221" s="856"/>
      <c r="AK221" s="857"/>
      <c r="AP221" s="856"/>
      <c r="AQ221" s="856"/>
      <c r="AW221" s="856"/>
      <c r="AX221" s="856"/>
      <c r="BC221" s="858"/>
      <c r="BD221" s="858"/>
      <c r="BE221" s="642"/>
      <c r="BF221" s="642"/>
      <c r="BG221" s="642"/>
      <c r="BH221" s="642"/>
      <c r="BI221" s="642"/>
      <c r="BJ221" s="642"/>
      <c r="BK221" s="642"/>
      <c r="BL221" s="642"/>
      <c r="BM221" s="859"/>
      <c r="BO221" s="860"/>
      <c r="BP221" s="642"/>
      <c r="BQ221" s="859"/>
      <c r="BS221" s="860"/>
      <c r="BT221" s="642"/>
      <c r="BV221" s="642"/>
    </row>
    <row r="222" spans="15:74" ht="15.75" customHeight="1">
      <c r="O222" s="856"/>
      <c r="P222" s="856"/>
      <c r="V222" s="856"/>
      <c r="W222" s="856"/>
      <c r="AC222" s="856"/>
      <c r="AD222" s="856"/>
      <c r="AJ222" s="856"/>
      <c r="AK222" s="857"/>
      <c r="AP222" s="856"/>
      <c r="AQ222" s="856"/>
      <c r="AW222" s="856"/>
      <c r="AX222" s="856"/>
      <c r="BC222" s="858"/>
      <c r="BD222" s="858"/>
      <c r="BE222" s="642"/>
      <c r="BF222" s="642"/>
      <c r="BG222" s="642"/>
      <c r="BH222" s="642"/>
      <c r="BI222" s="642"/>
      <c r="BJ222" s="642"/>
      <c r="BK222" s="642"/>
      <c r="BL222" s="642"/>
      <c r="BM222" s="859"/>
      <c r="BO222" s="860"/>
      <c r="BP222" s="642"/>
      <c r="BQ222" s="859"/>
      <c r="BS222" s="860"/>
      <c r="BT222" s="642"/>
      <c r="BV222" s="642"/>
    </row>
    <row r="223" spans="15:74" ht="15.75" customHeight="1">
      <c r="O223" s="856"/>
      <c r="P223" s="856"/>
      <c r="V223" s="856"/>
      <c r="W223" s="856"/>
      <c r="AC223" s="856"/>
      <c r="AD223" s="856"/>
      <c r="AJ223" s="856"/>
      <c r="AK223" s="857"/>
      <c r="AP223" s="856"/>
      <c r="AQ223" s="856"/>
      <c r="AW223" s="856"/>
      <c r="AX223" s="856"/>
      <c r="BC223" s="858"/>
      <c r="BD223" s="858"/>
      <c r="BE223" s="642"/>
      <c r="BF223" s="642"/>
      <c r="BG223" s="642"/>
      <c r="BH223" s="642"/>
      <c r="BI223" s="642"/>
      <c r="BJ223" s="642"/>
      <c r="BK223" s="642"/>
      <c r="BL223" s="642"/>
      <c r="BM223" s="859"/>
      <c r="BO223" s="860"/>
      <c r="BP223" s="642"/>
      <c r="BQ223" s="859"/>
      <c r="BS223" s="860"/>
      <c r="BT223" s="642"/>
      <c r="BV223" s="642"/>
    </row>
    <row r="224" spans="15:74" ht="15.75" customHeight="1">
      <c r="O224" s="856"/>
      <c r="P224" s="856"/>
      <c r="V224" s="856"/>
      <c r="W224" s="856"/>
      <c r="AC224" s="856"/>
      <c r="AD224" s="856"/>
      <c r="AJ224" s="856"/>
      <c r="AK224" s="857"/>
      <c r="AP224" s="856"/>
      <c r="AQ224" s="856"/>
      <c r="AW224" s="856"/>
      <c r="AX224" s="856"/>
      <c r="BC224" s="858"/>
      <c r="BD224" s="858"/>
      <c r="BE224" s="642"/>
      <c r="BF224" s="642"/>
      <c r="BG224" s="642"/>
      <c r="BH224" s="642"/>
      <c r="BI224" s="642"/>
      <c r="BJ224" s="642"/>
      <c r="BK224" s="642"/>
      <c r="BL224" s="642"/>
      <c r="BM224" s="859"/>
      <c r="BO224" s="860"/>
      <c r="BP224" s="642"/>
      <c r="BQ224" s="859"/>
      <c r="BS224" s="860"/>
      <c r="BT224" s="642"/>
      <c r="BV224" s="642"/>
    </row>
    <row r="225" spans="15:74" ht="15.75" customHeight="1">
      <c r="O225" s="856"/>
      <c r="P225" s="856"/>
      <c r="V225" s="856"/>
      <c r="W225" s="856"/>
      <c r="AC225" s="856"/>
      <c r="AD225" s="856"/>
      <c r="AJ225" s="856"/>
      <c r="AK225" s="857"/>
      <c r="AP225" s="856"/>
      <c r="AQ225" s="856"/>
      <c r="AW225" s="856"/>
      <c r="AX225" s="856"/>
      <c r="BC225" s="858"/>
      <c r="BD225" s="858"/>
      <c r="BE225" s="642"/>
      <c r="BF225" s="642"/>
      <c r="BG225" s="642"/>
      <c r="BH225" s="642"/>
      <c r="BI225" s="642"/>
      <c r="BJ225" s="642"/>
      <c r="BK225" s="642"/>
      <c r="BL225" s="642"/>
      <c r="BM225" s="859"/>
      <c r="BO225" s="860"/>
      <c r="BP225" s="642"/>
      <c r="BQ225" s="859"/>
      <c r="BS225" s="860"/>
      <c r="BT225" s="642"/>
      <c r="BV225" s="642"/>
    </row>
    <row r="226" spans="15:74" ht="15.75" customHeight="1">
      <c r="O226" s="856"/>
      <c r="P226" s="856"/>
      <c r="V226" s="856"/>
      <c r="W226" s="856"/>
      <c r="AC226" s="856"/>
      <c r="AD226" s="856"/>
      <c r="AJ226" s="856"/>
      <c r="AK226" s="857"/>
      <c r="AP226" s="856"/>
      <c r="AQ226" s="856"/>
      <c r="AW226" s="856"/>
      <c r="AX226" s="856"/>
      <c r="BC226" s="858"/>
      <c r="BD226" s="858"/>
      <c r="BE226" s="642"/>
      <c r="BF226" s="642"/>
      <c r="BG226" s="642"/>
      <c r="BH226" s="642"/>
      <c r="BI226" s="642"/>
      <c r="BJ226" s="642"/>
      <c r="BK226" s="642"/>
      <c r="BL226" s="642"/>
      <c r="BM226" s="859"/>
      <c r="BO226" s="860"/>
      <c r="BP226" s="642"/>
      <c r="BQ226" s="859"/>
      <c r="BS226" s="860"/>
      <c r="BT226" s="642"/>
      <c r="BV226" s="642"/>
    </row>
    <row r="227" spans="15:74" ht="15.75" customHeight="1">
      <c r="O227" s="856"/>
      <c r="P227" s="856"/>
      <c r="V227" s="856"/>
      <c r="W227" s="856"/>
      <c r="AC227" s="856"/>
      <c r="AD227" s="856"/>
      <c r="AJ227" s="856"/>
      <c r="AK227" s="857"/>
      <c r="AP227" s="856"/>
      <c r="AQ227" s="856"/>
      <c r="AW227" s="856"/>
      <c r="AX227" s="856"/>
      <c r="BC227" s="858"/>
      <c r="BD227" s="858"/>
      <c r="BE227" s="642"/>
      <c r="BF227" s="642"/>
      <c r="BG227" s="642"/>
      <c r="BH227" s="642"/>
      <c r="BI227" s="642"/>
      <c r="BJ227" s="642"/>
      <c r="BK227" s="642"/>
      <c r="BL227" s="642"/>
      <c r="BM227" s="859"/>
      <c r="BO227" s="860"/>
      <c r="BP227" s="642"/>
      <c r="BQ227" s="859"/>
      <c r="BS227" s="860"/>
      <c r="BT227" s="642"/>
      <c r="BV227" s="642"/>
    </row>
    <row r="228" spans="15:74" ht="15.75" customHeight="1">
      <c r="O228" s="856"/>
      <c r="P228" s="856"/>
      <c r="V228" s="856"/>
      <c r="W228" s="856"/>
      <c r="AC228" s="856"/>
      <c r="AD228" s="856"/>
      <c r="AJ228" s="856"/>
      <c r="AK228" s="857"/>
      <c r="AP228" s="856"/>
      <c r="AQ228" s="856"/>
      <c r="AW228" s="856"/>
      <c r="AX228" s="856"/>
      <c r="BC228" s="858"/>
      <c r="BD228" s="858"/>
      <c r="BE228" s="642"/>
      <c r="BF228" s="642"/>
      <c r="BG228" s="642"/>
      <c r="BH228" s="642"/>
      <c r="BI228" s="642"/>
      <c r="BJ228" s="642"/>
      <c r="BK228" s="642"/>
      <c r="BL228" s="642"/>
      <c r="BM228" s="859"/>
      <c r="BO228" s="860"/>
      <c r="BP228" s="642"/>
      <c r="BQ228" s="859"/>
      <c r="BS228" s="860"/>
      <c r="BT228" s="642"/>
      <c r="BV228" s="642"/>
    </row>
    <row r="229" spans="15:74" ht="15.75" customHeight="1">
      <c r="O229" s="856"/>
      <c r="P229" s="856"/>
      <c r="V229" s="856"/>
      <c r="W229" s="856"/>
      <c r="AC229" s="856"/>
      <c r="AD229" s="856"/>
      <c r="AJ229" s="856"/>
      <c r="AK229" s="857"/>
      <c r="AP229" s="856"/>
      <c r="AQ229" s="856"/>
      <c r="AW229" s="856"/>
      <c r="AX229" s="856"/>
      <c r="BC229" s="858"/>
      <c r="BD229" s="858"/>
      <c r="BE229" s="642"/>
      <c r="BF229" s="642"/>
      <c r="BG229" s="642"/>
      <c r="BH229" s="642"/>
      <c r="BI229" s="642"/>
      <c r="BJ229" s="642"/>
      <c r="BK229" s="642"/>
      <c r="BL229" s="642"/>
      <c r="BM229" s="859"/>
      <c r="BO229" s="860"/>
      <c r="BP229" s="642"/>
      <c r="BQ229" s="859"/>
      <c r="BS229" s="860"/>
      <c r="BT229" s="642"/>
      <c r="BV229" s="642"/>
    </row>
    <row r="230" spans="15:74" ht="15.75" customHeight="1">
      <c r="O230" s="856"/>
      <c r="P230" s="856"/>
      <c r="V230" s="856"/>
      <c r="W230" s="856"/>
      <c r="AC230" s="856"/>
      <c r="AD230" s="856"/>
      <c r="AJ230" s="856"/>
      <c r="AK230" s="857"/>
      <c r="AP230" s="856"/>
      <c r="AQ230" s="856"/>
      <c r="AW230" s="856"/>
      <c r="AX230" s="856"/>
      <c r="BC230" s="858"/>
      <c r="BD230" s="858"/>
      <c r="BE230" s="642"/>
      <c r="BF230" s="642"/>
      <c r="BG230" s="642"/>
      <c r="BH230" s="642"/>
      <c r="BI230" s="642"/>
      <c r="BJ230" s="642"/>
      <c r="BK230" s="642"/>
      <c r="BL230" s="642"/>
      <c r="BM230" s="859"/>
      <c r="BO230" s="860"/>
      <c r="BP230" s="642"/>
      <c r="BQ230" s="859"/>
      <c r="BS230" s="860"/>
      <c r="BT230" s="642"/>
      <c r="BV230" s="642"/>
    </row>
    <row r="231" spans="15:74" ht="15.75" customHeight="1">
      <c r="O231" s="856"/>
      <c r="P231" s="856"/>
      <c r="V231" s="856"/>
      <c r="W231" s="856"/>
      <c r="AC231" s="856"/>
      <c r="AD231" s="856"/>
      <c r="AJ231" s="856"/>
      <c r="AK231" s="857"/>
      <c r="AP231" s="856"/>
      <c r="AQ231" s="856"/>
      <c r="AW231" s="856"/>
      <c r="AX231" s="856"/>
      <c r="BC231" s="858"/>
      <c r="BD231" s="858"/>
      <c r="BE231" s="642"/>
      <c r="BF231" s="642"/>
      <c r="BG231" s="642"/>
      <c r="BH231" s="642"/>
      <c r="BI231" s="642"/>
      <c r="BJ231" s="642"/>
      <c r="BK231" s="642"/>
      <c r="BL231" s="642"/>
      <c r="BM231" s="859"/>
      <c r="BO231" s="860"/>
      <c r="BP231" s="642"/>
      <c r="BQ231" s="859"/>
      <c r="BS231" s="860"/>
      <c r="BT231" s="642"/>
      <c r="BV231" s="642"/>
    </row>
    <row r="232" spans="15:74" ht="15.75" customHeight="1">
      <c r="O232" s="856"/>
      <c r="P232" s="856"/>
      <c r="V232" s="856"/>
      <c r="W232" s="856"/>
      <c r="AC232" s="856"/>
      <c r="AD232" s="856"/>
      <c r="AJ232" s="856"/>
      <c r="AK232" s="857"/>
      <c r="AP232" s="856"/>
      <c r="AQ232" s="856"/>
      <c r="AW232" s="856"/>
      <c r="AX232" s="856"/>
      <c r="BC232" s="858"/>
      <c r="BD232" s="858"/>
      <c r="BE232" s="642"/>
      <c r="BF232" s="642"/>
      <c r="BG232" s="642"/>
      <c r="BH232" s="642"/>
      <c r="BI232" s="642"/>
      <c r="BJ232" s="642"/>
      <c r="BK232" s="642"/>
      <c r="BL232" s="642"/>
      <c r="BM232" s="859"/>
      <c r="BO232" s="860"/>
      <c r="BP232" s="642"/>
      <c r="BQ232" s="859"/>
      <c r="BS232" s="860"/>
      <c r="BT232" s="642"/>
      <c r="BV232" s="642"/>
    </row>
    <row r="233" spans="15:74" ht="15.75" customHeight="1">
      <c r="O233" s="856"/>
      <c r="P233" s="856"/>
      <c r="V233" s="856"/>
      <c r="W233" s="856"/>
      <c r="AC233" s="856"/>
      <c r="AD233" s="856"/>
      <c r="AJ233" s="856"/>
      <c r="AK233" s="857"/>
      <c r="AP233" s="856"/>
      <c r="AQ233" s="856"/>
      <c r="AW233" s="856"/>
      <c r="AX233" s="856"/>
      <c r="BC233" s="858"/>
      <c r="BD233" s="858"/>
      <c r="BE233" s="642"/>
      <c r="BF233" s="642"/>
      <c r="BG233" s="642"/>
      <c r="BH233" s="642"/>
      <c r="BI233" s="642"/>
      <c r="BJ233" s="642"/>
      <c r="BK233" s="642"/>
      <c r="BL233" s="642"/>
      <c r="BM233" s="859"/>
      <c r="BO233" s="860"/>
      <c r="BP233" s="642"/>
      <c r="BQ233" s="859"/>
      <c r="BS233" s="860"/>
      <c r="BT233" s="642"/>
      <c r="BV233" s="642"/>
    </row>
    <row r="234" spans="15:74" ht="15.75" customHeight="1">
      <c r="O234" s="856"/>
      <c r="P234" s="856"/>
      <c r="V234" s="856"/>
      <c r="W234" s="856"/>
      <c r="AC234" s="856"/>
      <c r="AD234" s="856"/>
      <c r="AJ234" s="856"/>
      <c r="AK234" s="857"/>
      <c r="AP234" s="856"/>
      <c r="AQ234" s="856"/>
      <c r="AW234" s="856"/>
      <c r="AX234" s="856"/>
      <c r="BC234" s="858"/>
      <c r="BD234" s="858"/>
      <c r="BE234" s="642"/>
      <c r="BF234" s="642"/>
      <c r="BG234" s="642"/>
      <c r="BH234" s="642"/>
      <c r="BI234" s="642"/>
      <c r="BJ234" s="642"/>
      <c r="BK234" s="642"/>
      <c r="BL234" s="642"/>
      <c r="BM234" s="859"/>
      <c r="BO234" s="860"/>
      <c r="BP234" s="642"/>
      <c r="BQ234" s="859"/>
      <c r="BS234" s="860"/>
      <c r="BT234" s="642"/>
      <c r="BV234" s="642"/>
    </row>
    <row r="235" spans="15:74" ht="15.75" customHeight="1">
      <c r="O235" s="856"/>
      <c r="P235" s="856"/>
      <c r="V235" s="856"/>
      <c r="W235" s="856"/>
      <c r="AC235" s="856"/>
      <c r="AD235" s="856"/>
      <c r="AJ235" s="856"/>
      <c r="AK235" s="857"/>
      <c r="AP235" s="856"/>
      <c r="AQ235" s="856"/>
      <c r="AW235" s="856"/>
      <c r="AX235" s="856"/>
      <c r="BC235" s="858"/>
      <c r="BD235" s="858"/>
      <c r="BE235" s="642"/>
      <c r="BF235" s="642"/>
      <c r="BG235" s="642"/>
      <c r="BH235" s="642"/>
      <c r="BI235" s="642"/>
      <c r="BJ235" s="642"/>
      <c r="BK235" s="642"/>
      <c r="BL235" s="642"/>
      <c r="BM235" s="859"/>
      <c r="BO235" s="860"/>
      <c r="BP235" s="642"/>
      <c r="BQ235" s="859"/>
      <c r="BS235" s="860"/>
      <c r="BT235" s="642"/>
      <c r="BV235" s="642"/>
    </row>
    <row r="236" spans="15:74" ht="15.75" customHeight="1">
      <c r="O236" s="856"/>
      <c r="P236" s="856"/>
      <c r="V236" s="856"/>
      <c r="W236" s="856"/>
      <c r="AC236" s="856"/>
      <c r="AD236" s="856"/>
      <c r="AJ236" s="856"/>
      <c r="AK236" s="857"/>
      <c r="AP236" s="856"/>
      <c r="AQ236" s="856"/>
      <c r="AW236" s="856"/>
      <c r="AX236" s="856"/>
      <c r="BC236" s="858"/>
      <c r="BD236" s="858"/>
      <c r="BE236" s="642"/>
      <c r="BF236" s="642"/>
      <c r="BG236" s="642"/>
      <c r="BH236" s="642"/>
      <c r="BI236" s="642"/>
      <c r="BJ236" s="642"/>
      <c r="BK236" s="642"/>
      <c r="BL236" s="642"/>
      <c r="BM236" s="859"/>
      <c r="BO236" s="860"/>
      <c r="BP236" s="642"/>
      <c r="BQ236" s="859"/>
      <c r="BS236" s="860"/>
      <c r="BT236" s="642"/>
      <c r="BV236" s="642"/>
    </row>
    <row r="237" spans="15:74" ht="15.75" customHeight="1">
      <c r="O237" s="856"/>
      <c r="P237" s="856"/>
      <c r="V237" s="856"/>
      <c r="W237" s="856"/>
      <c r="AC237" s="856"/>
      <c r="AD237" s="856"/>
      <c r="AJ237" s="856"/>
      <c r="AK237" s="857"/>
      <c r="AP237" s="856"/>
      <c r="AQ237" s="856"/>
      <c r="AW237" s="856"/>
      <c r="AX237" s="856"/>
      <c r="BC237" s="858"/>
      <c r="BD237" s="858"/>
      <c r="BE237" s="642"/>
      <c r="BF237" s="642"/>
      <c r="BG237" s="642"/>
      <c r="BH237" s="642"/>
      <c r="BI237" s="642"/>
      <c r="BJ237" s="642"/>
      <c r="BK237" s="642"/>
      <c r="BL237" s="642"/>
      <c r="BM237" s="859"/>
      <c r="BO237" s="860"/>
      <c r="BP237" s="642"/>
      <c r="BQ237" s="859"/>
      <c r="BS237" s="860"/>
      <c r="BT237" s="642"/>
      <c r="BV237" s="642"/>
    </row>
    <row r="238" spans="15:74" ht="15.75" customHeight="1">
      <c r="O238" s="856"/>
      <c r="P238" s="856"/>
      <c r="V238" s="856"/>
      <c r="W238" s="856"/>
      <c r="AC238" s="856"/>
      <c r="AD238" s="856"/>
      <c r="AJ238" s="856"/>
      <c r="AK238" s="857"/>
      <c r="AP238" s="856"/>
      <c r="AQ238" s="856"/>
      <c r="AW238" s="856"/>
      <c r="AX238" s="856"/>
      <c r="BC238" s="858"/>
      <c r="BD238" s="858"/>
      <c r="BE238" s="642"/>
      <c r="BF238" s="642"/>
      <c r="BG238" s="642"/>
      <c r="BH238" s="642"/>
      <c r="BI238" s="642"/>
      <c r="BJ238" s="642"/>
      <c r="BK238" s="642"/>
      <c r="BL238" s="642"/>
      <c r="BM238" s="859"/>
      <c r="BO238" s="860"/>
      <c r="BP238" s="642"/>
      <c r="BQ238" s="859"/>
      <c r="BS238" s="860"/>
      <c r="BT238" s="642"/>
      <c r="BV238" s="642"/>
    </row>
    <row r="239" spans="15:74" ht="15.75" customHeight="1">
      <c r="O239" s="856"/>
      <c r="P239" s="856"/>
      <c r="V239" s="856"/>
      <c r="W239" s="856"/>
      <c r="AC239" s="856"/>
      <c r="AD239" s="856"/>
      <c r="AJ239" s="856"/>
      <c r="AK239" s="857"/>
      <c r="AP239" s="856"/>
      <c r="AQ239" s="856"/>
      <c r="AW239" s="856"/>
      <c r="AX239" s="856"/>
      <c r="BC239" s="858"/>
      <c r="BD239" s="858"/>
      <c r="BE239" s="642"/>
      <c r="BF239" s="642"/>
      <c r="BG239" s="642"/>
      <c r="BH239" s="642"/>
      <c r="BI239" s="642"/>
      <c r="BJ239" s="642"/>
      <c r="BK239" s="642"/>
      <c r="BL239" s="642"/>
      <c r="BM239" s="859"/>
      <c r="BO239" s="860"/>
      <c r="BP239" s="642"/>
      <c r="BQ239" s="859"/>
      <c r="BS239" s="860"/>
      <c r="BT239" s="642"/>
      <c r="BV239" s="642"/>
    </row>
    <row r="240" spans="15:74" ht="15.75" customHeight="1">
      <c r="O240" s="856"/>
      <c r="P240" s="856"/>
      <c r="V240" s="856"/>
      <c r="W240" s="856"/>
      <c r="AC240" s="856"/>
      <c r="AD240" s="856"/>
      <c r="AJ240" s="856"/>
      <c r="AK240" s="857"/>
      <c r="AP240" s="856"/>
      <c r="AQ240" s="856"/>
      <c r="AW240" s="856"/>
      <c r="AX240" s="856"/>
      <c r="BC240" s="858"/>
      <c r="BD240" s="858"/>
      <c r="BE240" s="642"/>
      <c r="BF240" s="642"/>
      <c r="BG240" s="642"/>
      <c r="BH240" s="642"/>
      <c r="BI240" s="642"/>
      <c r="BJ240" s="642"/>
      <c r="BK240" s="642"/>
      <c r="BL240" s="642"/>
      <c r="BM240" s="859"/>
      <c r="BO240" s="860"/>
      <c r="BP240" s="642"/>
      <c r="BQ240" s="859"/>
      <c r="BS240" s="860"/>
      <c r="BT240" s="642"/>
      <c r="BV240" s="642"/>
    </row>
    <row r="241" spans="15:74" ht="15.75" customHeight="1">
      <c r="O241" s="856"/>
      <c r="P241" s="856"/>
      <c r="V241" s="856"/>
      <c r="W241" s="856"/>
      <c r="AC241" s="856"/>
      <c r="AD241" s="856"/>
      <c r="AJ241" s="856"/>
      <c r="AK241" s="857"/>
      <c r="AP241" s="856"/>
      <c r="AQ241" s="856"/>
      <c r="AW241" s="856"/>
      <c r="AX241" s="856"/>
      <c r="BC241" s="858"/>
      <c r="BD241" s="858"/>
      <c r="BE241" s="642"/>
      <c r="BF241" s="642"/>
      <c r="BG241" s="642"/>
      <c r="BH241" s="642"/>
      <c r="BI241" s="642"/>
      <c r="BJ241" s="642"/>
      <c r="BK241" s="642"/>
      <c r="BL241" s="642"/>
      <c r="BM241" s="859"/>
      <c r="BO241" s="860"/>
      <c r="BP241" s="642"/>
      <c r="BQ241" s="859"/>
      <c r="BS241" s="860"/>
      <c r="BT241" s="642"/>
      <c r="BV241" s="642"/>
    </row>
    <row r="242" spans="15:74" ht="15.75" customHeight="1">
      <c r="O242" s="856"/>
      <c r="P242" s="856"/>
      <c r="V242" s="856"/>
      <c r="W242" s="856"/>
      <c r="AC242" s="856"/>
      <c r="AD242" s="856"/>
      <c r="AJ242" s="856"/>
      <c r="AK242" s="857"/>
      <c r="AP242" s="856"/>
      <c r="AQ242" s="856"/>
      <c r="AW242" s="856"/>
      <c r="AX242" s="856"/>
      <c r="BC242" s="858"/>
      <c r="BD242" s="858"/>
      <c r="BE242" s="642"/>
      <c r="BF242" s="642"/>
      <c r="BG242" s="642"/>
      <c r="BH242" s="642"/>
      <c r="BI242" s="642"/>
      <c r="BJ242" s="642"/>
      <c r="BK242" s="642"/>
      <c r="BL242" s="642"/>
      <c r="BM242" s="859"/>
      <c r="BO242" s="860"/>
      <c r="BP242" s="642"/>
      <c r="BQ242" s="859"/>
      <c r="BS242" s="860"/>
      <c r="BT242" s="642"/>
      <c r="BV242" s="642"/>
    </row>
    <row r="243" spans="15:74" ht="15.75" customHeight="1">
      <c r="O243" s="856"/>
      <c r="P243" s="856"/>
      <c r="V243" s="856"/>
      <c r="W243" s="856"/>
      <c r="AC243" s="856"/>
      <c r="AD243" s="856"/>
      <c r="AJ243" s="856"/>
      <c r="AK243" s="857"/>
      <c r="AP243" s="856"/>
      <c r="AQ243" s="856"/>
      <c r="AW243" s="856"/>
      <c r="AX243" s="856"/>
      <c r="BC243" s="858"/>
      <c r="BD243" s="858"/>
      <c r="BE243" s="642"/>
      <c r="BF243" s="642"/>
      <c r="BG243" s="642"/>
      <c r="BH243" s="642"/>
      <c r="BI243" s="642"/>
      <c r="BJ243" s="642"/>
      <c r="BK243" s="642"/>
      <c r="BL243" s="642"/>
      <c r="BM243" s="859"/>
      <c r="BO243" s="860"/>
      <c r="BP243" s="642"/>
      <c r="BQ243" s="859"/>
      <c r="BS243" s="860"/>
      <c r="BT243" s="642"/>
      <c r="BV243" s="642"/>
    </row>
    <row r="244" spans="15:74" ht="15.75" customHeight="1">
      <c r="O244" s="856"/>
      <c r="P244" s="856"/>
      <c r="V244" s="856"/>
      <c r="W244" s="856"/>
      <c r="AC244" s="856"/>
      <c r="AD244" s="856"/>
      <c r="AJ244" s="856"/>
      <c r="AK244" s="857"/>
      <c r="AP244" s="856"/>
      <c r="AQ244" s="856"/>
      <c r="AW244" s="856"/>
      <c r="AX244" s="856"/>
      <c r="BC244" s="858"/>
      <c r="BD244" s="858"/>
      <c r="BE244" s="642"/>
      <c r="BF244" s="642"/>
      <c r="BG244" s="642"/>
      <c r="BH244" s="642"/>
      <c r="BI244" s="642"/>
      <c r="BJ244" s="642"/>
      <c r="BK244" s="642"/>
      <c r="BL244" s="642"/>
      <c r="BM244" s="859"/>
      <c r="BO244" s="860"/>
      <c r="BP244" s="642"/>
      <c r="BQ244" s="859"/>
      <c r="BS244" s="860"/>
      <c r="BT244" s="642"/>
      <c r="BV244" s="642"/>
    </row>
    <row r="245" spans="15:74" ht="15.75" customHeight="1">
      <c r="O245" s="856"/>
      <c r="P245" s="856"/>
      <c r="V245" s="856"/>
      <c r="W245" s="856"/>
      <c r="AC245" s="856"/>
      <c r="AD245" s="856"/>
      <c r="AJ245" s="856"/>
      <c r="AK245" s="857"/>
      <c r="AP245" s="856"/>
      <c r="AQ245" s="856"/>
      <c r="AW245" s="856"/>
      <c r="AX245" s="856"/>
      <c r="BC245" s="858"/>
      <c r="BD245" s="858"/>
      <c r="BE245" s="642"/>
      <c r="BF245" s="642"/>
      <c r="BG245" s="642"/>
      <c r="BH245" s="642"/>
      <c r="BI245" s="642"/>
      <c r="BJ245" s="642"/>
      <c r="BK245" s="642"/>
      <c r="BL245" s="642"/>
      <c r="BM245" s="859"/>
      <c r="BO245" s="860"/>
      <c r="BP245" s="642"/>
      <c r="BQ245" s="859"/>
      <c r="BS245" s="860"/>
      <c r="BT245" s="642"/>
      <c r="BV245" s="642"/>
    </row>
    <row r="246" spans="15:74" ht="15.75" customHeight="1">
      <c r="O246" s="856"/>
      <c r="P246" s="856"/>
      <c r="V246" s="856"/>
      <c r="W246" s="856"/>
      <c r="AC246" s="856"/>
      <c r="AD246" s="856"/>
      <c r="AJ246" s="856"/>
      <c r="AK246" s="857"/>
      <c r="AP246" s="856"/>
      <c r="AQ246" s="856"/>
      <c r="AW246" s="856"/>
      <c r="AX246" s="856"/>
      <c r="BC246" s="858"/>
      <c r="BD246" s="858"/>
      <c r="BE246" s="642"/>
      <c r="BF246" s="642"/>
      <c r="BG246" s="642"/>
      <c r="BH246" s="642"/>
      <c r="BI246" s="642"/>
      <c r="BJ246" s="642"/>
      <c r="BK246" s="642"/>
      <c r="BL246" s="642"/>
      <c r="BM246" s="859"/>
      <c r="BO246" s="860"/>
      <c r="BP246" s="642"/>
      <c r="BQ246" s="859"/>
      <c r="BS246" s="860"/>
      <c r="BT246" s="642"/>
      <c r="BV246" s="642"/>
    </row>
    <row r="247" spans="15:74" ht="15.75" customHeight="1">
      <c r="O247" s="856"/>
      <c r="P247" s="856"/>
      <c r="V247" s="856"/>
      <c r="W247" s="856"/>
      <c r="AC247" s="856"/>
      <c r="AD247" s="856"/>
      <c r="AJ247" s="856"/>
      <c r="AK247" s="857"/>
      <c r="AP247" s="856"/>
      <c r="AQ247" s="856"/>
      <c r="AW247" s="856"/>
      <c r="AX247" s="856"/>
      <c r="BC247" s="858"/>
      <c r="BD247" s="858"/>
      <c r="BE247" s="642"/>
      <c r="BF247" s="642"/>
      <c r="BG247" s="642"/>
      <c r="BH247" s="642"/>
      <c r="BI247" s="642"/>
      <c r="BJ247" s="642"/>
      <c r="BK247" s="642"/>
      <c r="BL247" s="642"/>
      <c r="BM247" s="859"/>
      <c r="BO247" s="860"/>
      <c r="BP247" s="642"/>
      <c r="BQ247" s="859"/>
      <c r="BS247" s="860"/>
      <c r="BT247" s="642"/>
      <c r="BV247" s="642"/>
    </row>
    <row r="248" spans="15:74" ht="15.75" customHeight="1">
      <c r="O248" s="856"/>
      <c r="P248" s="856"/>
      <c r="V248" s="856"/>
      <c r="W248" s="856"/>
      <c r="AC248" s="856"/>
      <c r="AD248" s="856"/>
      <c r="AJ248" s="856"/>
      <c r="AK248" s="857"/>
      <c r="AP248" s="856"/>
      <c r="AQ248" s="856"/>
      <c r="AW248" s="856"/>
      <c r="AX248" s="856"/>
      <c r="BC248" s="858"/>
      <c r="BD248" s="858"/>
      <c r="BE248" s="642"/>
      <c r="BF248" s="642"/>
      <c r="BG248" s="642"/>
      <c r="BH248" s="642"/>
      <c r="BI248" s="642"/>
      <c r="BJ248" s="642"/>
      <c r="BK248" s="642"/>
      <c r="BL248" s="642"/>
      <c r="BM248" s="859"/>
      <c r="BO248" s="860"/>
      <c r="BP248" s="642"/>
      <c r="BQ248" s="859"/>
      <c r="BS248" s="860"/>
      <c r="BT248" s="642"/>
      <c r="BV248" s="642"/>
    </row>
    <row r="249" spans="15:74" ht="15.75" customHeight="1">
      <c r="O249" s="856"/>
      <c r="P249" s="856"/>
      <c r="V249" s="856"/>
      <c r="W249" s="856"/>
      <c r="AC249" s="856"/>
      <c r="AD249" s="856"/>
      <c r="AJ249" s="856"/>
      <c r="AK249" s="857"/>
      <c r="AP249" s="856"/>
      <c r="AQ249" s="856"/>
      <c r="AW249" s="856"/>
      <c r="AX249" s="856"/>
      <c r="BC249" s="858"/>
      <c r="BD249" s="858"/>
      <c r="BE249" s="642"/>
      <c r="BF249" s="642"/>
      <c r="BG249" s="642"/>
      <c r="BH249" s="642"/>
      <c r="BI249" s="642"/>
      <c r="BJ249" s="642"/>
      <c r="BK249" s="642"/>
      <c r="BL249" s="642"/>
      <c r="BM249" s="859"/>
      <c r="BO249" s="860"/>
      <c r="BP249" s="642"/>
      <c r="BQ249" s="859"/>
      <c r="BS249" s="860"/>
      <c r="BT249" s="642"/>
      <c r="BV249" s="642"/>
    </row>
    <row r="250" spans="15:74" ht="15.75" customHeight="1">
      <c r="O250" s="856"/>
      <c r="P250" s="856"/>
      <c r="V250" s="856"/>
      <c r="W250" s="856"/>
      <c r="AC250" s="856"/>
      <c r="AD250" s="856"/>
      <c r="AJ250" s="856"/>
      <c r="AK250" s="857"/>
      <c r="AP250" s="856"/>
      <c r="AQ250" s="856"/>
      <c r="AW250" s="856"/>
      <c r="AX250" s="856"/>
      <c r="BC250" s="858"/>
      <c r="BD250" s="858"/>
      <c r="BE250" s="642"/>
      <c r="BF250" s="642"/>
      <c r="BG250" s="642"/>
      <c r="BH250" s="642"/>
      <c r="BI250" s="642"/>
      <c r="BJ250" s="642"/>
      <c r="BK250" s="642"/>
      <c r="BL250" s="642"/>
      <c r="BM250" s="859"/>
      <c r="BO250" s="860"/>
      <c r="BP250" s="642"/>
      <c r="BQ250" s="859"/>
      <c r="BS250" s="860"/>
      <c r="BT250" s="642"/>
      <c r="BV250" s="642"/>
    </row>
    <row r="251" spans="15:74" ht="15.75" customHeight="1">
      <c r="O251" s="856"/>
      <c r="P251" s="856"/>
      <c r="V251" s="856"/>
      <c r="W251" s="856"/>
      <c r="AC251" s="856"/>
      <c r="AD251" s="856"/>
      <c r="AJ251" s="856"/>
      <c r="AK251" s="857"/>
      <c r="AP251" s="856"/>
      <c r="AQ251" s="856"/>
      <c r="AW251" s="856"/>
      <c r="AX251" s="856"/>
      <c r="BC251" s="858"/>
      <c r="BD251" s="858"/>
      <c r="BE251" s="642"/>
      <c r="BF251" s="642"/>
      <c r="BG251" s="642"/>
      <c r="BH251" s="642"/>
      <c r="BI251" s="642"/>
      <c r="BJ251" s="642"/>
      <c r="BK251" s="642"/>
      <c r="BL251" s="642"/>
      <c r="BM251" s="859"/>
      <c r="BO251" s="860"/>
      <c r="BP251" s="642"/>
      <c r="BQ251" s="859"/>
      <c r="BS251" s="860"/>
      <c r="BT251" s="642"/>
      <c r="BV251" s="642"/>
    </row>
    <row r="252" spans="15:74" ht="15.75" customHeight="1">
      <c r="O252" s="856"/>
      <c r="P252" s="856"/>
      <c r="V252" s="856"/>
      <c r="W252" s="856"/>
      <c r="AC252" s="856"/>
      <c r="AD252" s="856"/>
      <c r="AJ252" s="856"/>
      <c r="AK252" s="857"/>
      <c r="AP252" s="856"/>
      <c r="AQ252" s="856"/>
      <c r="AW252" s="856"/>
      <c r="AX252" s="856"/>
      <c r="BC252" s="858"/>
      <c r="BD252" s="858"/>
      <c r="BE252" s="642"/>
      <c r="BF252" s="642"/>
      <c r="BG252" s="642"/>
      <c r="BH252" s="642"/>
      <c r="BI252" s="642"/>
      <c r="BJ252" s="642"/>
      <c r="BK252" s="642"/>
      <c r="BL252" s="642"/>
      <c r="BM252" s="859"/>
      <c r="BO252" s="860"/>
      <c r="BP252" s="642"/>
      <c r="BQ252" s="859"/>
      <c r="BS252" s="860"/>
      <c r="BT252" s="642"/>
      <c r="BV252" s="642"/>
    </row>
    <row r="253" spans="15:74" ht="15.75" customHeight="1">
      <c r="O253" s="856"/>
      <c r="P253" s="856"/>
      <c r="V253" s="856"/>
      <c r="W253" s="856"/>
      <c r="AC253" s="856"/>
      <c r="AD253" s="856"/>
      <c r="AJ253" s="856"/>
      <c r="AK253" s="857"/>
      <c r="AP253" s="856"/>
      <c r="AQ253" s="856"/>
      <c r="AW253" s="856"/>
      <c r="AX253" s="856"/>
      <c r="BC253" s="858"/>
      <c r="BD253" s="858"/>
      <c r="BE253" s="642"/>
      <c r="BF253" s="642"/>
      <c r="BG253" s="642"/>
      <c r="BH253" s="642"/>
      <c r="BI253" s="642"/>
      <c r="BJ253" s="642"/>
      <c r="BK253" s="642"/>
      <c r="BL253" s="642"/>
      <c r="BM253" s="859"/>
      <c r="BO253" s="860"/>
      <c r="BP253" s="642"/>
      <c r="BQ253" s="859"/>
      <c r="BS253" s="860"/>
      <c r="BT253" s="642"/>
      <c r="BV253" s="642"/>
    </row>
    <row r="254" spans="15:74" ht="15.75" customHeight="1">
      <c r="O254" s="856"/>
      <c r="P254" s="856"/>
      <c r="V254" s="856"/>
      <c r="W254" s="856"/>
      <c r="AC254" s="856"/>
      <c r="AD254" s="856"/>
      <c r="AJ254" s="856"/>
      <c r="AK254" s="857"/>
      <c r="AP254" s="856"/>
      <c r="AQ254" s="856"/>
      <c r="AW254" s="856"/>
      <c r="AX254" s="856"/>
      <c r="BC254" s="858"/>
      <c r="BD254" s="858"/>
      <c r="BE254" s="642"/>
      <c r="BF254" s="642"/>
      <c r="BG254" s="642"/>
      <c r="BH254" s="642"/>
      <c r="BI254" s="642"/>
      <c r="BJ254" s="642"/>
      <c r="BK254" s="642"/>
      <c r="BL254" s="642"/>
      <c r="BM254" s="859"/>
      <c r="BO254" s="860"/>
      <c r="BP254" s="642"/>
      <c r="BQ254" s="859"/>
      <c r="BS254" s="860"/>
      <c r="BT254" s="642"/>
      <c r="BV254" s="642"/>
    </row>
    <row r="255" spans="15:74" ht="15.75" customHeight="1">
      <c r="O255" s="856"/>
      <c r="P255" s="856"/>
      <c r="V255" s="856"/>
      <c r="W255" s="856"/>
      <c r="AC255" s="856"/>
      <c r="AD255" s="856"/>
      <c r="AJ255" s="856"/>
      <c r="AK255" s="857"/>
      <c r="AP255" s="856"/>
      <c r="AQ255" s="856"/>
      <c r="AW255" s="856"/>
      <c r="AX255" s="856"/>
      <c r="BC255" s="858"/>
      <c r="BD255" s="858"/>
      <c r="BE255" s="642"/>
      <c r="BF255" s="642"/>
      <c r="BG255" s="642"/>
      <c r="BH255" s="642"/>
      <c r="BI255" s="642"/>
      <c r="BJ255" s="642"/>
      <c r="BK255" s="642"/>
      <c r="BL255" s="642"/>
      <c r="BM255" s="859"/>
      <c r="BO255" s="860"/>
      <c r="BP255" s="642"/>
      <c r="BQ255" s="859"/>
      <c r="BS255" s="860"/>
      <c r="BT255" s="642"/>
      <c r="BV255" s="642"/>
    </row>
    <row r="256" spans="15:74" ht="15.75" customHeight="1">
      <c r="O256" s="856"/>
      <c r="P256" s="856"/>
      <c r="V256" s="856"/>
      <c r="W256" s="856"/>
      <c r="AC256" s="856"/>
      <c r="AD256" s="856"/>
      <c r="AJ256" s="856"/>
      <c r="AK256" s="857"/>
      <c r="AP256" s="856"/>
      <c r="AQ256" s="856"/>
      <c r="AW256" s="856"/>
      <c r="AX256" s="856"/>
      <c r="BC256" s="858"/>
      <c r="BD256" s="858"/>
      <c r="BE256" s="642"/>
      <c r="BF256" s="642"/>
      <c r="BG256" s="642"/>
      <c r="BH256" s="642"/>
      <c r="BI256" s="642"/>
      <c r="BJ256" s="642"/>
      <c r="BK256" s="642"/>
      <c r="BL256" s="642"/>
      <c r="BM256" s="859"/>
      <c r="BO256" s="860"/>
      <c r="BP256" s="642"/>
      <c r="BQ256" s="859"/>
      <c r="BS256" s="860"/>
      <c r="BT256" s="642"/>
      <c r="BV256" s="642"/>
    </row>
    <row r="257" spans="15:74" ht="15.75" customHeight="1">
      <c r="O257" s="856"/>
      <c r="P257" s="856"/>
      <c r="V257" s="856"/>
      <c r="W257" s="856"/>
      <c r="AC257" s="856"/>
      <c r="AD257" s="856"/>
      <c r="AJ257" s="856"/>
      <c r="AK257" s="857"/>
      <c r="AP257" s="856"/>
      <c r="AQ257" s="856"/>
      <c r="AW257" s="856"/>
      <c r="AX257" s="856"/>
      <c r="BC257" s="858"/>
      <c r="BD257" s="858"/>
      <c r="BE257" s="642"/>
      <c r="BF257" s="642"/>
      <c r="BG257" s="642"/>
      <c r="BH257" s="642"/>
      <c r="BI257" s="642"/>
      <c r="BJ257" s="642"/>
      <c r="BK257" s="642"/>
      <c r="BL257" s="642"/>
      <c r="BM257" s="859"/>
      <c r="BO257" s="860"/>
      <c r="BP257" s="642"/>
      <c r="BQ257" s="859"/>
      <c r="BS257" s="860"/>
      <c r="BT257" s="642"/>
      <c r="BV257" s="642"/>
    </row>
    <row r="258" spans="15:74" ht="15.75" customHeight="1">
      <c r="O258" s="856"/>
      <c r="P258" s="856"/>
      <c r="V258" s="856"/>
      <c r="W258" s="856"/>
      <c r="AC258" s="856"/>
      <c r="AD258" s="856"/>
      <c r="AJ258" s="856"/>
      <c r="AK258" s="857"/>
      <c r="AP258" s="856"/>
      <c r="AQ258" s="856"/>
      <c r="AW258" s="856"/>
      <c r="AX258" s="856"/>
      <c r="BC258" s="858"/>
      <c r="BD258" s="858"/>
      <c r="BE258" s="642"/>
      <c r="BF258" s="642"/>
      <c r="BG258" s="642"/>
      <c r="BH258" s="642"/>
      <c r="BI258" s="642"/>
      <c r="BJ258" s="642"/>
      <c r="BK258" s="642"/>
      <c r="BL258" s="642"/>
      <c r="BM258" s="859"/>
      <c r="BO258" s="860"/>
      <c r="BP258" s="642"/>
      <c r="BQ258" s="859"/>
      <c r="BS258" s="860"/>
      <c r="BT258" s="642"/>
      <c r="BV258" s="642"/>
    </row>
    <row r="259" spans="15:74" ht="15.75" customHeight="1">
      <c r="O259" s="856"/>
      <c r="P259" s="856"/>
      <c r="V259" s="856"/>
      <c r="W259" s="856"/>
      <c r="AC259" s="856"/>
      <c r="AD259" s="856"/>
      <c r="AJ259" s="856"/>
      <c r="AK259" s="857"/>
      <c r="AP259" s="856"/>
      <c r="AQ259" s="856"/>
      <c r="AW259" s="856"/>
      <c r="AX259" s="856"/>
      <c r="BC259" s="858"/>
      <c r="BD259" s="858"/>
      <c r="BE259" s="642"/>
      <c r="BF259" s="642"/>
      <c r="BG259" s="642"/>
      <c r="BH259" s="642"/>
      <c r="BI259" s="642"/>
      <c r="BJ259" s="642"/>
      <c r="BK259" s="642"/>
      <c r="BL259" s="642"/>
      <c r="BM259" s="859"/>
      <c r="BO259" s="860"/>
      <c r="BP259" s="642"/>
      <c r="BQ259" s="859"/>
      <c r="BS259" s="860"/>
      <c r="BT259" s="642"/>
      <c r="BV259" s="642"/>
    </row>
    <row r="260" spans="15:74" ht="15.75" customHeight="1">
      <c r="O260" s="856"/>
      <c r="P260" s="856"/>
      <c r="V260" s="856"/>
      <c r="W260" s="856"/>
      <c r="AC260" s="856"/>
      <c r="AD260" s="856"/>
      <c r="AJ260" s="856"/>
      <c r="AK260" s="857"/>
      <c r="AP260" s="856"/>
      <c r="AQ260" s="856"/>
      <c r="AW260" s="856"/>
      <c r="AX260" s="856"/>
      <c r="BC260" s="858"/>
      <c r="BD260" s="858"/>
      <c r="BE260" s="642"/>
      <c r="BF260" s="642"/>
      <c r="BG260" s="642"/>
      <c r="BH260" s="642"/>
      <c r="BI260" s="642"/>
      <c r="BJ260" s="642"/>
      <c r="BK260" s="642"/>
      <c r="BL260" s="642"/>
      <c r="BM260" s="859"/>
      <c r="BO260" s="860"/>
      <c r="BP260" s="642"/>
      <c r="BQ260" s="859"/>
      <c r="BS260" s="860"/>
      <c r="BT260" s="642"/>
      <c r="BV260" s="642"/>
    </row>
    <row r="261" spans="15:74" ht="15.75" customHeight="1">
      <c r="O261" s="856"/>
      <c r="P261" s="856"/>
      <c r="V261" s="856"/>
      <c r="W261" s="856"/>
      <c r="AC261" s="856"/>
      <c r="AD261" s="856"/>
      <c r="AJ261" s="856"/>
      <c r="AK261" s="857"/>
      <c r="AP261" s="856"/>
      <c r="AQ261" s="856"/>
      <c r="AW261" s="856"/>
      <c r="AX261" s="856"/>
      <c r="BC261" s="858"/>
      <c r="BD261" s="858"/>
      <c r="BE261" s="642"/>
      <c r="BF261" s="642"/>
      <c r="BG261" s="642"/>
      <c r="BH261" s="642"/>
      <c r="BI261" s="642"/>
      <c r="BJ261" s="642"/>
      <c r="BK261" s="642"/>
      <c r="BL261" s="642"/>
      <c r="BM261" s="859"/>
      <c r="BO261" s="860"/>
      <c r="BP261" s="642"/>
      <c r="BQ261" s="859"/>
      <c r="BS261" s="860"/>
      <c r="BT261" s="642"/>
      <c r="BV261" s="642"/>
    </row>
    <row r="262" spans="15:74" ht="15.75" customHeight="1">
      <c r="O262" s="856"/>
      <c r="P262" s="856"/>
      <c r="V262" s="856"/>
      <c r="W262" s="856"/>
      <c r="AC262" s="856"/>
      <c r="AD262" s="856"/>
      <c r="AJ262" s="856"/>
      <c r="AK262" s="857"/>
      <c r="AP262" s="856"/>
      <c r="AQ262" s="856"/>
      <c r="AW262" s="856"/>
      <c r="AX262" s="856"/>
      <c r="BC262" s="858"/>
      <c r="BD262" s="858"/>
      <c r="BE262" s="642"/>
      <c r="BF262" s="642"/>
      <c r="BG262" s="642"/>
      <c r="BH262" s="642"/>
      <c r="BI262" s="642"/>
      <c r="BJ262" s="642"/>
      <c r="BK262" s="642"/>
      <c r="BL262" s="642"/>
      <c r="BM262" s="859"/>
      <c r="BO262" s="860"/>
      <c r="BP262" s="642"/>
      <c r="BQ262" s="859"/>
      <c r="BS262" s="860"/>
      <c r="BT262" s="642"/>
      <c r="BV262" s="642"/>
    </row>
    <row r="263" spans="15:74" ht="15.75" customHeight="1">
      <c r="O263" s="856"/>
      <c r="P263" s="856"/>
      <c r="V263" s="856"/>
      <c r="W263" s="856"/>
      <c r="AC263" s="856"/>
      <c r="AD263" s="856"/>
      <c r="AJ263" s="856"/>
      <c r="AK263" s="857"/>
      <c r="AP263" s="856"/>
      <c r="AQ263" s="856"/>
      <c r="AW263" s="856"/>
      <c r="AX263" s="856"/>
      <c r="BC263" s="858"/>
      <c r="BD263" s="858"/>
      <c r="BE263" s="642"/>
      <c r="BF263" s="642"/>
      <c r="BG263" s="642"/>
      <c r="BH263" s="642"/>
      <c r="BI263" s="642"/>
      <c r="BJ263" s="642"/>
      <c r="BK263" s="642"/>
      <c r="BL263" s="642"/>
      <c r="BM263" s="859"/>
      <c r="BO263" s="860"/>
      <c r="BP263" s="642"/>
      <c r="BQ263" s="859"/>
      <c r="BS263" s="860"/>
      <c r="BT263" s="642"/>
      <c r="BV263" s="642"/>
    </row>
    <row r="264" spans="15:74" ht="15.75" customHeight="1">
      <c r="O264" s="856"/>
      <c r="P264" s="856"/>
      <c r="V264" s="856"/>
      <c r="W264" s="856"/>
      <c r="AC264" s="856"/>
      <c r="AD264" s="856"/>
      <c r="AJ264" s="856"/>
      <c r="AK264" s="857"/>
      <c r="AP264" s="856"/>
      <c r="AQ264" s="856"/>
      <c r="AW264" s="856"/>
      <c r="AX264" s="856"/>
      <c r="BC264" s="858"/>
      <c r="BD264" s="858"/>
      <c r="BE264" s="642"/>
      <c r="BF264" s="642"/>
      <c r="BG264" s="642"/>
      <c r="BH264" s="642"/>
      <c r="BI264" s="642"/>
      <c r="BJ264" s="642"/>
      <c r="BK264" s="642"/>
      <c r="BL264" s="642"/>
      <c r="BM264" s="859"/>
      <c r="BO264" s="860"/>
      <c r="BP264" s="642"/>
      <c r="BQ264" s="859"/>
      <c r="BS264" s="860"/>
      <c r="BT264" s="642"/>
      <c r="BV264" s="642"/>
    </row>
    <row r="265" spans="15:74" ht="15.75" customHeight="1">
      <c r="O265" s="856"/>
      <c r="P265" s="856"/>
      <c r="V265" s="856"/>
      <c r="W265" s="856"/>
      <c r="AC265" s="856"/>
      <c r="AD265" s="856"/>
      <c r="AJ265" s="856"/>
      <c r="AK265" s="857"/>
      <c r="AP265" s="856"/>
      <c r="AQ265" s="856"/>
      <c r="AW265" s="856"/>
      <c r="AX265" s="856"/>
      <c r="BC265" s="858"/>
      <c r="BD265" s="858"/>
      <c r="BE265" s="642"/>
      <c r="BF265" s="642"/>
      <c r="BG265" s="642"/>
      <c r="BH265" s="642"/>
      <c r="BI265" s="642"/>
      <c r="BJ265" s="642"/>
      <c r="BK265" s="642"/>
      <c r="BL265" s="642"/>
      <c r="BM265" s="859"/>
      <c r="BO265" s="860"/>
      <c r="BP265" s="642"/>
      <c r="BQ265" s="859"/>
      <c r="BS265" s="860"/>
      <c r="BT265" s="642"/>
      <c r="BV265" s="642"/>
    </row>
    <row r="266" spans="15:74" ht="15.75" customHeight="1">
      <c r="O266" s="856"/>
      <c r="P266" s="856"/>
      <c r="V266" s="856"/>
      <c r="W266" s="856"/>
      <c r="AC266" s="856"/>
      <c r="AD266" s="856"/>
      <c r="AJ266" s="856"/>
      <c r="AK266" s="857"/>
      <c r="AP266" s="856"/>
      <c r="AQ266" s="856"/>
      <c r="AW266" s="856"/>
      <c r="AX266" s="856"/>
      <c r="BC266" s="858"/>
      <c r="BD266" s="858"/>
      <c r="BE266" s="642"/>
      <c r="BF266" s="642"/>
      <c r="BG266" s="642"/>
      <c r="BH266" s="642"/>
      <c r="BI266" s="642"/>
      <c r="BJ266" s="642"/>
      <c r="BK266" s="642"/>
      <c r="BL266" s="642"/>
      <c r="BM266" s="859"/>
      <c r="BO266" s="860"/>
      <c r="BP266" s="642"/>
      <c r="BQ266" s="859"/>
      <c r="BS266" s="860"/>
      <c r="BT266" s="642"/>
      <c r="BV266" s="642"/>
    </row>
    <row r="267" spans="15:74" ht="15.75" customHeight="1">
      <c r="O267" s="856"/>
      <c r="P267" s="856"/>
      <c r="V267" s="856"/>
      <c r="W267" s="856"/>
      <c r="AC267" s="856"/>
      <c r="AD267" s="856"/>
      <c r="AJ267" s="856"/>
      <c r="AK267" s="857"/>
      <c r="AP267" s="856"/>
      <c r="AQ267" s="856"/>
      <c r="AW267" s="856"/>
      <c r="AX267" s="856"/>
      <c r="BC267" s="858"/>
      <c r="BD267" s="858"/>
      <c r="BE267" s="642"/>
      <c r="BF267" s="642"/>
      <c r="BG267" s="642"/>
      <c r="BH267" s="642"/>
      <c r="BI267" s="642"/>
      <c r="BJ267" s="642"/>
      <c r="BK267" s="642"/>
      <c r="BL267" s="642"/>
      <c r="BM267" s="859"/>
      <c r="BO267" s="860"/>
      <c r="BP267" s="642"/>
      <c r="BQ267" s="859"/>
      <c r="BS267" s="860"/>
      <c r="BT267" s="642"/>
      <c r="BV267" s="642"/>
    </row>
    <row r="268" spans="15:74" ht="15.75" customHeight="1">
      <c r="O268" s="856"/>
      <c r="P268" s="856"/>
      <c r="V268" s="856"/>
      <c r="W268" s="856"/>
      <c r="AC268" s="856"/>
      <c r="AD268" s="856"/>
      <c r="AJ268" s="856"/>
      <c r="AK268" s="857"/>
      <c r="AP268" s="856"/>
      <c r="AQ268" s="856"/>
      <c r="AW268" s="856"/>
      <c r="AX268" s="856"/>
      <c r="BC268" s="858"/>
      <c r="BD268" s="858"/>
      <c r="BE268" s="642"/>
      <c r="BF268" s="642"/>
      <c r="BG268" s="642"/>
      <c r="BH268" s="642"/>
      <c r="BI268" s="642"/>
      <c r="BJ268" s="642"/>
      <c r="BK268" s="642"/>
      <c r="BL268" s="642"/>
      <c r="BM268" s="859"/>
      <c r="BO268" s="860"/>
      <c r="BP268" s="642"/>
      <c r="BQ268" s="859"/>
      <c r="BS268" s="860"/>
      <c r="BT268" s="642"/>
      <c r="BV268" s="642"/>
    </row>
    <row r="269" spans="15:74" ht="15.75" customHeight="1">
      <c r="O269" s="856"/>
      <c r="P269" s="856"/>
      <c r="V269" s="856"/>
      <c r="W269" s="856"/>
      <c r="AC269" s="856"/>
      <c r="AD269" s="856"/>
      <c r="AJ269" s="856"/>
      <c r="AK269" s="857"/>
      <c r="AP269" s="856"/>
      <c r="AQ269" s="856"/>
      <c r="AW269" s="856"/>
      <c r="AX269" s="856"/>
      <c r="BC269" s="858"/>
      <c r="BD269" s="858"/>
      <c r="BE269" s="642"/>
      <c r="BF269" s="642"/>
      <c r="BG269" s="642"/>
      <c r="BH269" s="642"/>
      <c r="BI269" s="642"/>
      <c r="BJ269" s="642"/>
      <c r="BK269" s="642"/>
      <c r="BL269" s="642"/>
      <c r="BM269" s="859"/>
      <c r="BO269" s="860"/>
      <c r="BP269" s="642"/>
      <c r="BQ269" s="859"/>
      <c r="BS269" s="860"/>
      <c r="BT269" s="642"/>
      <c r="BV269" s="642"/>
    </row>
    <row r="270" spans="15:74" ht="15.75" customHeight="1">
      <c r="O270" s="856"/>
      <c r="P270" s="856"/>
      <c r="V270" s="856"/>
      <c r="W270" s="856"/>
      <c r="AC270" s="856"/>
      <c r="AD270" s="856"/>
      <c r="AJ270" s="856"/>
      <c r="AK270" s="857"/>
      <c r="AP270" s="856"/>
      <c r="AQ270" s="856"/>
      <c r="AW270" s="856"/>
      <c r="AX270" s="856"/>
      <c r="BC270" s="858"/>
      <c r="BD270" s="858"/>
      <c r="BE270" s="642"/>
      <c r="BF270" s="642"/>
      <c r="BG270" s="642"/>
      <c r="BH270" s="642"/>
      <c r="BI270" s="642"/>
      <c r="BJ270" s="642"/>
      <c r="BK270" s="642"/>
      <c r="BL270" s="642"/>
      <c r="BM270" s="859"/>
      <c r="BO270" s="860"/>
      <c r="BP270" s="642"/>
      <c r="BQ270" s="859"/>
      <c r="BS270" s="860"/>
      <c r="BT270" s="642"/>
      <c r="BV270" s="642"/>
    </row>
    <row r="271" spans="15:74" ht="15.75" customHeight="1">
      <c r="O271" s="856"/>
      <c r="P271" s="856"/>
      <c r="V271" s="856"/>
      <c r="W271" s="856"/>
      <c r="AC271" s="856"/>
      <c r="AD271" s="856"/>
      <c r="AJ271" s="856"/>
      <c r="AK271" s="857"/>
      <c r="AP271" s="856"/>
      <c r="AQ271" s="856"/>
      <c r="AW271" s="856"/>
      <c r="AX271" s="856"/>
      <c r="BC271" s="858"/>
      <c r="BD271" s="858"/>
      <c r="BE271" s="642"/>
      <c r="BF271" s="642"/>
      <c r="BG271" s="642"/>
      <c r="BH271" s="642"/>
      <c r="BI271" s="642"/>
      <c r="BJ271" s="642"/>
      <c r="BK271" s="642"/>
      <c r="BL271" s="642"/>
      <c r="BM271" s="859"/>
      <c r="BO271" s="860"/>
      <c r="BP271" s="642"/>
      <c r="BQ271" s="859"/>
      <c r="BS271" s="860"/>
      <c r="BT271" s="642"/>
      <c r="BV271" s="642"/>
    </row>
    <row r="272" spans="15:74" ht="15.75" customHeight="1">
      <c r="O272" s="856"/>
      <c r="P272" s="856"/>
      <c r="V272" s="856"/>
      <c r="W272" s="856"/>
      <c r="AC272" s="856"/>
      <c r="AD272" s="856"/>
      <c r="AJ272" s="856"/>
      <c r="AK272" s="857"/>
      <c r="AP272" s="856"/>
      <c r="AQ272" s="856"/>
      <c r="AW272" s="856"/>
      <c r="AX272" s="856"/>
      <c r="BC272" s="858"/>
      <c r="BD272" s="858"/>
      <c r="BE272" s="642"/>
      <c r="BF272" s="642"/>
      <c r="BG272" s="642"/>
      <c r="BH272" s="642"/>
      <c r="BI272" s="642"/>
      <c r="BJ272" s="642"/>
      <c r="BK272" s="642"/>
      <c r="BL272" s="642"/>
      <c r="BM272" s="859"/>
      <c r="BO272" s="860"/>
      <c r="BP272" s="642"/>
      <c r="BQ272" s="859"/>
      <c r="BS272" s="860"/>
      <c r="BT272" s="642"/>
      <c r="BV272" s="642"/>
    </row>
    <row r="273" spans="15:74" ht="15.75" customHeight="1">
      <c r="O273" s="856"/>
      <c r="P273" s="856"/>
      <c r="V273" s="856"/>
      <c r="W273" s="856"/>
      <c r="AC273" s="856"/>
      <c r="AD273" s="856"/>
      <c r="AJ273" s="856"/>
      <c r="AK273" s="857"/>
      <c r="AP273" s="856"/>
      <c r="AQ273" s="856"/>
      <c r="AW273" s="856"/>
      <c r="AX273" s="856"/>
      <c r="BC273" s="858"/>
      <c r="BD273" s="858"/>
      <c r="BE273" s="642"/>
      <c r="BF273" s="642"/>
      <c r="BG273" s="642"/>
      <c r="BH273" s="642"/>
      <c r="BI273" s="642"/>
      <c r="BJ273" s="642"/>
      <c r="BK273" s="642"/>
      <c r="BL273" s="642"/>
      <c r="BM273" s="859"/>
      <c r="BO273" s="860"/>
      <c r="BP273" s="642"/>
      <c r="BQ273" s="859"/>
      <c r="BS273" s="860"/>
      <c r="BT273" s="642"/>
      <c r="BV273" s="642"/>
    </row>
    <row r="274" spans="15:74" ht="15.75" customHeight="1">
      <c r="O274" s="856"/>
      <c r="P274" s="856"/>
      <c r="V274" s="856"/>
      <c r="W274" s="856"/>
      <c r="AC274" s="856"/>
      <c r="AD274" s="856"/>
      <c r="AJ274" s="856"/>
      <c r="AK274" s="857"/>
      <c r="AP274" s="856"/>
      <c r="AQ274" s="856"/>
      <c r="AW274" s="856"/>
      <c r="AX274" s="856"/>
      <c r="BC274" s="858"/>
      <c r="BD274" s="858"/>
      <c r="BE274" s="642"/>
      <c r="BF274" s="642"/>
      <c r="BG274" s="642"/>
      <c r="BH274" s="642"/>
      <c r="BI274" s="642"/>
      <c r="BJ274" s="642"/>
      <c r="BK274" s="642"/>
      <c r="BL274" s="642"/>
      <c r="BM274" s="859"/>
      <c r="BO274" s="860"/>
      <c r="BP274" s="642"/>
      <c r="BQ274" s="859"/>
      <c r="BS274" s="860"/>
      <c r="BT274" s="642"/>
      <c r="BV274" s="642"/>
    </row>
    <row r="275" spans="15:74" ht="15.75" customHeight="1">
      <c r="O275" s="856"/>
      <c r="P275" s="856"/>
      <c r="V275" s="856"/>
      <c r="W275" s="856"/>
      <c r="AC275" s="856"/>
      <c r="AD275" s="856"/>
      <c r="AJ275" s="856"/>
      <c r="AK275" s="857"/>
      <c r="AP275" s="856"/>
      <c r="AQ275" s="856"/>
      <c r="AW275" s="856"/>
      <c r="AX275" s="856"/>
      <c r="BC275" s="858"/>
      <c r="BD275" s="858"/>
      <c r="BE275" s="642"/>
      <c r="BF275" s="642"/>
      <c r="BG275" s="642"/>
      <c r="BH275" s="642"/>
      <c r="BI275" s="642"/>
      <c r="BJ275" s="642"/>
      <c r="BK275" s="642"/>
      <c r="BL275" s="642"/>
      <c r="BM275" s="859"/>
      <c r="BO275" s="860"/>
      <c r="BP275" s="642"/>
      <c r="BQ275" s="859"/>
      <c r="BS275" s="860"/>
      <c r="BT275" s="642"/>
      <c r="BV275" s="642"/>
    </row>
    <row r="276" spans="15:74" ht="15.75" customHeight="1">
      <c r="O276" s="856"/>
      <c r="P276" s="856"/>
      <c r="V276" s="856"/>
      <c r="W276" s="856"/>
      <c r="AC276" s="856"/>
      <c r="AD276" s="856"/>
      <c r="AJ276" s="856"/>
      <c r="AK276" s="857"/>
      <c r="AP276" s="856"/>
      <c r="AQ276" s="856"/>
      <c r="AW276" s="856"/>
      <c r="AX276" s="856"/>
      <c r="BC276" s="858"/>
      <c r="BD276" s="858"/>
      <c r="BE276" s="642"/>
      <c r="BF276" s="642"/>
      <c r="BG276" s="642"/>
      <c r="BH276" s="642"/>
      <c r="BI276" s="642"/>
      <c r="BJ276" s="642"/>
      <c r="BK276" s="642"/>
      <c r="BL276" s="642"/>
      <c r="BM276" s="859"/>
      <c r="BO276" s="860"/>
      <c r="BP276" s="642"/>
      <c r="BQ276" s="859"/>
      <c r="BS276" s="860"/>
      <c r="BT276" s="642"/>
      <c r="BV276" s="642"/>
    </row>
    <row r="277" spans="15:74" ht="15.75" customHeight="1">
      <c r="O277" s="856"/>
      <c r="P277" s="856"/>
      <c r="V277" s="856"/>
      <c r="W277" s="856"/>
      <c r="AC277" s="856"/>
      <c r="AD277" s="856"/>
      <c r="AJ277" s="856"/>
      <c r="AK277" s="857"/>
      <c r="AP277" s="856"/>
      <c r="AQ277" s="856"/>
      <c r="AW277" s="856"/>
      <c r="AX277" s="856"/>
      <c r="BC277" s="858"/>
      <c r="BD277" s="858"/>
      <c r="BE277" s="642"/>
      <c r="BF277" s="642"/>
      <c r="BG277" s="642"/>
      <c r="BH277" s="642"/>
      <c r="BI277" s="642"/>
      <c r="BJ277" s="642"/>
      <c r="BK277" s="642"/>
      <c r="BL277" s="642"/>
      <c r="BM277" s="859"/>
      <c r="BO277" s="860"/>
      <c r="BP277" s="642"/>
      <c r="BQ277" s="859"/>
      <c r="BS277" s="860"/>
      <c r="BT277" s="642"/>
      <c r="BV277" s="642"/>
    </row>
    <row r="278" spans="15:74" ht="15.75" customHeight="1"/>
    <row r="279" spans="15:74" ht="15.75" customHeight="1"/>
    <row r="280" spans="15:74" ht="15.75" customHeight="1"/>
    <row r="281" spans="15:74" ht="15.75" customHeight="1"/>
    <row r="282" spans="15:74" ht="15.75" customHeight="1"/>
    <row r="283" spans="15:74" ht="15.75" customHeight="1"/>
    <row r="284" spans="15:74" ht="15.75" customHeight="1"/>
    <row r="285" spans="15:74" ht="15.75" customHeight="1"/>
    <row r="286" spans="15:74" ht="15.75" customHeight="1"/>
    <row r="287" spans="15:74" ht="15.75" customHeight="1"/>
    <row r="288" spans="15:74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J22:J25"/>
    <mergeCell ref="J26:J29"/>
    <mergeCell ref="J30:J33"/>
    <mergeCell ref="J34:J37"/>
    <mergeCell ref="J38:J41"/>
    <mergeCell ref="J2:J5"/>
    <mergeCell ref="J6:J9"/>
    <mergeCell ref="J10:J13"/>
    <mergeCell ref="J14:J17"/>
    <mergeCell ref="J18:J21"/>
    <mergeCell ref="A22:A25"/>
    <mergeCell ref="A26:A29"/>
    <mergeCell ref="A30:A33"/>
    <mergeCell ref="A34:A37"/>
    <mergeCell ref="A38:A41"/>
    <mergeCell ref="A2:A5"/>
    <mergeCell ref="A6:A9"/>
    <mergeCell ref="A10:A13"/>
    <mergeCell ref="A14:A17"/>
    <mergeCell ref="A18:A21"/>
    <mergeCell ref="K1:N1"/>
    <mergeCell ref="R1:U1"/>
    <mergeCell ref="AS1:AV1"/>
    <mergeCell ref="AY1:BB1"/>
    <mergeCell ref="BE1:BK1"/>
  </mergeCells>
  <phoneticPr fontId="65" type="noConversion"/>
  <conditionalFormatting sqref="K2:BD41 BL20:BL21">
    <cfRule type="cellIs" dxfId="28" priority="1" operator="equal">
      <formula>$BL$20</formula>
    </cfRule>
  </conditionalFormatting>
  <conditionalFormatting sqref="N2:O41 U2:U41 AB2:AB41 AI2:AV41 BB2:BB41">
    <cfRule type="notContainsBlanks" dxfId="27" priority="2">
      <formula>LEN(TRIM(N2))&gt;0</formula>
    </cfRule>
  </conditionalFormatting>
  <pageMargins left="0.69930555555555596" right="0.69930555555555596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C1:O1000"/>
  <sheetViews>
    <sheetView workbookViewId="0"/>
  </sheetViews>
  <sheetFormatPr defaultColWidth="11.09765625" defaultRowHeight="15" customHeight="1"/>
  <cols>
    <col min="1" max="15" width="8.5" customWidth="1"/>
  </cols>
  <sheetData>
    <row r="1" spans="3:15" ht="15.75" customHeight="1"/>
    <row r="2" spans="3:15" ht="15.75" customHeight="1"/>
    <row r="3" spans="3:15" ht="15.75" customHeight="1">
      <c r="C3" s="793" t="s">
        <v>243</v>
      </c>
      <c r="D3" s="794"/>
      <c r="E3" s="794">
        <v>3</v>
      </c>
      <c r="F3" s="794">
        <v>20</v>
      </c>
      <c r="G3" s="794">
        <v>37</v>
      </c>
      <c r="H3" s="794">
        <v>49</v>
      </c>
      <c r="I3" s="794">
        <v>67</v>
      </c>
      <c r="J3" s="794">
        <v>72</v>
      </c>
      <c r="K3" s="794">
        <v>92</v>
      </c>
      <c r="L3" s="794"/>
      <c r="M3" s="794"/>
      <c r="N3" s="794"/>
      <c r="O3" s="798"/>
    </row>
    <row r="4" spans="3:15" ht="15.75" customHeight="1">
      <c r="C4" s="795"/>
      <c r="D4" s="641">
        <v>85</v>
      </c>
      <c r="E4" s="641">
        <v>113</v>
      </c>
      <c r="F4" s="641">
        <v>134</v>
      </c>
      <c r="G4" s="641">
        <v>137</v>
      </c>
      <c r="H4" s="641">
        <v>141</v>
      </c>
      <c r="I4" s="641">
        <v>181</v>
      </c>
      <c r="J4" s="641">
        <v>197</v>
      </c>
      <c r="K4" s="641">
        <v>198</v>
      </c>
      <c r="L4" s="641"/>
      <c r="M4" s="641"/>
      <c r="N4" s="641"/>
      <c r="O4" s="799"/>
    </row>
    <row r="5" spans="3:15" ht="15.75" customHeight="1">
      <c r="C5" s="795"/>
      <c r="D5" s="641">
        <v>140</v>
      </c>
      <c r="E5" s="641">
        <v>203</v>
      </c>
      <c r="F5" s="641">
        <v>204</v>
      </c>
      <c r="G5" s="641">
        <v>209</v>
      </c>
      <c r="H5" s="641">
        <v>210</v>
      </c>
      <c r="I5" s="641">
        <v>214</v>
      </c>
      <c r="J5" s="641">
        <v>222</v>
      </c>
      <c r="K5" s="641">
        <v>223</v>
      </c>
      <c r="L5" s="641">
        <v>224</v>
      </c>
      <c r="M5" s="641"/>
      <c r="N5" s="641"/>
      <c r="O5" s="799"/>
    </row>
    <row r="6" spans="3:15" ht="15.75" customHeight="1">
      <c r="C6" s="795"/>
      <c r="D6" s="641">
        <v>213</v>
      </c>
      <c r="E6" s="641"/>
      <c r="F6" s="641"/>
      <c r="G6" s="641"/>
      <c r="H6" s="641"/>
      <c r="I6" s="641"/>
      <c r="J6" s="641"/>
      <c r="K6" s="641"/>
      <c r="L6" s="641"/>
      <c r="M6" s="641"/>
      <c r="N6" s="641"/>
      <c r="O6" s="799"/>
    </row>
    <row r="7" spans="3:15" ht="15.75" customHeight="1">
      <c r="C7" s="796"/>
      <c r="D7" s="797">
        <v>217</v>
      </c>
      <c r="E7" s="797"/>
      <c r="F7" s="797"/>
      <c r="G7" s="797"/>
      <c r="H7" s="797"/>
      <c r="I7" s="797"/>
      <c r="J7" s="797"/>
      <c r="K7" s="797"/>
      <c r="L7" s="797"/>
      <c r="M7" s="797"/>
      <c r="N7" s="797"/>
      <c r="O7" s="800"/>
    </row>
    <row r="8" spans="3:15" ht="15.75" customHeight="1"/>
    <row r="9" spans="3:15" ht="15.75" customHeight="1">
      <c r="C9" s="793" t="s">
        <v>244</v>
      </c>
      <c r="D9" s="794"/>
      <c r="E9" s="794">
        <v>4</v>
      </c>
      <c r="F9" s="794">
        <v>5</v>
      </c>
      <c r="G9" s="794">
        <v>22</v>
      </c>
      <c r="H9" s="794">
        <v>32</v>
      </c>
      <c r="I9" s="794">
        <v>39</v>
      </c>
      <c r="J9" s="794">
        <v>73</v>
      </c>
      <c r="K9" s="794">
        <v>84</v>
      </c>
      <c r="L9" s="794">
        <v>86</v>
      </c>
      <c r="M9" s="794">
        <v>90</v>
      </c>
      <c r="N9" s="794">
        <v>91</v>
      </c>
      <c r="O9" s="798"/>
    </row>
    <row r="10" spans="3:15" ht="15.75" customHeight="1">
      <c r="C10" s="795"/>
      <c r="D10" s="641">
        <v>25</v>
      </c>
      <c r="E10" s="641">
        <v>102</v>
      </c>
      <c r="F10" s="641">
        <v>103</v>
      </c>
      <c r="G10" s="641">
        <v>112</v>
      </c>
      <c r="H10" s="641">
        <v>114</v>
      </c>
      <c r="I10" s="641">
        <v>117</v>
      </c>
      <c r="J10" s="641">
        <v>120</v>
      </c>
      <c r="K10" s="641">
        <v>128</v>
      </c>
      <c r="L10" s="641">
        <v>129</v>
      </c>
      <c r="M10" s="641">
        <v>135</v>
      </c>
      <c r="N10" s="641">
        <v>138</v>
      </c>
      <c r="O10" s="799"/>
    </row>
    <row r="11" spans="3:15" ht="15.75" customHeight="1">
      <c r="C11" s="795"/>
      <c r="D11" s="641">
        <v>76</v>
      </c>
      <c r="E11" s="641">
        <v>152</v>
      </c>
      <c r="F11" s="641">
        <v>153</v>
      </c>
      <c r="G11" s="641">
        <v>161</v>
      </c>
      <c r="H11" s="641">
        <v>186</v>
      </c>
      <c r="I11" s="641">
        <v>190</v>
      </c>
      <c r="J11" s="641">
        <v>196</v>
      </c>
      <c r="K11" s="641"/>
      <c r="L11" s="641"/>
      <c r="M11" s="641"/>
      <c r="N11" s="641"/>
      <c r="O11" s="799"/>
    </row>
    <row r="12" spans="3:15" ht="15.75" customHeight="1">
      <c r="C12" s="796"/>
      <c r="D12" s="797"/>
      <c r="E12" s="797">
        <v>202</v>
      </c>
      <c r="F12" s="797">
        <v>205</v>
      </c>
      <c r="G12" s="797">
        <v>206</v>
      </c>
      <c r="H12" s="797">
        <v>208</v>
      </c>
      <c r="I12" s="797">
        <v>211</v>
      </c>
      <c r="J12" s="797">
        <v>218</v>
      </c>
      <c r="K12" s="797"/>
      <c r="L12" s="797"/>
      <c r="M12" s="797"/>
      <c r="N12" s="797"/>
      <c r="O12" s="800"/>
    </row>
    <row r="13" spans="3:15" ht="15.75" customHeight="1"/>
    <row r="14" spans="3:15" ht="15.75" customHeight="1"/>
    <row r="15" spans="3:15" ht="15.75" customHeight="1"/>
    <row r="16" spans="3:1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69930555555555596" right="0.69930555555555596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F1001"/>
  <sheetViews>
    <sheetView workbookViewId="0">
      <selection sqref="A1:K1"/>
    </sheetView>
  </sheetViews>
  <sheetFormatPr defaultColWidth="11.09765625" defaultRowHeight="15" customHeight="1"/>
  <cols>
    <col min="1" max="1" width="10.09765625" customWidth="1"/>
    <col min="2" max="2" width="24.09765625" customWidth="1"/>
    <col min="3" max="3" width="5.796875" customWidth="1"/>
    <col min="4" max="4" width="2.09765625" customWidth="1"/>
    <col min="5" max="5" width="5.796875" customWidth="1"/>
    <col min="6" max="6" width="5" customWidth="1"/>
    <col min="7" max="7" width="7" hidden="1" customWidth="1"/>
    <col min="8" max="8" width="6" customWidth="1"/>
    <col min="9" max="9" width="5.59765625" customWidth="1"/>
    <col min="10" max="10" width="5.5" customWidth="1"/>
    <col min="11" max="11" width="6.5" hidden="1" customWidth="1"/>
    <col min="12" max="12" width="24.59765625" customWidth="1"/>
    <col min="13" max="13" width="5.796875" customWidth="1"/>
    <col min="14" max="14" width="2.09765625" customWidth="1"/>
    <col min="15" max="15" width="5.796875" customWidth="1"/>
    <col min="16" max="16" width="5" customWidth="1"/>
    <col min="17" max="17" width="6.5" hidden="1" customWidth="1"/>
    <col min="18" max="18" width="6" customWidth="1"/>
    <col min="19" max="19" width="5.59765625" customWidth="1"/>
    <col min="20" max="20" width="5.5" customWidth="1"/>
    <col min="21" max="21" width="10.09765625" hidden="1" customWidth="1"/>
    <col min="22" max="22" width="24.59765625" customWidth="1"/>
    <col min="23" max="23" width="5.796875" customWidth="1"/>
    <col min="24" max="24" width="2.09765625" customWidth="1"/>
    <col min="25" max="26" width="5.796875" customWidth="1"/>
    <col min="27" max="27" width="11.09765625" hidden="1" customWidth="1"/>
    <col min="28" max="28" width="6" customWidth="1"/>
    <col min="29" max="29" width="5.59765625" customWidth="1"/>
    <col min="30" max="30" width="5.5" customWidth="1"/>
    <col min="31" max="31" width="6.59765625" hidden="1" customWidth="1"/>
    <col min="32" max="32" width="43.5" customWidth="1"/>
    <col min="33" max="33" width="5.796875" customWidth="1"/>
    <col min="34" max="34" width="2.09765625" customWidth="1"/>
    <col min="35" max="35" width="5.796875" customWidth="1"/>
    <col min="36" max="36" width="6" customWidth="1"/>
    <col min="37" max="37" width="6.09765625" customWidth="1"/>
    <col min="38" max="38" width="6" customWidth="1"/>
    <col min="39" max="39" width="5.59765625" customWidth="1"/>
    <col min="40" max="40" width="5.5" customWidth="1"/>
    <col min="41" max="41" width="6.5" customWidth="1"/>
    <col min="42" max="42" width="5.796875" customWidth="1"/>
    <col min="43" max="43" width="43.5" customWidth="1"/>
    <col min="44" max="44" width="5.796875" customWidth="1"/>
    <col min="45" max="45" width="2.09765625" customWidth="1"/>
    <col min="46" max="46" width="5.796875" customWidth="1"/>
    <col min="47" max="47" width="6" customWidth="1"/>
    <col min="48" max="48" width="3.09765625" customWidth="1"/>
    <col min="49" max="49" width="6" customWidth="1"/>
    <col min="50" max="50" width="5.59765625" customWidth="1"/>
    <col min="51" max="51" width="4.796875" customWidth="1"/>
    <col min="53" max="53" width="43.5" customWidth="1"/>
    <col min="54" max="54" width="5.796875" customWidth="1"/>
    <col min="55" max="55" width="2.09765625" customWidth="1"/>
    <col min="56" max="56" width="5.796875" customWidth="1"/>
    <col min="57" max="57" width="6" customWidth="1"/>
    <col min="58" max="58" width="8.59765625" customWidth="1"/>
    <col min="59" max="59" width="6" customWidth="1"/>
    <col min="60" max="60" width="5.59765625" customWidth="1"/>
    <col min="61" max="62" width="4.796875" customWidth="1"/>
    <col min="63" max="63" width="2.09765625" customWidth="1"/>
    <col min="64" max="64" width="5.796875" customWidth="1"/>
    <col min="65" max="65" width="6" customWidth="1"/>
    <col min="66" max="66" width="4" customWidth="1"/>
    <col min="67" max="67" width="6" customWidth="1"/>
    <col min="68" max="68" width="12.59765625" customWidth="1"/>
    <col min="69" max="69" width="5" customWidth="1"/>
    <col min="70" max="74" width="4.296875" customWidth="1"/>
    <col min="75" max="75" width="13" customWidth="1"/>
    <col min="76" max="76" width="6.5" customWidth="1"/>
    <col min="77" max="77" width="16.09765625" customWidth="1"/>
    <col min="78" max="78" width="12.59765625" customWidth="1"/>
    <col min="79" max="79" width="16.09765625" customWidth="1"/>
    <col min="80" max="84" width="12.59765625" customWidth="1"/>
  </cols>
  <sheetData>
    <row r="1" spans="1:84" ht="15.75" customHeight="1">
      <c r="A1" s="969" t="s">
        <v>260</v>
      </c>
      <c r="B1" s="969"/>
      <c r="C1" s="969"/>
      <c r="D1" s="969"/>
      <c r="E1" s="969"/>
      <c r="F1" s="969"/>
      <c r="G1" s="969"/>
      <c r="H1" s="969"/>
      <c r="I1" s="969"/>
      <c r="J1" s="969"/>
      <c r="K1" s="969"/>
      <c r="L1" s="715"/>
      <c r="M1" s="715"/>
      <c r="N1" s="715"/>
      <c r="O1" s="715"/>
      <c r="P1" s="715"/>
      <c r="Q1" s="715"/>
      <c r="R1" s="715"/>
      <c r="S1" s="715"/>
      <c r="T1" s="715"/>
      <c r="U1" s="715"/>
      <c r="V1" s="715"/>
      <c r="W1" s="715"/>
      <c r="X1" s="715"/>
      <c r="Y1" s="715"/>
      <c r="Z1" s="715"/>
      <c r="AA1" s="715"/>
      <c r="AB1" s="715"/>
      <c r="AC1" s="715"/>
      <c r="AD1" s="715"/>
      <c r="AE1" s="715"/>
      <c r="AF1" s="715"/>
      <c r="AG1" s="715"/>
      <c r="AH1" s="715"/>
      <c r="AI1" s="715"/>
      <c r="AJ1" s="715"/>
      <c r="AK1" s="715"/>
      <c r="AL1" s="715"/>
      <c r="AM1" s="715"/>
      <c r="AN1" s="715"/>
      <c r="AO1" s="715"/>
      <c r="AP1" s="715"/>
      <c r="AQ1" s="715"/>
      <c r="AR1" s="715"/>
      <c r="AS1" s="715"/>
      <c r="AT1" s="715"/>
      <c r="AU1" s="715"/>
      <c r="AV1" s="715"/>
      <c r="AW1" s="715"/>
      <c r="AX1" s="715"/>
      <c r="AY1" s="715"/>
      <c r="AZ1" s="715"/>
      <c r="BA1" s="715"/>
      <c r="BB1" s="715"/>
      <c r="BC1" s="715"/>
      <c r="BD1" s="715"/>
      <c r="BE1" s="715"/>
      <c r="BF1" s="715"/>
      <c r="BG1" s="715"/>
      <c r="BH1" s="715"/>
      <c r="BI1" s="715"/>
      <c r="BJ1" s="715"/>
      <c r="BK1" s="715"/>
      <c r="BL1" s="715"/>
      <c r="BM1" s="715"/>
      <c r="BN1" s="715"/>
      <c r="BO1" s="715"/>
      <c r="BP1" s="715"/>
      <c r="BQ1" s="715"/>
      <c r="BR1" s="715"/>
      <c r="BS1" s="715"/>
      <c r="BT1" s="715"/>
      <c r="BU1" s="715"/>
      <c r="BV1" s="715"/>
      <c r="BW1" s="715"/>
      <c r="BX1" s="715"/>
      <c r="BY1" s="715"/>
      <c r="BZ1" s="715"/>
      <c r="CA1" s="715"/>
      <c r="CB1" s="715"/>
      <c r="CC1" s="715"/>
      <c r="CD1" s="715"/>
      <c r="CE1" s="715"/>
      <c r="CF1" s="715"/>
    </row>
    <row r="2" spans="1:84" ht="31.2">
      <c r="A2" s="715"/>
      <c r="B2" s="716"/>
      <c r="C2" s="970" t="s">
        <v>261</v>
      </c>
      <c r="D2" s="971"/>
      <c r="E2" s="972"/>
      <c r="F2" s="973" t="s">
        <v>155</v>
      </c>
      <c r="G2" s="974"/>
      <c r="H2" s="975"/>
      <c r="I2" s="734" t="s">
        <v>35</v>
      </c>
      <c r="J2" s="735" t="s">
        <v>262</v>
      </c>
      <c r="K2" s="717"/>
      <c r="L2" s="716"/>
      <c r="M2" s="970" t="s">
        <v>263</v>
      </c>
      <c r="N2" s="971"/>
      <c r="O2" s="972"/>
      <c r="P2" s="973" t="s">
        <v>156</v>
      </c>
      <c r="Q2" s="974"/>
      <c r="R2" s="975"/>
      <c r="S2" s="734" t="s">
        <v>35</v>
      </c>
      <c r="T2" s="735" t="s">
        <v>262</v>
      </c>
      <c r="U2" s="717"/>
      <c r="V2" s="716"/>
      <c r="W2" s="970" t="s">
        <v>264</v>
      </c>
      <c r="X2" s="971"/>
      <c r="Y2" s="972"/>
      <c r="Z2" s="973" t="s">
        <v>157</v>
      </c>
      <c r="AA2" s="974"/>
      <c r="AB2" s="975"/>
      <c r="AC2" s="734" t="s">
        <v>35</v>
      </c>
      <c r="AD2" s="735" t="s">
        <v>262</v>
      </c>
      <c r="AE2" s="745"/>
      <c r="AF2" s="716"/>
      <c r="AG2" s="976" t="s">
        <v>265</v>
      </c>
      <c r="AH2" s="977"/>
      <c r="AI2" s="978"/>
      <c r="AJ2" s="973" t="s">
        <v>158</v>
      </c>
      <c r="AK2" s="974"/>
      <c r="AL2" s="975"/>
      <c r="AM2" s="734" t="s">
        <v>35</v>
      </c>
      <c r="AN2" s="735" t="s">
        <v>262</v>
      </c>
      <c r="AO2" s="745"/>
      <c r="AP2" s="749"/>
      <c r="AQ2" s="740"/>
      <c r="AR2" s="976" t="s">
        <v>266</v>
      </c>
      <c r="AS2" s="977"/>
      <c r="AT2" s="978"/>
      <c r="AU2" s="973" t="s">
        <v>159</v>
      </c>
      <c r="AV2" s="974"/>
      <c r="AW2" s="975"/>
      <c r="AX2" s="751" t="s">
        <v>35</v>
      </c>
      <c r="AY2" s="752" t="s">
        <v>262</v>
      </c>
      <c r="AZ2" s="748"/>
      <c r="BA2" s="740"/>
      <c r="BB2" s="976" t="s">
        <v>267</v>
      </c>
      <c r="BC2" s="977"/>
      <c r="BD2" s="978"/>
      <c r="BE2" s="979" t="s">
        <v>268</v>
      </c>
      <c r="BF2" s="980"/>
      <c r="BG2" s="981"/>
      <c r="BH2" s="756" t="s">
        <v>35</v>
      </c>
      <c r="BI2" s="752" t="s">
        <v>262</v>
      </c>
      <c r="BJ2" s="976" t="s">
        <v>269</v>
      </c>
      <c r="BK2" s="977"/>
      <c r="BL2" s="978"/>
      <c r="BM2" s="715"/>
      <c r="BN2" s="715"/>
      <c r="BO2" s="715"/>
      <c r="BP2" s="715"/>
      <c r="BQ2" s="715"/>
      <c r="BR2" s="715"/>
      <c r="BS2" s="715"/>
      <c r="BT2" s="715"/>
      <c r="BU2" s="715"/>
      <c r="BV2" s="715"/>
      <c r="BW2" s="774" t="s">
        <v>58</v>
      </c>
      <c r="BX2" s="775" t="s">
        <v>59</v>
      </c>
      <c r="BY2" s="776" t="s">
        <v>242</v>
      </c>
      <c r="BZ2" s="777" t="s">
        <v>270</v>
      </c>
      <c r="CA2" s="777" t="s">
        <v>271</v>
      </c>
      <c r="CB2" s="777" t="s">
        <v>272</v>
      </c>
      <c r="CC2" s="777" t="s">
        <v>273</v>
      </c>
      <c r="CD2" s="777" t="s">
        <v>274</v>
      </c>
      <c r="CE2" s="777" t="s">
        <v>275</v>
      </c>
      <c r="CF2" s="777" t="s">
        <v>276</v>
      </c>
    </row>
    <row r="3" spans="1:84" ht="17.25" customHeight="1">
      <c r="A3" s="718" t="s">
        <v>277</v>
      </c>
      <c r="B3" s="719" t="s">
        <v>278</v>
      </c>
      <c r="C3" s="720" t="s">
        <v>279</v>
      </c>
      <c r="D3" s="720" t="s">
        <v>145</v>
      </c>
      <c r="E3" s="720" t="s">
        <v>280</v>
      </c>
      <c r="F3" s="721">
        <v>0.33333333333333298</v>
      </c>
      <c r="G3" s="721"/>
      <c r="H3" s="721">
        <v>0.39583333333333298</v>
      </c>
      <c r="I3" s="736">
        <f t="shared" ref="I3:I32" si="0">(H3-F3)*24</f>
        <v>1.5</v>
      </c>
      <c r="J3" s="737">
        <v>103</v>
      </c>
      <c r="K3" s="720"/>
      <c r="L3" s="719" t="s">
        <v>281</v>
      </c>
      <c r="M3" s="720" t="s">
        <v>279</v>
      </c>
      <c r="N3" s="720" t="s">
        <v>145</v>
      </c>
      <c r="O3" s="720" t="s">
        <v>280</v>
      </c>
      <c r="P3" s="721">
        <v>0.33333333333333298</v>
      </c>
      <c r="Q3" s="721"/>
      <c r="R3" s="721">
        <v>0.39583333333333298</v>
      </c>
      <c r="S3" s="736">
        <f t="shared" ref="S3:S32" si="1">(R3-P3)*24</f>
        <v>1.5</v>
      </c>
      <c r="T3" s="738">
        <v>128</v>
      </c>
      <c r="U3" s="720"/>
      <c r="V3" s="719" t="s">
        <v>281</v>
      </c>
      <c r="W3" s="720" t="s">
        <v>279</v>
      </c>
      <c r="X3" s="720" t="s">
        <v>145</v>
      </c>
      <c r="Y3" s="720" t="s">
        <v>280</v>
      </c>
      <c r="Z3" s="721">
        <v>0.33333333333333298</v>
      </c>
      <c r="AA3" s="721"/>
      <c r="AB3" s="721">
        <v>0.39583333333333298</v>
      </c>
      <c r="AC3" s="736">
        <f t="shared" ref="AC3:AC32" si="2">(AB3-Z3)*24</f>
        <v>1.5</v>
      </c>
      <c r="AD3" s="738">
        <v>208</v>
      </c>
      <c r="AE3" s="739"/>
      <c r="AF3" s="719" t="s">
        <v>282</v>
      </c>
      <c r="AG3" s="739" t="s">
        <v>279</v>
      </c>
      <c r="AH3" s="739" t="s">
        <v>145</v>
      </c>
      <c r="AI3" s="739" t="s">
        <v>280</v>
      </c>
      <c r="AJ3" s="721">
        <v>0.33333333333333298</v>
      </c>
      <c r="AK3" s="721"/>
      <c r="AL3" s="721">
        <v>0.39583333333333298</v>
      </c>
      <c r="AM3" s="736">
        <f t="shared" ref="AM3:AM32" si="3">(AL3-AJ3)*24</f>
        <v>1.5</v>
      </c>
      <c r="AN3" s="738">
        <v>214</v>
      </c>
      <c r="AO3" s="739"/>
      <c r="AP3" s="739"/>
      <c r="AQ3" s="719" t="s">
        <v>283</v>
      </c>
      <c r="AR3" s="739" t="s">
        <v>279</v>
      </c>
      <c r="AS3" s="739" t="s">
        <v>145</v>
      </c>
      <c r="AT3" s="739" t="s">
        <v>284</v>
      </c>
      <c r="AU3" s="721">
        <v>0.33333333333333298</v>
      </c>
      <c r="AV3" s="721"/>
      <c r="AW3" s="721">
        <v>0.42916666666666697</v>
      </c>
      <c r="AX3" s="736">
        <f t="shared" ref="AX3:AX32" si="4">(AW3-AU3)*24</f>
        <v>2.3000000000000158</v>
      </c>
      <c r="AY3" s="738">
        <v>202</v>
      </c>
      <c r="AZ3" s="739"/>
      <c r="BA3" s="719" t="s">
        <v>283</v>
      </c>
      <c r="BB3" s="739" t="s">
        <v>279</v>
      </c>
      <c r="BC3" s="739" t="s">
        <v>145</v>
      </c>
      <c r="BD3" s="739" t="s">
        <v>284</v>
      </c>
      <c r="BE3" s="721">
        <v>0.33333333333333298</v>
      </c>
      <c r="BF3" s="721"/>
      <c r="BG3" s="721">
        <v>0.42916666666666697</v>
      </c>
      <c r="BH3" s="736">
        <f t="shared" ref="BH3:BH32" si="5">(BG3-BE3)*24</f>
        <v>2.3000000000000158</v>
      </c>
      <c r="BI3" s="738">
        <v>240</v>
      </c>
      <c r="BJ3" s="739"/>
      <c r="BK3" s="739" t="s">
        <v>145</v>
      </c>
      <c r="BL3" s="739"/>
      <c r="BM3" s="715"/>
      <c r="BN3" s="715"/>
      <c r="BO3" s="715"/>
      <c r="BP3" s="715"/>
      <c r="BQ3" s="715"/>
      <c r="BR3" s="715"/>
      <c r="BS3" s="715"/>
      <c r="BT3" s="715"/>
      <c r="BU3" s="715"/>
      <c r="BV3" s="715"/>
      <c r="BW3" s="778" t="s">
        <v>76</v>
      </c>
      <c r="BX3" s="779">
        <v>3</v>
      </c>
      <c r="BY3" s="780">
        <f>SUM(BZ3:CF3)</f>
        <v>0</v>
      </c>
      <c r="BZ3" s="731">
        <f t="shared" ref="BZ3:BZ8" si="6">SUMIF(BI$3:BI$36,$BX3,BH$3:BH$36)</f>
        <v>0</v>
      </c>
      <c r="CA3" s="731">
        <f t="shared" ref="CA3:CA8" si="7">SUMIF(BQ$3:BQ$36,$BX3,BP$3:BP$36)</f>
        <v>0</v>
      </c>
      <c r="CB3" s="731">
        <f>SUMIF(J$3:J$36,$BX3,I$3:I$36)</f>
        <v>0</v>
      </c>
      <c r="CC3" s="731">
        <f>SUMIF(T$3:T$36,$BX3,S$3:S$36)</f>
        <v>0</v>
      </c>
      <c r="CD3" s="731">
        <f>SUMIF(AD$3:AD$36,$BX3,AC$3:AC$36)</f>
        <v>0</v>
      </c>
      <c r="CE3" s="731">
        <f>SUMIF(AN$3:AN$36,$BX3,AM$3:AM$36)</f>
        <v>0</v>
      </c>
      <c r="CF3" s="731">
        <f>SUMIF(AY$3:AY$36,$BX3,AX$3:AX$36)</f>
        <v>0</v>
      </c>
    </row>
    <row r="4" spans="1:84" ht="16.5" customHeight="1">
      <c r="A4" s="722"/>
      <c r="B4" s="719"/>
      <c r="C4" s="720"/>
      <c r="D4" s="720"/>
      <c r="E4" s="720"/>
      <c r="F4" s="721"/>
      <c r="G4" s="723"/>
      <c r="H4" s="721"/>
      <c r="I4" s="736">
        <f t="shared" si="0"/>
        <v>0</v>
      </c>
      <c r="J4" s="738"/>
      <c r="K4" s="720"/>
      <c r="L4" s="719"/>
      <c r="M4" s="720"/>
      <c r="N4" s="720"/>
      <c r="O4" s="720"/>
      <c r="P4" s="721"/>
      <c r="Q4" s="723"/>
      <c r="R4" s="721"/>
      <c r="S4" s="736">
        <f t="shared" si="1"/>
        <v>0</v>
      </c>
      <c r="T4" s="738"/>
      <c r="U4" s="720"/>
      <c r="V4" s="719" t="s">
        <v>285</v>
      </c>
      <c r="W4" s="720" t="s">
        <v>286</v>
      </c>
      <c r="X4" s="720" t="s">
        <v>145</v>
      </c>
      <c r="Y4" s="720" t="s">
        <v>287</v>
      </c>
      <c r="Z4" s="721">
        <v>0.40625</v>
      </c>
      <c r="AA4" s="723"/>
      <c r="AB4" s="721">
        <v>0.46875</v>
      </c>
      <c r="AC4" s="736">
        <f t="shared" si="2"/>
        <v>1.5</v>
      </c>
      <c r="AD4" s="738">
        <v>208</v>
      </c>
      <c r="AE4" s="739"/>
      <c r="AF4" s="719" t="s">
        <v>288</v>
      </c>
      <c r="AG4" s="739" t="s">
        <v>286</v>
      </c>
      <c r="AH4" s="739" t="s">
        <v>145</v>
      </c>
      <c r="AI4" s="739" t="s">
        <v>287</v>
      </c>
      <c r="AJ4" s="721">
        <v>0.40625</v>
      </c>
      <c r="AK4" s="723"/>
      <c r="AL4" s="721">
        <v>0.46875</v>
      </c>
      <c r="AM4" s="736">
        <f t="shared" si="3"/>
        <v>1.5</v>
      </c>
      <c r="AN4" s="738">
        <v>138</v>
      </c>
      <c r="AO4" s="739"/>
      <c r="AP4" s="739"/>
      <c r="AQ4" s="719" t="s">
        <v>289</v>
      </c>
      <c r="AR4" s="739" t="s">
        <v>290</v>
      </c>
      <c r="AS4" s="739" t="s">
        <v>145</v>
      </c>
      <c r="AT4" s="739" t="s">
        <v>291</v>
      </c>
      <c r="AU4" s="721">
        <v>0.44097222222222199</v>
      </c>
      <c r="AV4" s="723"/>
      <c r="AW4" s="721">
        <v>0.5</v>
      </c>
      <c r="AX4" s="736">
        <f t="shared" si="4"/>
        <v>1.4166666666666723</v>
      </c>
      <c r="AY4" s="738">
        <v>203</v>
      </c>
      <c r="AZ4" s="739"/>
      <c r="BA4" s="719" t="s">
        <v>289</v>
      </c>
      <c r="BB4" s="739" t="s">
        <v>290</v>
      </c>
      <c r="BC4" s="739" t="s">
        <v>145</v>
      </c>
      <c r="BD4" s="739" t="s">
        <v>291</v>
      </c>
      <c r="BE4" s="721">
        <v>0.44097222222222199</v>
      </c>
      <c r="BF4" s="723"/>
      <c r="BG4" s="721">
        <v>0.52083333333333304</v>
      </c>
      <c r="BH4" s="736">
        <f t="shared" si="5"/>
        <v>1.9166666666666652</v>
      </c>
      <c r="BI4" s="738">
        <v>25</v>
      </c>
      <c r="BJ4" s="739"/>
      <c r="BK4" s="739" t="s">
        <v>145</v>
      </c>
      <c r="BL4" s="739"/>
      <c r="BM4" s="715"/>
      <c r="BN4" s="715"/>
      <c r="BO4" s="715"/>
      <c r="BP4" s="715"/>
      <c r="BQ4" s="715"/>
      <c r="BR4" s="715"/>
      <c r="BS4" s="715"/>
      <c r="BT4" s="715"/>
      <c r="BU4" s="715"/>
      <c r="BV4" s="715"/>
      <c r="BW4" s="781" t="s">
        <v>77</v>
      </c>
      <c r="BX4" s="782">
        <v>4</v>
      </c>
      <c r="BY4" s="780">
        <f t="shared" ref="BY4:BY19" si="8">SUM(BZ4:CF4)</f>
        <v>4.9999999999999911</v>
      </c>
      <c r="BZ4" s="731">
        <f t="shared" si="6"/>
        <v>4.9999999999999911</v>
      </c>
      <c r="CA4" s="731">
        <f t="shared" si="7"/>
        <v>0</v>
      </c>
      <c r="CB4" s="731">
        <f t="shared" ref="CB4:CB24" si="9">SUMIF(J$3:J$36,$BX4,I$3:I$36)</f>
        <v>0</v>
      </c>
      <c r="CC4" s="731">
        <f t="shared" ref="CC4:CC24" si="10">SUMIF(T$3:T$36,$BX4,S$3:S$36)</f>
        <v>0</v>
      </c>
      <c r="CD4" s="731">
        <f t="shared" ref="CD4:CD24" si="11">SUMIF(AD$3:AD$36,$BX4,AC$3:AC$36)</f>
        <v>0</v>
      </c>
      <c r="CE4" s="731">
        <f t="shared" ref="CE4:CE24" si="12">SUMIF(AN$3:AN$36,$BX4,AM$3:AM$36)</f>
        <v>0</v>
      </c>
      <c r="CF4" s="731">
        <f t="shared" ref="CF4:CF24" si="13">SUMIF(AY$3:AY$36,$BX4,AX$3:AX$36)</f>
        <v>0</v>
      </c>
    </row>
    <row r="5" spans="1:84" ht="16.5" customHeight="1">
      <c r="A5" s="722"/>
      <c r="B5" s="719"/>
      <c r="C5" s="720"/>
      <c r="D5" s="720"/>
      <c r="E5" s="720"/>
      <c r="F5" s="721"/>
      <c r="G5" s="723"/>
      <c r="H5" s="721"/>
      <c r="I5" s="736">
        <f t="shared" si="0"/>
        <v>0</v>
      </c>
      <c r="J5" s="738"/>
      <c r="K5" s="720"/>
      <c r="L5" s="719"/>
      <c r="M5" s="720"/>
      <c r="N5" s="720"/>
      <c r="O5" s="720"/>
      <c r="P5" s="721"/>
      <c r="Q5" s="723"/>
      <c r="R5" s="721"/>
      <c r="S5" s="736">
        <f t="shared" si="1"/>
        <v>0</v>
      </c>
      <c r="T5" s="738"/>
      <c r="U5" s="720"/>
      <c r="V5" s="719"/>
      <c r="W5" s="720"/>
      <c r="X5" s="720"/>
      <c r="Y5" s="720"/>
      <c r="Z5" s="721"/>
      <c r="AA5" s="723"/>
      <c r="AB5" s="721"/>
      <c r="AC5" s="736">
        <f t="shared" si="2"/>
        <v>0</v>
      </c>
      <c r="AD5" s="738"/>
      <c r="AE5" s="739"/>
      <c r="AF5" s="719" t="s">
        <v>292</v>
      </c>
      <c r="AG5" s="739"/>
      <c r="AH5" s="739" t="s">
        <v>145</v>
      </c>
      <c r="AI5" s="739"/>
      <c r="AJ5" s="721"/>
      <c r="AK5" s="723"/>
      <c r="AL5" s="721"/>
      <c r="AM5" s="736">
        <f t="shared" si="3"/>
        <v>0</v>
      </c>
      <c r="AN5" s="738"/>
      <c r="AO5" s="739"/>
      <c r="AP5" s="739"/>
      <c r="AQ5" s="719"/>
      <c r="AR5" s="739"/>
      <c r="AS5" s="739" t="s">
        <v>145</v>
      </c>
      <c r="AT5" s="739"/>
      <c r="AU5" s="721">
        <v>0.5</v>
      </c>
      <c r="AV5" s="723"/>
      <c r="AW5" s="721">
        <v>0.57916666666666705</v>
      </c>
      <c r="AX5" s="736">
        <f t="shared" si="4"/>
        <v>1.9000000000000092</v>
      </c>
      <c r="AY5" s="738">
        <v>181</v>
      </c>
      <c r="AZ5" s="739"/>
      <c r="BA5" s="719"/>
      <c r="BB5" s="739"/>
      <c r="BC5" s="739" t="s">
        <v>145</v>
      </c>
      <c r="BD5" s="739"/>
      <c r="BE5" s="721">
        <v>0.52083333333333304</v>
      </c>
      <c r="BF5" s="723"/>
      <c r="BG5" s="721">
        <v>0.57916666666666705</v>
      </c>
      <c r="BH5" s="736">
        <f t="shared" si="5"/>
        <v>1.4000000000000163</v>
      </c>
      <c r="BI5" s="738">
        <v>140</v>
      </c>
      <c r="BJ5" s="739"/>
      <c r="BK5" s="739" t="s">
        <v>145</v>
      </c>
      <c r="BL5" s="739"/>
      <c r="BM5" s="715"/>
      <c r="BN5" s="715"/>
      <c r="BO5" s="715"/>
      <c r="BP5" s="715"/>
      <c r="BQ5" s="715"/>
      <c r="BR5" s="715"/>
      <c r="BS5" s="715"/>
      <c r="BT5" s="715"/>
      <c r="BU5" s="715"/>
      <c r="BV5" s="715"/>
      <c r="BW5" s="781" t="s">
        <v>79</v>
      </c>
      <c r="BX5" s="782">
        <v>20</v>
      </c>
      <c r="BY5" s="780">
        <f t="shared" si="8"/>
        <v>0</v>
      </c>
      <c r="BZ5" s="731">
        <f t="shared" si="6"/>
        <v>0</v>
      </c>
      <c r="CA5" s="731">
        <f t="shared" si="7"/>
        <v>0</v>
      </c>
      <c r="CB5" s="731">
        <f t="shared" si="9"/>
        <v>0</v>
      </c>
      <c r="CC5" s="731">
        <f t="shared" si="10"/>
        <v>0</v>
      </c>
      <c r="CD5" s="731">
        <f t="shared" si="11"/>
        <v>0</v>
      </c>
      <c r="CE5" s="731">
        <f t="shared" si="12"/>
        <v>0</v>
      </c>
      <c r="CF5" s="731">
        <f t="shared" si="13"/>
        <v>0</v>
      </c>
    </row>
    <row r="6" spans="1:84" ht="16.5" customHeight="1">
      <c r="A6" s="718" t="s">
        <v>293</v>
      </c>
      <c r="B6" s="719" t="s">
        <v>294</v>
      </c>
      <c r="C6" s="720" t="s">
        <v>279</v>
      </c>
      <c r="D6" s="720" t="s">
        <v>145</v>
      </c>
      <c r="E6" s="720" t="s">
        <v>295</v>
      </c>
      <c r="F6" s="721">
        <v>0.33333333333333298</v>
      </c>
      <c r="G6" s="723"/>
      <c r="H6" s="721">
        <v>0.40902777777777799</v>
      </c>
      <c r="I6" s="736">
        <f t="shared" si="0"/>
        <v>1.8166666666666802</v>
      </c>
      <c r="J6" s="738">
        <v>73</v>
      </c>
      <c r="K6" s="720"/>
      <c r="L6" s="719" t="s">
        <v>296</v>
      </c>
      <c r="M6" s="720" t="s">
        <v>279</v>
      </c>
      <c r="N6" s="720" t="s">
        <v>145</v>
      </c>
      <c r="O6" s="720" t="s">
        <v>297</v>
      </c>
      <c r="P6" s="721">
        <v>0.33333333333333298</v>
      </c>
      <c r="Q6" s="723"/>
      <c r="R6" s="721">
        <v>0.38333333333333303</v>
      </c>
      <c r="S6" s="736">
        <f t="shared" si="1"/>
        <v>1.2000000000000011</v>
      </c>
      <c r="T6" s="738">
        <v>210</v>
      </c>
      <c r="U6" s="720"/>
      <c r="V6" s="719" t="s">
        <v>298</v>
      </c>
      <c r="W6" s="720" t="s">
        <v>279</v>
      </c>
      <c r="X6" s="720" t="s">
        <v>145</v>
      </c>
      <c r="Y6" s="720" t="s">
        <v>280</v>
      </c>
      <c r="Z6" s="721">
        <v>0.33333333333333298</v>
      </c>
      <c r="AA6" s="723"/>
      <c r="AB6" s="721">
        <v>0.39583333333333298</v>
      </c>
      <c r="AC6" s="736">
        <f t="shared" si="2"/>
        <v>1.5</v>
      </c>
      <c r="AD6" s="738">
        <v>211</v>
      </c>
      <c r="AE6" s="739"/>
      <c r="AF6" s="719" t="s">
        <v>283</v>
      </c>
      <c r="AG6" s="739" t="s">
        <v>279</v>
      </c>
      <c r="AH6" s="739" t="s">
        <v>145</v>
      </c>
      <c r="AI6" s="739" t="s">
        <v>284</v>
      </c>
      <c r="AJ6" s="721">
        <v>0.33333333333333298</v>
      </c>
      <c r="AK6" s="723"/>
      <c r="AL6" s="721">
        <v>0.42916666666666697</v>
      </c>
      <c r="AM6" s="736">
        <f t="shared" si="3"/>
        <v>2.3000000000000158</v>
      </c>
      <c r="AN6" s="738">
        <v>186</v>
      </c>
      <c r="AO6" s="739"/>
      <c r="AP6" s="739"/>
      <c r="AQ6" s="719" t="s">
        <v>282</v>
      </c>
      <c r="AR6" s="739" t="s">
        <v>279</v>
      </c>
      <c r="AS6" s="739" t="s">
        <v>145</v>
      </c>
      <c r="AT6" s="739" t="s">
        <v>284</v>
      </c>
      <c r="AU6" s="721">
        <v>0.33333333333333298</v>
      </c>
      <c r="AV6" s="723"/>
      <c r="AW6" s="721">
        <v>0.42916666666666697</v>
      </c>
      <c r="AX6" s="736">
        <f t="shared" si="4"/>
        <v>2.3000000000000158</v>
      </c>
      <c r="AY6" s="737">
        <v>112</v>
      </c>
      <c r="AZ6" s="739"/>
      <c r="BA6" s="719" t="s">
        <v>282</v>
      </c>
      <c r="BB6" s="739" t="s">
        <v>279</v>
      </c>
      <c r="BC6" s="739" t="s">
        <v>145</v>
      </c>
      <c r="BD6" s="739" t="s">
        <v>284</v>
      </c>
      <c r="BE6" s="721">
        <v>0.33333333333333298</v>
      </c>
      <c r="BF6" s="723"/>
      <c r="BG6" s="721">
        <v>0.42916666666666697</v>
      </c>
      <c r="BH6" s="736">
        <f t="shared" si="5"/>
        <v>2.3000000000000158</v>
      </c>
      <c r="BI6" s="738">
        <v>224</v>
      </c>
      <c r="BJ6" s="739"/>
      <c r="BK6" s="739" t="s">
        <v>145</v>
      </c>
      <c r="BL6" s="739"/>
      <c r="BM6" s="715"/>
      <c r="BN6" s="715"/>
      <c r="BO6" s="715"/>
      <c r="BP6" s="715"/>
      <c r="BQ6" s="715"/>
      <c r="BR6" s="715"/>
      <c r="BS6" s="715"/>
      <c r="BT6" s="715"/>
      <c r="BU6" s="715"/>
      <c r="BV6" s="715"/>
      <c r="BW6" s="781" t="s">
        <v>81</v>
      </c>
      <c r="BX6" s="782">
        <v>22</v>
      </c>
      <c r="BY6" s="780">
        <f t="shared" si="8"/>
        <v>0</v>
      </c>
      <c r="BZ6" s="731">
        <f t="shared" si="6"/>
        <v>0</v>
      </c>
      <c r="CA6" s="731">
        <f t="shared" si="7"/>
        <v>0</v>
      </c>
      <c r="CB6" s="731">
        <f t="shared" si="9"/>
        <v>0</v>
      </c>
      <c r="CC6" s="731">
        <f t="shared" si="10"/>
        <v>0</v>
      </c>
      <c r="CD6" s="731">
        <f t="shared" si="11"/>
        <v>0</v>
      </c>
      <c r="CE6" s="731">
        <f t="shared" si="12"/>
        <v>0</v>
      </c>
      <c r="CF6" s="731">
        <f t="shared" si="13"/>
        <v>0</v>
      </c>
    </row>
    <row r="7" spans="1:84" ht="25.5" customHeight="1">
      <c r="A7" s="722"/>
      <c r="B7" s="719"/>
      <c r="C7" s="720"/>
      <c r="D7" s="720"/>
      <c r="E7" s="720"/>
      <c r="F7" s="721"/>
      <c r="G7" s="723"/>
      <c r="H7" s="721"/>
      <c r="I7" s="736">
        <f t="shared" si="0"/>
        <v>0</v>
      </c>
      <c r="J7" s="738"/>
      <c r="K7" s="720"/>
      <c r="L7" s="719" t="s">
        <v>299</v>
      </c>
      <c r="M7" s="720"/>
      <c r="N7" s="720" t="s">
        <v>145</v>
      </c>
      <c r="O7" s="720"/>
      <c r="P7" s="721"/>
      <c r="Q7" s="723"/>
      <c r="R7" s="721"/>
      <c r="S7" s="736">
        <f t="shared" si="1"/>
        <v>0</v>
      </c>
      <c r="T7" s="738"/>
      <c r="U7" s="720"/>
      <c r="V7" s="719" t="s">
        <v>300</v>
      </c>
      <c r="W7" s="720" t="s">
        <v>286</v>
      </c>
      <c r="X7" s="720" t="s">
        <v>145</v>
      </c>
      <c r="Y7" s="720" t="s">
        <v>287</v>
      </c>
      <c r="Z7" s="721">
        <v>0.40625</v>
      </c>
      <c r="AA7" s="723"/>
      <c r="AB7" s="721">
        <v>0.46875</v>
      </c>
      <c r="AC7" s="736">
        <f t="shared" si="2"/>
        <v>1.5</v>
      </c>
      <c r="AD7" s="738">
        <v>211</v>
      </c>
      <c r="AE7" s="739"/>
      <c r="AF7" s="719" t="s">
        <v>289</v>
      </c>
      <c r="AG7" s="739" t="s">
        <v>290</v>
      </c>
      <c r="AH7" s="739" t="s">
        <v>145</v>
      </c>
      <c r="AI7" s="739" t="s">
        <v>291</v>
      </c>
      <c r="AJ7" s="721">
        <v>0.44097222222222199</v>
      </c>
      <c r="AK7" s="723"/>
      <c r="AL7" s="721">
        <v>0.5</v>
      </c>
      <c r="AM7" s="736">
        <f t="shared" si="3"/>
        <v>1.4166666666666723</v>
      </c>
      <c r="AN7" s="738">
        <v>141</v>
      </c>
      <c r="AO7" s="739"/>
      <c r="AP7" s="739"/>
      <c r="AQ7" s="719" t="s">
        <v>288</v>
      </c>
      <c r="AR7" s="739" t="s">
        <v>290</v>
      </c>
      <c r="AS7" s="739" t="s">
        <v>145</v>
      </c>
      <c r="AT7" s="739" t="s">
        <v>301</v>
      </c>
      <c r="AU7" s="721">
        <v>0.44097222222222199</v>
      </c>
      <c r="AV7" s="723"/>
      <c r="AW7" s="721">
        <v>0.5</v>
      </c>
      <c r="AX7" s="736">
        <f t="shared" si="4"/>
        <v>1.4166666666666723</v>
      </c>
      <c r="AY7" s="737">
        <v>112</v>
      </c>
      <c r="AZ7" s="739"/>
      <c r="BA7" s="719" t="s">
        <v>288</v>
      </c>
      <c r="BB7" s="739" t="s">
        <v>290</v>
      </c>
      <c r="BC7" s="739" t="s">
        <v>145</v>
      </c>
      <c r="BD7" s="739" t="s">
        <v>301</v>
      </c>
      <c r="BE7" s="721">
        <v>0.44097222222222199</v>
      </c>
      <c r="BF7" s="723"/>
      <c r="BG7" s="721">
        <v>0.56597222222222199</v>
      </c>
      <c r="BH7" s="736">
        <f t="shared" si="5"/>
        <v>3</v>
      </c>
      <c r="BI7" s="738">
        <v>4</v>
      </c>
      <c r="BJ7" s="739"/>
      <c r="BK7" s="739" t="s">
        <v>145</v>
      </c>
      <c r="BL7" s="739"/>
      <c r="BM7" s="715"/>
      <c r="BN7" s="715"/>
      <c r="BO7" s="715"/>
      <c r="BP7" s="715"/>
      <c r="BQ7" s="715"/>
      <c r="BR7" s="715"/>
      <c r="BS7" s="715"/>
      <c r="BT7" s="715"/>
      <c r="BU7" s="715"/>
      <c r="BV7" s="715"/>
      <c r="BW7" s="781" t="s">
        <v>82</v>
      </c>
      <c r="BX7" s="782">
        <v>25</v>
      </c>
      <c r="BY7" s="780">
        <f t="shared" si="8"/>
        <v>7.9166666666666412</v>
      </c>
      <c r="BZ7" s="731">
        <f t="shared" si="6"/>
        <v>3.4166666666666652</v>
      </c>
      <c r="CA7" s="731">
        <f t="shared" si="7"/>
        <v>4.499999999999976</v>
      </c>
      <c r="CB7" s="731">
        <f t="shared" si="9"/>
        <v>0</v>
      </c>
      <c r="CC7" s="731">
        <f t="shared" si="10"/>
        <v>0</v>
      </c>
      <c r="CD7" s="731">
        <f t="shared" si="11"/>
        <v>0</v>
      </c>
      <c r="CE7" s="731">
        <f t="shared" si="12"/>
        <v>0</v>
      </c>
      <c r="CF7" s="731">
        <f t="shared" si="13"/>
        <v>0</v>
      </c>
    </row>
    <row r="8" spans="1:84" ht="24.6">
      <c r="A8" s="722"/>
      <c r="B8" s="719"/>
      <c r="C8" s="720"/>
      <c r="D8" s="720"/>
      <c r="E8" s="720"/>
      <c r="F8" s="724"/>
      <c r="G8" s="724"/>
      <c r="H8" s="724"/>
      <c r="I8" s="736">
        <f t="shared" si="0"/>
        <v>0</v>
      </c>
      <c r="J8" s="739"/>
      <c r="K8" s="720"/>
      <c r="L8" s="719"/>
      <c r="M8" s="720"/>
      <c r="N8" s="720"/>
      <c r="O8" s="720"/>
      <c r="P8" s="724"/>
      <c r="Q8" s="724"/>
      <c r="R8" s="724"/>
      <c r="S8" s="736">
        <f t="shared" si="1"/>
        <v>0</v>
      </c>
      <c r="T8" s="739"/>
      <c r="U8" s="720"/>
      <c r="V8" s="719"/>
      <c r="W8" s="720"/>
      <c r="X8" s="720"/>
      <c r="Y8" s="720"/>
      <c r="Z8" s="724"/>
      <c r="AA8" s="724"/>
      <c r="AB8" s="724"/>
      <c r="AC8" s="736">
        <f t="shared" si="2"/>
        <v>0</v>
      </c>
      <c r="AD8" s="739"/>
      <c r="AE8" s="739"/>
      <c r="AF8" s="719"/>
      <c r="AG8" s="739"/>
      <c r="AH8" s="739" t="s">
        <v>145</v>
      </c>
      <c r="AI8" s="739"/>
      <c r="AJ8" s="727">
        <v>0.5</v>
      </c>
      <c r="AK8" s="724"/>
      <c r="AL8" s="721">
        <v>0.57916666666666705</v>
      </c>
      <c r="AM8" s="736">
        <f t="shared" si="3"/>
        <v>1.9000000000000092</v>
      </c>
      <c r="AN8" s="739">
        <v>102</v>
      </c>
      <c r="AO8" s="739"/>
      <c r="AP8" s="739"/>
      <c r="AQ8" s="719"/>
      <c r="AR8" s="739"/>
      <c r="AS8" s="739" t="s">
        <v>145</v>
      </c>
      <c r="AT8" s="739"/>
      <c r="AU8" s="727">
        <v>0.5</v>
      </c>
      <c r="AV8" s="724"/>
      <c r="AW8" s="721">
        <v>0.56597222222222199</v>
      </c>
      <c r="AX8" s="736">
        <f t="shared" si="4"/>
        <v>1.5833333333333277</v>
      </c>
      <c r="AY8" s="738">
        <v>78</v>
      </c>
      <c r="AZ8" s="739"/>
      <c r="BA8" s="719"/>
      <c r="BB8" s="739"/>
      <c r="BC8" s="739" t="s">
        <v>145</v>
      </c>
      <c r="BD8" s="739"/>
      <c r="BE8" s="757"/>
      <c r="BF8" s="757"/>
      <c r="BG8" s="757"/>
      <c r="BH8" s="736">
        <f t="shared" si="5"/>
        <v>0</v>
      </c>
      <c r="BI8" s="739"/>
      <c r="BJ8" s="739"/>
      <c r="BK8" s="739" t="s">
        <v>145</v>
      </c>
      <c r="BL8" s="739"/>
      <c r="BM8" s="715"/>
      <c r="BN8" s="715"/>
      <c r="BO8" s="715"/>
      <c r="BP8" s="715"/>
      <c r="BQ8" s="715"/>
      <c r="BR8" s="715"/>
      <c r="BS8" s="715"/>
      <c r="BT8" s="715"/>
      <c r="BU8" s="715"/>
      <c r="BV8" s="715"/>
      <c r="BW8" s="781" t="s">
        <v>83</v>
      </c>
      <c r="BX8" s="782">
        <v>32</v>
      </c>
      <c r="BY8" s="780">
        <f t="shared" si="8"/>
        <v>2.3000000000000158</v>
      </c>
      <c r="BZ8" s="731">
        <f t="shared" si="6"/>
        <v>0</v>
      </c>
      <c r="CA8" s="731">
        <f t="shared" si="7"/>
        <v>0</v>
      </c>
      <c r="CB8" s="731">
        <f t="shared" si="9"/>
        <v>0</v>
      </c>
      <c r="CC8" s="731">
        <f t="shared" si="10"/>
        <v>0</v>
      </c>
      <c r="CD8" s="731">
        <f t="shared" si="11"/>
        <v>0</v>
      </c>
      <c r="CE8" s="731">
        <f t="shared" si="12"/>
        <v>0</v>
      </c>
      <c r="CF8" s="731">
        <f t="shared" si="13"/>
        <v>2.3000000000000158</v>
      </c>
    </row>
    <row r="9" spans="1:84" ht="40.799999999999997">
      <c r="A9" s="718" t="s">
        <v>302</v>
      </c>
      <c r="B9" s="719" t="s">
        <v>281</v>
      </c>
      <c r="C9" s="720" t="s">
        <v>279</v>
      </c>
      <c r="D9" s="720" t="s">
        <v>145</v>
      </c>
      <c r="E9" s="915" t="s">
        <v>280</v>
      </c>
      <c r="F9" s="721">
        <v>0.33333333333333298</v>
      </c>
      <c r="G9" s="723"/>
      <c r="H9" s="721">
        <v>0.39583333333333298</v>
      </c>
      <c r="I9" s="736">
        <f t="shared" si="0"/>
        <v>1.5</v>
      </c>
      <c r="J9" s="738">
        <v>206</v>
      </c>
      <c r="K9" s="720"/>
      <c r="L9" s="719" t="s">
        <v>294</v>
      </c>
      <c r="M9" s="720" t="s">
        <v>279</v>
      </c>
      <c r="N9" s="720" t="s">
        <v>145</v>
      </c>
      <c r="O9" s="915" t="s">
        <v>295</v>
      </c>
      <c r="P9" s="721">
        <v>0.33333333333333298</v>
      </c>
      <c r="Q9" s="723"/>
      <c r="R9" s="721">
        <v>0.40902777777777799</v>
      </c>
      <c r="S9" s="736">
        <f t="shared" si="1"/>
        <v>1.8166666666666802</v>
      </c>
      <c r="T9" s="738">
        <v>198</v>
      </c>
      <c r="U9" s="720"/>
      <c r="V9" s="719" t="s">
        <v>294</v>
      </c>
      <c r="W9" s="720" t="s">
        <v>279</v>
      </c>
      <c r="X9" s="720" t="s">
        <v>145</v>
      </c>
      <c r="Y9" s="915" t="s">
        <v>295</v>
      </c>
      <c r="Z9" s="721">
        <v>0.33333333333333298</v>
      </c>
      <c r="AA9" s="723"/>
      <c r="AB9" s="721">
        <v>0.40902777777777799</v>
      </c>
      <c r="AC9" s="736">
        <f t="shared" si="2"/>
        <v>1.8166666666666802</v>
      </c>
      <c r="AD9" s="737">
        <v>49</v>
      </c>
      <c r="AE9" s="739"/>
      <c r="AF9" s="719" t="s">
        <v>303</v>
      </c>
      <c r="AG9" s="739" t="s">
        <v>279</v>
      </c>
      <c r="AH9" s="739" t="s">
        <v>145</v>
      </c>
      <c r="AI9" s="916" t="s">
        <v>284</v>
      </c>
      <c r="AJ9" s="721">
        <v>0.33333333333333298</v>
      </c>
      <c r="AK9" s="723"/>
      <c r="AL9" s="721">
        <v>0.42916666666666697</v>
      </c>
      <c r="AM9" s="736">
        <f t="shared" si="3"/>
        <v>2.3000000000000158</v>
      </c>
      <c r="AN9" s="738">
        <v>120</v>
      </c>
      <c r="AO9" s="739"/>
      <c r="AP9" s="739"/>
      <c r="AQ9" s="719" t="s">
        <v>304</v>
      </c>
      <c r="AR9" s="739" t="s">
        <v>279</v>
      </c>
      <c r="AS9" s="739" t="s">
        <v>145</v>
      </c>
      <c r="AT9" s="739" t="s">
        <v>284</v>
      </c>
      <c r="AU9" s="721">
        <v>0.33333333333333298</v>
      </c>
      <c r="AV9" s="723"/>
      <c r="AW9" s="721">
        <v>0.42916666666666697</v>
      </c>
      <c r="AX9" s="736">
        <f t="shared" si="4"/>
        <v>2.3000000000000158</v>
      </c>
      <c r="AY9" s="738">
        <v>32</v>
      </c>
      <c r="AZ9" s="739"/>
      <c r="BA9" s="719" t="s">
        <v>305</v>
      </c>
      <c r="BB9" s="739" t="s">
        <v>279</v>
      </c>
      <c r="BC9" s="739" t="s">
        <v>145</v>
      </c>
      <c r="BD9" s="916" t="s">
        <v>306</v>
      </c>
      <c r="BE9" s="721">
        <v>0.33333333333333298</v>
      </c>
      <c r="BF9" s="723"/>
      <c r="BG9" s="721">
        <v>0.44722222222222202</v>
      </c>
      <c r="BH9" s="736">
        <f t="shared" si="5"/>
        <v>2.7333333333333369</v>
      </c>
      <c r="BI9" s="738">
        <v>37</v>
      </c>
      <c r="BJ9" s="739"/>
      <c r="BK9" s="739" t="s">
        <v>145</v>
      </c>
      <c r="BL9" s="739"/>
      <c r="BM9" s="715"/>
      <c r="BN9" s="715"/>
      <c r="BO9" s="715"/>
      <c r="BP9" s="715"/>
      <c r="BQ9" s="715"/>
      <c r="BR9" s="715"/>
      <c r="BS9" s="715"/>
      <c r="BT9" s="715"/>
      <c r="BU9" s="715"/>
      <c r="BV9" s="715"/>
      <c r="BW9" s="781" t="s">
        <v>84</v>
      </c>
      <c r="BX9" s="782">
        <v>37</v>
      </c>
      <c r="BY9" s="780">
        <f t="shared" si="8"/>
        <v>8.8500000000000263</v>
      </c>
      <c r="BZ9" s="731">
        <f t="shared" ref="BZ9:BZ22" si="14">SUMIF(BI$3:BI$36,$BX9,BH$3:BH$36)</f>
        <v>8.8500000000000263</v>
      </c>
      <c r="CA9" s="731">
        <f t="shared" ref="CA9:CA22" si="15">SUMIF(BQ$3:BQ$36,$BX9,BP$3:BP$36)</f>
        <v>0</v>
      </c>
      <c r="CB9" s="731">
        <f t="shared" si="9"/>
        <v>0</v>
      </c>
      <c r="CC9" s="731">
        <f t="shared" si="10"/>
        <v>0</v>
      </c>
      <c r="CD9" s="731">
        <f t="shared" si="11"/>
        <v>0</v>
      </c>
      <c r="CE9" s="731">
        <f t="shared" si="12"/>
        <v>0</v>
      </c>
      <c r="CF9" s="731">
        <f t="shared" si="13"/>
        <v>0</v>
      </c>
    </row>
    <row r="10" spans="1:84" ht="15.75" customHeight="1">
      <c r="A10" s="722"/>
      <c r="B10" s="719" t="s">
        <v>307</v>
      </c>
      <c r="C10" s="720"/>
      <c r="D10" s="720" t="s">
        <v>145</v>
      </c>
      <c r="E10" s="720"/>
      <c r="F10" s="725"/>
      <c r="G10" s="726"/>
      <c r="H10" s="725"/>
      <c r="I10" s="736">
        <f t="shared" si="0"/>
        <v>0</v>
      </c>
      <c r="J10" s="740"/>
      <c r="K10" s="720"/>
      <c r="L10" s="719"/>
      <c r="M10" s="720"/>
      <c r="N10" s="720"/>
      <c r="O10" s="720"/>
      <c r="P10" s="725"/>
      <c r="Q10" s="726"/>
      <c r="R10" s="725"/>
      <c r="S10" s="736">
        <f t="shared" si="1"/>
        <v>0</v>
      </c>
      <c r="T10" s="740"/>
      <c r="U10" s="720"/>
      <c r="V10" s="719" t="s">
        <v>308</v>
      </c>
      <c r="W10" s="720" t="s">
        <v>309</v>
      </c>
      <c r="X10" s="720" t="s">
        <v>145</v>
      </c>
      <c r="Y10" s="720" t="s">
        <v>290</v>
      </c>
      <c r="Z10" s="725">
        <v>0.42013888888888901</v>
      </c>
      <c r="AA10" s="726"/>
      <c r="AB10" s="725">
        <v>0.45138888888888901</v>
      </c>
      <c r="AC10" s="736">
        <f t="shared" si="2"/>
        <v>0.75</v>
      </c>
      <c r="AD10" s="739">
        <v>204</v>
      </c>
      <c r="AE10" s="739"/>
      <c r="AF10" s="719"/>
      <c r="AG10" s="739"/>
      <c r="AH10" s="739" t="s">
        <v>145</v>
      </c>
      <c r="AI10" s="739"/>
      <c r="AJ10" s="725"/>
      <c r="AK10" s="726"/>
      <c r="AL10" s="725"/>
      <c r="AM10" s="736">
        <f t="shared" si="3"/>
        <v>0</v>
      </c>
      <c r="AN10" s="740"/>
      <c r="AO10" s="739"/>
      <c r="AP10" s="739"/>
      <c r="AQ10" s="719" t="s">
        <v>310</v>
      </c>
      <c r="AR10" s="739" t="s">
        <v>290</v>
      </c>
      <c r="AS10" s="739" t="s">
        <v>145</v>
      </c>
      <c r="AT10" s="739" t="s">
        <v>301</v>
      </c>
      <c r="AU10" s="725">
        <v>0.44097222222222199</v>
      </c>
      <c r="AV10" s="726"/>
      <c r="AW10" s="725">
        <v>0.5</v>
      </c>
      <c r="AX10" s="736">
        <f t="shared" si="4"/>
        <v>1.4166666666666723</v>
      </c>
      <c r="AY10" s="740">
        <v>203</v>
      </c>
      <c r="AZ10" s="739"/>
      <c r="BA10" s="740"/>
      <c r="BB10" s="740"/>
      <c r="BC10" s="740"/>
      <c r="BD10" s="740"/>
      <c r="BE10" s="758"/>
      <c r="BF10" s="758"/>
      <c r="BG10" s="758"/>
      <c r="BH10" s="736">
        <f t="shared" si="5"/>
        <v>0</v>
      </c>
      <c r="BI10" s="740"/>
      <c r="BJ10" s="740"/>
      <c r="BK10" s="740"/>
      <c r="BL10" s="740"/>
      <c r="BM10" s="715"/>
      <c r="BN10" s="715"/>
      <c r="BO10" s="715"/>
      <c r="BP10" s="715"/>
      <c r="BQ10" s="715"/>
      <c r="BR10" s="715"/>
      <c r="BS10" s="715"/>
      <c r="BT10" s="715"/>
      <c r="BU10" s="715"/>
      <c r="BV10" s="715"/>
      <c r="BW10" s="783" t="s">
        <v>86</v>
      </c>
      <c r="BX10" s="784">
        <v>49</v>
      </c>
      <c r="BY10" s="780">
        <f t="shared" si="8"/>
        <v>4.8166666666666806</v>
      </c>
      <c r="BZ10" s="731">
        <f t="shared" si="14"/>
        <v>0</v>
      </c>
      <c r="CA10" s="731">
        <f t="shared" si="15"/>
        <v>0</v>
      </c>
      <c r="CB10" s="731">
        <f t="shared" si="9"/>
        <v>0</v>
      </c>
      <c r="CC10" s="731">
        <f t="shared" si="10"/>
        <v>3</v>
      </c>
      <c r="CD10" s="731">
        <f t="shared" si="11"/>
        <v>1.8166666666666802</v>
      </c>
      <c r="CE10" s="731">
        <f t="shared" si="12"/>
        <v>0</v>
      </c>
      <c r="CF10" s="731">
        <f t="shared" si="13"/>
        <v>0</v>
      </c>
    </row>
    <row r="11" spans="1:84" ht="25.5" customHeight="1">
      <c r="A11" s="722"/>
      <c r="B11" s="719"/>
      <c r="C11" s="720"/>
      <c r="D11" s="720"/>
      <c r="E11" s="720"/>
      <c r="F11" s="727"/>
      <c r="G11" s="724"/>
      <c r="H11" s="727"/>
      <c r="I11" s="736">
        <f t="shared" si="0"/>
        <v>0</v>
      </c>
      <c r="J11" s="739"/>
      <c r="K11" s="720"/>
      <c r="L11" s="719"/>
      <c r="M11" s="720"/>
      <c r="N11" s="720"/>
      <c r="O11" s="720"/>
      <c r="P11" s="727"/>
      <c r="Q11" s="724"/>
      <c r="R11" s="727"/>
      <c r="S11" s="736">
        <f t="shared" si="1"/>
        <v>0</v>
      </c>
      <c r="T11" s="739"/>
      <c r="U11" s="720"/>
      <c r="V11" s="719" t="s">
        <v>311</v>
      </c>
      <c r="W11" s="744">
        <v>0.45486111111111099</v>
      </c>
      <c r="X11" s="720" t="s">
        <v>145</v>
      </c>
      <c r="Y11" s="720" t="s">
        <v>312</v>
      </c>
      <c r="Z11" s="727">
        <v>0.45138888888888901</v>
      </c>
      <c r="AA11" s="724"/>
      <c r="AB11" s="727">
        <v>0.47569444444444398</v>
      </c>
      <c r="AC11" s="736">
        <f t="shared" si="2"/>
        <v>0.58333333333331927</v>
      </c>
      <c r="AD11" s="739">
        <v>204</v>
      </c>
      <c r="AE11" s="739"/>
      <c r="AF11" s="719"/>
      <c r="AG11" s="739"/>
      <c r="AH11" s="739" t="s">
        <v>145</v>
      </c>
      <c r="AI11" s="739"/>
      <c r="AJ11" s="724"/>
      <c r="AK11" s="724"/>
      <c r="AL11" s="724"/>
      <c r="AM11" s="736">
        <f t="shared" si="3"/>
        <v>0</v>
      </c>
      <c r="AN11" s="739"/>
      <c r="AO11" s="739"/>
      <c r="AP11" s="739"/>
      <c r="AQ11" s="719"/>
      <c r="AR11" s="715"/>
      <c r="AS11" s="739" t="s">
        <v>145</v>
      </c>
      <c r="AT11" s="739"/>
      <c r="AU11" s="725">
        <v>0.5</v>
      </c>
      <c r="AV11" s="726"/>
      <c r="AW11" s="725">
        <v>0.56597222222222199</v>
      </c>
      <c r="AX11" s="736">
        <f t="shared" si="4"/>
        <v>1.5833333333333277</v>
      </c>
      <c r="AY11" s="740">
        <v>224</v>
      </c>
      <c r="AZ11" s="739"/>
      <c r="BA11" s="719"/>
      <c r="BB11" s="739"/>
      <c r="BC11" s="739" t="s">
        <v>145</v>
      </c>
      <c r="BD11" s="739"/>
      <c r="BE11" s="757"/>
      <c r="BF11" s="757"/>
      <c r="BG11" s="757"/>
      <c r="BH11" s="736">
        <f t="shared" si="5"/>
        <v>0</v>
      </c>
      <c r="BI11" s="739"/>
      <c r="BJ11" s="739"/>
      <c r="BK11" s="739" t="s">
        <v>145</v>
      </c>
      <c r="BL11" s="739"/>
      <c r="BM11" s="715"/>
      <c r="BN11" s="715"/>
      <c r="BO11" s="715"/>
      <c r="BP11" s="715"/>
      <c r="BQ11" s="715"/>
      <c r="BR11" s="715"/>
      <c r="BS11" s="715"/>
      <c r="BT11" s="715"/>
      <c r="BU11" s="715"/>
      <c r="BV11" s="715"/>
      <c r="BW11" s="785" t="s">
        <v>87</v>
      </c>
      <c r="BX11" s="779">
        <v>67</v>
      </c>
      <c r="BY11" s="780">
        <f t="shared" si="8"/>
        <v>0</v>
      </c>
      <c r="BZ11" s="731">
        <f t="shared" si="14"/>
        <v>0</v>
      </c>
      <c r="CA11" s="731">
        <f t="shared" si="15"/>
        <v>0</v>
      </c>
      <c r="CB11" s="731">
        <f t="shared" si="9"/>
        <v>0</v>
      </c>
      <c r="CC11" s="731">
        <f t="shared" si="10"/>
        <v>0</v>
      </c>
      <c r="CD11" s="731">
        <f t="shared" si="11"/>
        <v>0</v>
      </c>
      <c r="CE11" s="731">
        <f t="shared" si="12"/>
        <v>0</v>
      </c>
      <c r="CF11" s="731">
        <f t="shared" si="13"/>
        <v>0</v>
      </c>
    </row>
    <row r="12" spans="1:84" ht="15" customHeight="1">
      <c r="A12" s="718" t="s">
        <v>313</v>
      </c>
      <c r="B12" s="719" t="s">
        <v>285</v>
      </c>
      <c r="C12" s="720" t="s">
        <v>279</v>
      </c>
      <c r="D12" s="720" t="s">
        <v>145</v>
      </c>
      <c r="E12" s="720" t="s">
        <v>280</v>
      </c>
      <c r="F12" s="721">
        <v>0.33333333333333298</v>
      </c>
      <c r="G12" s="723"/>
      <c r="H12" s="721">
        <v>0.39583333333333298</v>
      </c>
      <c r="I12" s="736">
        <f t="shared" si="0"/>
        <v>1.5</v>
      </c>
      <c r="J12" s="738">
        <v>72</v>
      </c>
      <c r="K12" s="720"/>
      <c r="L12" s="719" t="s">
        <v>278</v>
      </c>
      <c r="M12" s="720" t="s">
        <v>279</v>
      </c>
      <c r="N12" s="720" t="s">
        <v>145</v>
      </c>
      <c r="O12" s="720" t="s">
        <v>280</v>
      </c>
      <c r="P12" s="721">
        <v>0.33333333333333298</v>
      </c>
      <c r="Q12" s="723"/>
      <c r="R12" s="721">
        <v>0.39583333333333298</v>
      </c>
      <c r="S12" s="736">
        <f t="shared" si="1"/>
        <v>1.5</v>
      </c>
      <c r="T12" s="738">
        <v>49</v>
      </c>
      <c r="U12" s="720"/>
      <c r="V12" s="719" t="s">
        <v>314</v>
      </c>
      <c r="W12" s="720" t="s">
        <v>279</v>
      </c>
      <c r="X12" s="720" t="s">
        <v>145</v>
      </c>
      <c r="Y12" s="720" t="s">
        <v>297</v>
      </c>
      <c r="Z12" s="721">
        <v>0.33333333333333298</v>
      </c>
      <c r="AA12" s="723"/>
      <c r="AB12" s="721">
        <v>0.38333333333333303</v>
      </c>
      <c r="AC12" s="736">
        <f t="shared" si="2"/>
        <v>1.2000000000000011</v>
      </c>
      <c r="AD12" s="738">
        <v>92</v>
      </c>
      <c r="AE12" s="739"/>
      <c r="AF12" s="719" t="s">
        <v>304</v>
      </c>
      <c r="AG12" s="739" t="s">
        <v>279</v>
      </c>
      <c r="AH12" s="739" t="s">
        <v>145</v>
      </c>
      <c r="AI12" s="739" t="s">
        <v>280</v>
      </c>
      <c r="AJ12" s="721">
        <v>0.33333333333333298</v>
      </c>
      <c r="AK12" s="723"/>
      <c r="AL12" s="721">
        <v>0.39583333333333298</v>
      </c>
      <c r="AM12" s="736">
        <f t="shared" si="3"/>
        <v>1.5</v>
      </c>
      <c r="AN12" s="738">
        <v>141</v>
      </c>
      <c r="AO12" s="739"/>
      <c r="AP12" s="739"/>
      <c r="AQ12" s="720" t="s">
        <v>305</v>
      </c>
      <c r="AR12" s="917" t="s">
        <v>279</v>
      </c>
      <c r="AS12" s="739" t="s">
        <v>145</v>
      </c>
      <c r="AT12" s="916" t="s">
        <v>295</v>
      </c>
      <c r="AU12" s="721">
        <v>0.33333333333333298</v>
      </c>
      <c r="AV12" s="723"/>
      <c r="AW12" s="721">
        <v>0.40902777777777799</v>
      </c>
      <c r="AX12" s="736">
        <f t="shared" si="4"/>
        <v>1.8166666666666802</v>
      </c>
      <c r="AY12" s="737">
        <v>203</v>
      </c>
      <c r="AZ12" s="739"/>
      <c r="BA12" s="719" t="s">
        <v>315</v>
      </c>
      <c r="BB12" s="739" t="s">
        <v>279</v>
      </c>
      <c r="BC12" s="739" t="s">
        <v>145</v>
      </c>
      <c r="BD12" s="739" t="s">
        <v>316</v>
      </c>
      <c r="BE12" s="721">
        <v>0.33333333333333298</v>
      </c>
      <c r="BF12" s="723"/>
      <c r="BG12" s="721">
        <v>0.47152777777777799</v>
      </c>
      <c r="BH12" s="736">
        <f t="shared" si="5"/>
        <v>3.3166666666666802</v>
      </c>
      <c r="BI12" s="738">
        <v>91</v>
      </c>
      <c r="BJ12" s="739"/>
      <c r="BK12" s="739" t="s">
        <v>145</v>
      </c>
      <c r="BL12" s="739"/>
      <c r="BM12" s="715"/>
      <c r="BN12" s="715"/>
      <c r="BO12" s="715"/>
      <c r="BP12" s="715"/>
      <c r="BQ12" s="715"/>
      <c r="BR12" s="715"/>
      <c r="BS12" s="715"/>
      <c r="BT12" s="715"/>
      <c r="BU12" s="715"/>
      <c r="BV12" s="715"/>
      <c r="BW12" s="786" t="s">
        <v>88</v>
      </c>
      <c r="BX12" s="782">
        <v>72</v>
      </c>
      <c r="BY12" s="780">
        <f t="shared" si="8"/>
        <v>1.5</v>
      </c>
      <c r="BZ12" s="731">
        <f t="shared" si="14"/>
        <v>0</v>
      </c>
      <c r="CA12" s="731">
        <f t="shared" si="15"/>
        <v>0</v>
      </c>
      <c r="CB12" s="731">
        <f t="shared" si="9"/>
        <v>1.5</v>
      </c>
      <c r="CC12" s="731">
        <f t="shared" si="10"/>
        <v>0</v>
      </c>
      <c r="CD12" s="731">
        <f t="shared" si="11"/>
        <v>0</v>
      </c>
      <c r="CE12" s="731">
        <f t="shared" si="12"/>
        <v>0</v>
      </c>
      <c r="CF12" s="731">
        <f t="shared" si="13"/>
        <v>0</v>
      </c>
    </row>
    <row r="13" spans="1:84" ht="15" customHeight="1">
      <c r="A13" s="722"/>
      <c r="B13" s="719"/>
      <c r="C13" s="720"/>
      <c r="D13" s="720"/>
      <c r="E13" s="720"/>
      <c r="F13" s="728"/>
      <c r="G13" s="729"/>
      <c r="H13" s="728"/>
      <c r="I13" s="736">
        <f t="shared" si="0"/>
        <v>0</v>
      </c>
      <c r="J13" s="738"/>
      <c r="K13" s="720"/>
      <c r="L13" s="719"/>
      <c r="M13" s="720"/>
      <c r="N13" s="720"/>
      <c r="O13" s="720"/>
      <c r="P13" s="728"/>
      <c r="Q13" s="729"/>
      <c r="R13" s="728"/>
      <c r="S13" s="736">
        <f t="shared" si="1"/>
        <v>0</v>
      </c>
      <c r="T13" s="738"/>
      <c r="U13" s="720"/>
      <c r="V13" s="719" t="s">
        <v>317</v>
      </c>
      <c r="W13" s="720" t="s">
        <v>318</v>
      </c>
      <c r="X13" s="720" t="s">
        <v>145</v>
      </c>
      <c r="Y13" s="720" t="s">
        <v>319</v>
      </c>
      <c r="Z13" s="728">
        <v>0.39583333333333298</v>
      </c>
      <c r="AA13" s="729"/>
      <c r="AB13" s="728">
        <v>0.44583333333333303</v>
      </c>
      <c r="AC13" s="736">
        <f t="shared" si="2"/>
        <v>1.2000000000000011</v>
      </c>
      <c r="AD13" s="738">
        <v>92</v>
      </c>
      <c r="AE13" s="739"/>
      <c r="AF13" s="719"/>
      <c r="AG13" s="739"/>
      <c r="AH13" s="739" t="s">
        <v>145</v>
      </c>
      <c r="AI13" s="739"/>
      <c r="AJ13" s="728"/>
      <c r="AK13" s="729"/>
      <c r="AL13" s="728"/>
      <c r="AM13" s="736">
        <f t="shared" si="3"/>
        <v>0</v>
      </c>
      <c r="AN13" s="738"/>
      <c r="AO13" s="739"/>
      <c r="AP13" s="739"/>
      <c r="AQ13" s="719" t="s">
        <v>292</v>
      </c>
      <c r="AR13" s="739"/>
      <c r="AS13" s="739" t="s">
        <v>145</v>
      </c>
      <c r="AT13" s="739"/>
      <c r="AU13" s="728"/>
      <c r="AV13" s="729"/>
      <c r="AW13" s="728"/>
      <c r="AX13" s="736">
        <f t="shared" si="4"/>
        <v>0</v>
      </c>
      <c r="AY13" s="738"/>
      <c r="AZ13" s="739"/>
      <c r="BA13" s="719" t="s">
        <v>320</v>
      </c>
      <c r="BB13" s="739" t="s">
        <v>321</v>
      </c>
      <c r="BC13" s="739" t="s">
        <v>145</v>
      </c>
      <c r="BD13" s="739" t="s">
        <v>322</v>
      </c>
      <c r="BE13" s="721">
        <v>0.48263888888888901</v>
      </c>
      <c r="BF13" s="723"/>
      <c r="BG13" s="721">
        <v>0.56527777777777799</v>
      </c>
      <c r="BH13" s="736">
        <f t="shared" si="5"/>
        <v>1.9833333333333356</v>
      </c>
      <c r="BI13" s="738">
        <v>138</v>
      </c>
      <c r="BJ13" s="739"/>
      <c r="BK13" s="739" t="s">
        <v>145</v>
      </c>
      <c r="BL13" s="739"/>
      <c r="BM13" s="715"/>
      <c r="BN13" s="715"/>
      <c r="BO13" s="715"/>
      <c r="BP13" s="715"/>
      <c r="BQ13" s="715"/>
      <c r="BR13" s="715"/>
      <c r="BS13" s="715"/>
      <c r="BT13" s="715"/>
      <c r="BU13" s="715"/>
      <c r="BV13" s="715"/>
      <c r="BW13" s="786" t="s">
        <v>89</v>
      </c>
      <c r="BX13" s="782">
        <v>73</v>
      </c>
      <c r="BY13" s="780">
        <f t="shared" si="8"/>
        <v>3.3166666666666802</v>
      </c>
      <c r="BZ13" s="731">
        <f t="shared" si="14"/>
        <v>0</v>
      </c>
      <c r="CA13" s="731">
        <f t="shared" si="15"/>
        <v>0</v>
      </c>
      <c r="CB13" s="731">
        <f t="shared" si="9"/>
        <v>1.8166666666666802</v>
      </c>
      <c r="CC13" s="731">
        <f t="shared" si="10"/>
        <v>0</v>
      </c>
      <c r="CD13" s="731">
        <f t="shared" si="11"/>
        <v>0</v>
      </c>
      <c r="CE13" s="731">
        <f t="shared" si="12"/>
        <v>0</v>
      </c>
      <c r="CF13" s="731">
        <f t="shared" si="13"/>
        <v>1.5</v>
      </c>
    </row>
    <row r="14" spans="1:84" ht="15" customHeight="1">
      <c r="A14" s="722"/>
      <c r="B14" s="719"/>
      <c r="C14" s="720"/>
      <c r="D14" s="720"/>
      <c r="E14" s="720"/>
      <c r="F14" s="728"/>
      <c r="G14" s="729"/>
      <c r="H14" s="728"/>
      <c r="I14" s="736">
        <f t="shared" si="0"/>
        <v>0</v>
      </c>
      <c r="J14" s="738"/>
      <c r="K14" s="720"/>
      <c r="L14" s="719"/>
      <c r="M14" s="720"/>
      <c r="N14" s="720"/>
      <c r="O14" s="720"/>
      <c r="P14" s="728"/>
      <c r="Q14" s="729"/>
      <c r="R14" s="728"/>
      <c r="S14" s="736">
        <f t="shared" si="1"/>
        <v>0</v>
      </c>
      <c r="T14" s="738"/>
      <c r="U14" s="720"/>
      <c r="V14" s="719"/>
      <c r="W14" s="720"/>
      <c r="X14" s="720"/>
      <c r="Y14" s="720"/>
      <c r="Z14" s="728"/>
      <c r="AA14" s="729"/>
      <c r="AB14" s="728"/>
      <c r="AC14" s="736">
        <f t="shared" si="2"/>
        <v>0</v>
      </c>
      <c r="AD14" s="738"/>
      <c r="AE14" s="739"/>
      <c r="AF14" s="719"/>
      <c r="AG14" s="739"/>
      <c r="AH14" s="739" t="s">
        <v>145</v>
      </c>
      <c r="AI14" s="739"/>
      <c r="AJ14" s="728"/>
      <c r="AK14" s="729"/>
      <c r="AL14" s="728"/>
      <c r="AM14" s="736">
        <f t="shared" si="3"/>
        <v>0</v>
      </c>
      <c r="AN14" s="738"/>
      <c r="AO14" s="739"/>
      <c r="AP14" s="739"/>
      <c r="AQ14" s="719"/>
      <c r="AR14" s="739"/>
      <c r="AS14" s="739" t="s">
        <v>145</v>
      </c>
      <c r="AT14" s="739"/>
      <c r="AU14" s="728"/>
      <c r="AV14" s="729"/>
      <c r="AW14" s="728"/>
      <c r="AX14" s="736">
        <f t="shared" si="4"/>
        <v>0</v>
      </c>
      <c r="AY14" s="738"/>
      <c r="AZ14" s="739"/>
      <c r="BA14" s="719"/>
      <c r="BB14" s="739"/>
      <c r="BC14" s="739" t="s">
        <v>145</v>
      </c>
      <c r="BD14" s="739"/>
      <c r="BE14" s="721"/>
      <c r="BF14" s="723"/>
      <c r="BG14" s="721"/>
      <c r="BH14" s="736">
        <f t="shared" si="5"/>
        <v>0</v>
      </c>
      <c r="BI14" s="738"/>
      <c r="BJ14" s="739"/>
      <c r="BK14" s="739" t="s">
        <v>145</v>
      </c>
      <c r="BL14" s="739"/>
      <c r="BM14" s="715"/>
      <c r="BN14" s="715"/>
      <c r="BO14" s="715"/>
      <c r="BP14" s="715"/>
      <c r="BQ14" s="715"/>
      <c r="BR14" s="715"/>
      <c r="BS14" s="715"/>
      <c r="BT14" s="715"/>
      <c r="BU14" s="715"/>
      <c r="BV14" s="715"/>
      <c r="BW14" s="786" t="s">
        <v>91</v>
      </c>
      <c r="BX14" s="782">
        <v>78</v>
      </c>
      <c r="BY14" s="780">
        <f t="shared" si="8"/>
        <v>6</v>
      </c>
      <c r="BZ14" s="731">
        <f t="shared" si="14"/>
        <v>0</v>
      </c>
      <c r="CA14" s="731">
        <f t="shared" si="15"/>
        <v>0</v>
      </c>
      <c r="CB14" s="731">
        <f t="shared" si="9"/>
        <v>1.4166666666666723</v>
      </c>
      <c r="CC14" s="731">
        <f t="shared" si="10"/>
        <v>3</v>
      </c>
      <c r="CD14" s="731">
        <f t="shared" si="11"/>
        <v>0</v>
      </c>
      <c r="CE14" s="731">
        <f t="shared" si="12"/>
        <v>0</v>
      </c>
      <c r="CF14" s="731">
        <f t="shared" si="13"/>
        <v>1.5833333333333277</v>
      </c>
    </row>
    <row r="15" spans="1:84" ht="15.75" customHeight="1">
      <c r="A15" s="718" t="s">
        <v>323</v>
      </c>
      <c r="B15" s="719" t="s">
        <v>324</v>
      </c>
      <c r="C15" s="720" t="s">
        <v>279</v>
      </c>
      <c r="D15" s="720" t="s">
        <v>145</v>
      </c>
      <c r="E15" s="720" t="s">
        <v>297</v>
      </c>
      <c r="F15" s="721">
        <v>0.33333333333333298</v>
      </c>
      <c r="G15" s="723"/>
      <c r="H15" s="721">
        <v>0.38333333333333303</v>
      </c>
      <c r="I15" s="736">
        <f t="shared" si="0"/>
        <v>1.2000000000000011</v>
      </c>
      <c r="J15" s="737">
        <v>218</v>
      </c>
      <c r="K15" s="720"/>
      <c r="L15" s="719" t="s">
        <v>325</v>
      </c>
      <c r="M15" s="720" t="s">
        <v>279</v>
      </c>
      <c r="N15" s="720" t="s">
        <v>145</v>
      </c>
      <c r="O15" s="720" t="s">
        <v>280</v>
      </c>
      <c r="P15" s="721">
        <v>0.33333333333333298</v>
      </c>
      <c r="Q15" s="723"/>
      <c r="R15" s="721">
        <v>0.39583333333333298</v>
      </c>
      <c r="S15" s="736">
        <f t="shared" si="1"/>
        <v>1.5</v>
      </c>
      <c r="T15" s="738">
        <v>78</v>
      </c>
      <c r="U15" s="720"/>
      <c r="V15" s="719" t="s">
        <v>326</v>
      </c>
      <c r="W15" s="720" t="s">
        <v>279</v>
      </c>
      <c r="X15" s="720" t="s">
        <v>145</v>
      </c>
      <c r="Y15" s="720" t="s">
        <v>280</v>
      </c>
      <c r="Z15" s="721">
        <v>0.33333333333333298</v>
      </c>
      <c r="AA15" s="723"/>
      <c r="AB15" s="721">
        <v>0.39583333333333298</v>
      </c>
      <c r="AC15" s="736">
        <f t="shared" si="2"/>
        <v>1.5</v>
      </c>
      <c r="AD15" s="737">
        <v>237</v>
      </c>
      <c r="AE15" s="739"/>
      <c r="AF15" s="719" t="s">
        <v>315</v>
      </c>
      <c r="AG15" s="739" t="s">
        <v>279</v>
      </c>
      <c r="AH15" s="739" t="s">
        <v>145</v>
      </c>
      <c r="AI15" s="739" t="s">
        <v>284</v>
      </c>
      <c r="AJ15" s="721">
        <v>0.33333333333333298</v>
      </c>
      <c r="AK15" s="723"/>
      <c r="AL15" s="721">
        <v>0.42916666666666697</v>
      </c>
      <c r="AM15" s="736">
        <f t="shared" si="3"/>
        <v>2.3000000000000158</v>
      </c>
      <c r="AN15" s="738">
        <v>196</v>
      </c>
      <c r="AO15" s="739"/>
      <c r="AP15" s="739"/>
      <c r="AQ15" s="719" t="s">
        <v>315</v>
      </c>
      <c r="AR15" s="739" t="s">
        <v>279</v>
      </c>
      <c r="AS15" s="739" t="s">
        <v>145</v>
      </c>
      <c r="AT15" s="739" t="s">
        <v>284</v>
      </c>
      <c r="AU15" s="721">
        <v>0.33333333333333298</v>
      </c>
      <c r="AV15" s="723"/>
      <c r="AW15" s="721">
        <v>0.42916666666666697</v>
      </c>
      <c r="AX15" s="736">
        <f t="shared" si="4"/>
        <v>2.3000000000000158</v>
      </c>
      <c r="AY15" s="737">
        <v>134</v>
      </c>
      <c r="AZ15" s="739"/>
      <c r="BA15" s="753" t="s">
        <v>304</v>
      </c>
      <c r="BB15" s="739" t="s">
        <v>279</v>
      </c>
      <c r="BC15" s="739" t="s">
        <v>145</v>
      </c>
      <c r="BD15" s="917" t="s">
        <v>327</v>
      </c>
      <c r="BE15" s="721">
        <v>0.33333333333333298</v>
      </c>
      <c r="BF15" s="723"/>
      <c r="BG15" s="721">
        <v>0.45833333333333298</v>
      </c>
      <c r="BH15" s="736">
        <f t="shared" si="5"/>
        <v>3</v>
      </c>
      <c r="BI15" s="738">
        <v>222</v>
      </c>
      <c r="BJ15" s="739" t="s">
        <v>279</v>
      </c>
      <c r="BK15" s="739" t="s">
        <v>145</v>
      </c>
      <c r="BL15" s="917" t="s">
        <v>327</v>
      </c>
      <c r="BM15" s="763">
        <v>0.33333333333333298</v>
      </c>
      <c r="BN15" s="764"/>
      <c r="BO15" s="763">
        <v>0.375</v>
      </c>
      <c r="BP15" s="736">
        <f t="shared" ref="BP15:BP23" si="16">(BO15-BM15)*24</f>
        <v>1.0000000000000084</v>
      </c>
      <c r="BQ15" s="765">
        <v>213</v>
      </c>
      <c r="BR15" s="715"/>
      <c r="BS15" s="715"/>
      <c r="BT15" s="715"/>
      <c r="BU15" s="715"/>
      <c r="BV15" s="715"/>
      <c r="BW15" s="786" t="s">
        <v>92</v>
      </c>
      <c r="BX15" s="782">
        <v>84</v>
      </c>
      <c r="BY15" s="780">
        <f t="shared" si="8"/>
        <v>0</v>
      </c>
      <c r="BZ15" s="731">
        <f t="shared" si="14"/>
        <v>0</v>
      </c>
      <c r="CA15" s="731">
        <f t="shared" si="15"/>
        <v>0</v>
      </c>
      <c r="CB15" s="731">
        <f t="shared" si="9"/>
        <v>0</v>
      </c>
      <c r="CC15" s="731">
        <f t="shared" si="10"/>
        <v>0</v>
      </c>
      <c r="CD15" s="731">
        <f t="shared" si="11"/>
        <v>0</v>
      </c>
      <c r="CE15" s="731">
        <f t="shared" si="12"/>
        <v>0</v>
      </c>
      <c r="CF15" s="731">
        <f t="shared" si="13"/>
        <v>0</v>
      </c>
    </row>
    <row r="16" spans="1:84" ht="15.75" customHeight="1">
      <c r="A16" s="722"/>
      <c r="B16" s="719" t="s">
        <v>328</v>
      </c>
      <c r="C16" s="720" t="s">
        <v>318</v>
      </c>
      <c r="D16" s="720" t="s">
        <v>145</v>
      </c>
      <c r="E16" s="720" t="s">
        <v>319</v>
      </c>
      <c r="F16" s="725">
        <v>0.39583333333333298</v>
      </c>
      <c r="G16" s="723"/>
      <c r="H16" s="721">
        <v>0.44583333333333303</v>
      </c>
      <c r="I16" s="736">
        <f t="shared" si="0"/>
        <v>1.2000000000000011</v>
      </c>
      <c r="J16" s="741">
        <v>218</v>
      </c>
      <c r="K16" s="720"/>
      <c r="L16" s="719" t="s">
        <v>300</v>
      </c>
      <c r="M16" s="720" t="s">
        <v>286</v>
      </c>
      <c r="N16" s="720" t="s">
        <v>145</v>
      </c>
      <c r="O16" s="720" t="s">
        <v>287</v>
      </c>
      <c r="P16" s="725">
        <v>0.40625</v>
      </c>
      <c r="Q16" s="723"/>
      <c r="R16" s="721">
        <v>0.46875</v>
      </c>
      <c r="S16" s="736">
        <f t="shared" si="1"/>
        <v>1.5</v>
      </c>
      <c r="T16" s="739">
        <v>78</v>
      </c>
      <c r="U16" s="720"/>
      <c r="V16" s="719" t="s">
        <v>299</v>
      </c>
      <c r="W16" s="720"/>
      <c r="X16" s="720" t="s">
        <v>145</v>
      </c>
      <c r="Y16" s="720"/>
      <c r="Z16" s="725"/>
      <c r="AA16" s="723"/>
      <c r="AB16" s="721"/>
      <c r="AC16" s="736">
        <f t="shared" si="2"/>
        <v>0</v>
      </c>
      <c r="AD16" s="739"/>
      <c r="AE16" s="739"/>
      <c r="AF16" s="719" t="s">
        <v>329</v>
      </c>
      <c r="AG16" s="739" t="s">
        <v>290</v>
      </c>
      <c r="AH16" s="739" t="s">
        <v>145</v>
      </c>
      <c r="AI16" s="739" t="s">
        <v>330</v>
      </c>
      <c r="AJ16" s="725">
        <v>0.44097222222222199</v>
      </c>
      <c r="AK16" s="723"/>
      <c r="AL16" s="721">
        <v>0.50347222222222199</v>
      </c>
      <c r="AM16" s="736">
        <f t="shared" si="3"/>
        <v>1.5</v>
      </c>
      <c r="AN16" s="739">
        <v>209</v>
      </c>
      <c r="AO16" s="739"/>
      <c r="AP16" s="739"/>
      <c r="AQ16" s="719" t="s">
        <v>329</v>
      </c>
      <c r="AR16" s="739" t="s">
        <v>290</v>
      </c>
      <c r="AS16" s="739" t="s">
        <v>145</v>
      </c>
      <c r="AT16" s="739" t="s">
        <v>330</v>
      </c>
      <c r="AU16" s="725">
        <v>0.44097222222222199</v>
      </c>
      <c r="AV16" s="723"/>
      <c r="AW16" s="721">
        <v>0.50347222222222199</v>
      </c>
      <c r="AX16" s="736">
        <f t="shared" si="4"/>
        <v>1.5</v>
      </c>
      <c r="AY16" s="739">
        <v>224</v>
      </c>
      <c r="AZ16" s="739"/>
      <c r="BA16" s="719"/>
      <c r="BB16" s="739"/>
      <c r="BC16" s="739"/>
      <c r="BD16" s="739"/>
      <c r="BE16" s="757"/>
      <c r="BF16" s="757"/>
      <c r="BG16" s="757"/>
      <c r="BH16" s="736">
        <f t="shared" si="5"/>
        <v>0</v>
      </c>
      <c r="BI16" s="739"/>
      <c r="BJ16" s="739"/>
      <c r="BK16" s="739"/>
      <c r="BL16" s="739"/>
      <c r="BM16" s="763">
        <v>0.375</v>
      </c>
      <c r="BN16" s="764"/>
      <c r="BO16" s="763">
        <v>0.45833333333333298</v>
      </c>
      <c r="BP16" s="736">
        <f t="shared" si="16"/>
        <v>1.9999999999999916</v>
      </c>
      <c r="BQ16" s="765">
        <v>140</v>
      </c>
      <c r="BR16" s="715"/>
      <c r="BS16" s="715"/>
      <c r="BT16" s="715"/>
      <c r="BU16" s="715"/>
      <c r="BV16" s="715"/>
      <c r="BW16" s="786" t="s">
        <v>93</v>
      </c>
      <c r="BX16" s="782">
        <v>85</v>
      </c>
      <c r="BY16" s="780">
        <f t="shared" si="8"/>
        <v>2.4666666666666712</v>
      </c>
      <c r="BZ16" s="731">
        <f t="shared" si="14"/>
        <v>0</v>
      </c>
      <c r="CA16" s="731">
        <f t="shared" si="15"/>
        <v>1.0499999999999989</v>
      </c>
      <c r="CB16" s="731">
        <f t="shared" si="9"/>
        <v>0</v>
      </c>
      <c r="CC16" s="731">
        <f t="shared" si="10"/>
        <v>1.4166666666666723</v>
      </c>
      <c r="CD16" s="731">
        <f t="shared" si="11"/>
        <v>0</v>
      </c>
      <c r="CE16" s="731">
        <f t="shared" si="12"/>
        <v>0</v>
      </c>
      <c r="CF16" s="731">
        <f t="shared" si="13"/>
        <v>0</v>
      </c>
    </row>
    <row r="17" spans="1:84" ht="15.75" customHeight="1">
      <c r="A17" s="722"/>
      <c r="B17" s="719"/>
      <c r="C17" s="720"/>
      <c r="D17" s="720"/>
      <c r="E17" s="720"/>
      <c r="F17" s="724"/>
      <c r="G17" s="724"/>
      <c r="H17" s="724"/>
      <c r="I17" s="736">
        <f t="shared" si="0"/>
        <v>0</v>
      </c>
      <c r="J17" s="739"/>
      <c r="K17" s="720"/>
      <c r="L17" s="719"/>
      <c r="M17" s="720"/>
      <c r="N17" s="720"/>
      <c r="O17" s="720"/>
      <c r="P17" s="724"/>
      <c r="Q17" s="724"/>
      <c r="R17" s="724"/>
      <c r="S17" s="736">
        <f t="shared" si="1"/>
        <v>0</v>
      </c>
      <c r="T17" s="739"/>
      <c r="U17" s="720"/>
      <c r="V17" s="719"/>
      <c r="W17" s="720"/>
      <c r="X17" s="720"/>
      <c r="Y17" s="720"/>
      <c r="Z17" s="724"/>
      <c r="AA17" s="724"/>
      <c r="AB17" s="724"/>
      <c r="AC17" s="736">
        <f t="shared" si="2"/>
        <v>0</v>
      </c>
      <c r="AD17" s="739"/>
      <c r="AE17" s="739"/>
      <c r="AF17" s="719"/>
      <c r="AG17" s="739"/>
      <c r="AH17" s="739" t="s">
        <v>145</v>
      </c>
      <c r="AI17" s="739"/>
      <c r="AJ17" s="724"/>
      <c r="AK17" s="724"/>
      <c r="AL17" s="724"/>
      <c r="AM17" s="736">
        <f t="shared" si="3"/>
        <v>0</v>
      </c>
      <c r="AN17" s="739"/>
      <c r="AO17" s="739"/>
      <c r="AP17" s="739"/>
      <c r="AQ17" s="719"/>
      <c r="AR17" s="739"/>
      <c r="AS17" s="739" t="s">
        <v>145</v>
      </c>
      <c r="AT17" s="739"/>
      <c r="AU17" s="724"/>
      <c r="AV17" s="724"/>
      <c r="AW17" s="724"/>
      <c r="AX17" s="736">
        <f t="shared" si="4"/>
        <v>0</v>
      </c>
      <c r="AY17" s="739"/>
      <c r="AZ17" s="739"/>
      <c r="BA17" s="719"/>
      <c r="BB17" s="739"/>
      <c r="BC17" s="739"/>
      <c r="BD17" s="739"/>
      <c r="BE17" s="757"/>
      <c r="BF17" s="757"/>
      <c r="BG17" s="757"/>
      <c r="BH17" s="736">
        <f t="shared" si="5"/>
        <v>0</v>
      </c>
      <c r="BI17" s="739"/>
      <c r="BJ17" s="739"/>
      <c r="BK17" s="739"/>
      <c r="BL17" s="739"/>
      <c r="BM17" s="715"/>
      <c r="BN17" s="715"/>
      <c r="BO17" s="715"/>
      <c r="BP17" s="736">
        <f t="shared" si="16"/>
        <v>0</v>
      </c>
      <c r="BQ17" s="715"/>
      <c r="BR17" s="715"/>
      <c r="BS17" s="715"/>
      <c r="BT17" s="715"/>
      <c r="BU17" s="715"/>
      <c r="BV17" s="715"/>
      <c r="BW17" s="785" t="s">
        <v>94</v>
      </c>
      <c r="BX17" s="782">
        <v>86</v>
      </c>
      <c r="BY17" s="780">
        <f t="shared" si="8"/>
        <v>0</v>
      </c>
      <c r="BZ17" s="731">
        <f t="shared" si="14"/>
        <v>0</v>
      </c>
      <c r="CA17" s="731">
        <f t="shared" si="15"/>
        <v>0</v>
      </c>
      <c r="CB17" s="731">
        <f t="shared" si="9"/>
        <v>0</v>
      </c>
      <c r="CC17" s="731">
        <f t="shared" si="10"/>
        <v>0</v>
      </c>
      <c r="CD17" s="731">
        <f t="shared" si="11"/>
        <v>0</v>
      </c>
      <c r="CE17" s="731">
        <f t="shared" si="12"/>
        <v>0</v>
      </c>
      <c r="CF17" s="731">
        <f t="shared" si="13"/>
        <v>0</v>
      </c>
    </row>
    <row r="18" spans="1:84" ht="15" customHeight="1">
      <c r="A18" s="718" t="s">
        <v>331</v>
      </c>
      <c r="B18" s="719" t="s">
        <v>332</v>
      </c>
      <c r="C18" s="720" t="s">
        <v>279</v>
      </c>
      <c r="D18" s="720" t="s">
        <v>145</v>
      </c>
      <c r="E18" s="720" t="s">
        <v>280</v>
      </c>
      <c r="F18" s="721">
        <v>0.33333333333333298</v>
      </c>
      <c r="G18" s="723"/>
      <c r="H18" s="721">
        <v>0.39583333333333298</v>
      </c>
      <c r="I18" s="736">
        <f t="shared" si="0"/>
        <v>1.5</v>
      </c>
      <c r="J18" s="738">
        <v>91</v>
      </c>
      <c r="K18" s="720"/>
      <c r="L18" s="719" t="s">
        <v>333</v>
      </c>
      <c r="M18" s="720" t="s">
        <v>279</v>
      </c>
      <c r="N18" s="720" t="s">
        <v>145</v>
      </c>
      <c r="O18" s="720" t="s">
        <v>297</v>
      </c>
      <c r="P18" s="721">
        <v>0.33333333333333298</v>
      </c>
      <c r="Q18" s="723"/>
      <c r="R18" s="721">
        <v>0.38333333333333303</v>
      </c>
      <c r="S18" s="736">
        <f t="shared" si="1"/>
        <v>1.2000000000000011</v>
      </c>
      <c r="T18" s="738">
        <v>90</v>
      </c>
      <c r="U18" s="720"/>
      <c r="V18" s="719" t="s">
        <v>334</v>
      </c>
      <c r="W18" s="720" t="s">
        <v>279</v>
      </c>
      <c r="X18" s="720" t="s">
        <v>145</v>
      </c>
      <c r="Y18" s="720" t="s">
        <v>297</v>
      </c>
      <c r="Z18" s="721">
        <v>0.33333333333333298</v>
      </c>
      <c r="AA18" s="723"/>
      <c r="AB18" s="721">
        <v>0.38333333333333303</v>
      </c>
      <c r="AC18" s="736">
        <f t="shared" si="2"/>
        <v>1.2000000000000011</v>
      </c>
      <c r="AD18" s="738">
        <v>137</v>
      </c>
      <c r="AE18" s="739"/>
      <c r="AF18" s="720" t="s">
        <v>305</v>
      </c>
      <c r="AG18" s="739" t="s">
        <v>279</v>
      </c>
      <c r="AH18" s="739" t="s">
        <v>145</v>
      </c>
      <c r="AI18" s="916" t="s">
        <v>335</v>
      </c>
      <c r="AJ18" s="721">
        <v>0.33333333333333298</v>
      </c>
      <c r="AK18" s="723"/>
      <c r="AL18" s="721">
        <v>0.38541666666666702</v>
      </c>
      <c r="AM18" s="736">
        <f t="shared" si="3"/>
        <v>1.2500000000000169</v>
      </c>
      <c r="AN18" s="738">
        <v>240</v>
      </c>
      <c r="AO18" s="739"/>
      <c r="AP18" s="739"/>
      <c r="AQ18" s="719" t="s">
        <v>336</v>
      </c>
      <c r="AR18" s="739" t="s">
        <v>279</v>
      </c>
      <c r="AS18" s="739" t="s">
        <v>145</v>
      </c>
      <c r="AT18" s="739" t="s">
        <v>327</v>
      </c>
      <c r="AU18" s="721">
        <v>0.33333333333333298</v>
      </c>
      <c r="AV18" s="723"/>
      <c r="AW18" s="721">
        <v>0.39583333333333298</v>
      </c>
      <c r="AX18" s="736">
        <f t="shared" si="4"/>
        <v>1.5</v>
      </c>
      <c r="AY18" s="738">
        <v>181</v>
      </c>
      <c r="AZ18" s="739"/>
      <c r="BA18" s="754" t="s">
        <v>337</v>
      </c>
      <c r="BB18" s="739" t="s">
        <v>279</v>
      </c>
      <c r="BC18" s="739" t="s">
        <v>145</v>
      </c>
      <c r="BD18" s="739" t="s">
        <v>338</v>
      </c>
      <c r="BE18" s="721">
        <v>0.33333333333333298</v>
      </c>
      <c r="BF18" s="723"/>
      <c r="BG18" s="721">
        <v>0.41666666666666702</v>
      </c>
      <c r="BH18" s="736">
        <f t="shared" si="5"/>
        <v>2.0000000000000169</v>
      </c>
      <c r="BI18" s="738">
        <v>92</v>
      </c>
      <c r="BJ18" s="739" t="s">
        <v>279</v>
      </c>
      <c r="BK18" s="739" t="s">
        <v>145</v>
      </c>
      <c r="BL18" s="739" t="s">
        <v>339</v>
      </c>
      <c r="BM18" s="766">
        <v>0.33333333333333298</v>
      </c>
      <c r="BN18" s="767"/>
      <c r="BO18" s="766">
        <v>0.41666666666666702</v>
      </c>
      <c r="BP18" s="736">
        <f t="shared" si="16"/>
        <v>2.0000000000000169</v>
      </c>
      <c r="BQ18" s="768">
        <v>140</v>
      </c>
      <c r="BR18" s="715"/>
      <c r="BS18" s="715"/>
      <c r="BT18" s="715"/>
      <c r="BU18" s="715"/>
      <c r="BV18" s="715"/>
      <c r="BW18" s="786" t="s">
        <v>95</v>
      </c>
      <c r="BX18" s="784">
        <v>90</v>
      </c>
      <c r="BY18" s="780">
        <f t="shared" si="8"/>
        <v>2.4000000000000021</v>
      </c>
      <c r="BZ18" s="731">
        <f t="shared" si="14"/>
        <v>0</v>
      </c>
      <c r="CA18" s="731">
        <f t="shared" si="15"/>
        <v>0</v>
      </c>
      <c r="CB18" s="731">
        <f t="shared" si="9"/>
        <v>0</v>
      </c>
      <c r="CC18" s="731">
        <f t="shared" si="10"/>
        <v>2.4000000000000021</v>
      </c>
      <c r="CD18" s="731">
        <f t="shared" si="11"/>
        <v>0</v>
      </c>
      <c r="CE18" s="731">
        <f t="shared" si="12"/>
        <v>0</v>
      </c>
      <c r="CF18" s="731">
        <f t="shared" si="13"/>
        <v>0</v>
      </c>
    </row>
    <row r="19" spans="1:84" ht="17.25" customHeight="1">
      <c r="A19" s="722"/>
      <c r="B19" s="719" t="s">
        <v>300</v>
      </c>
      <c r="C19" s="720" t="s">
        <v>286</v>
      </c>
      <c r="D19" s="720" t="s">
        <v>145</v>
      </c>
      <c r="E19" s="720" t="s">
        <v>287</v>
      </c>
      <c r="F19" s="728">
        <v>0.40625</v>
      </c>
      <c r="G19" s="729"/>
      <c r="H19" s="728">
        <v>0.46875</v>
      </c>
      <c r="I19" s="736">
        <f t="shared" si="0"/>
        <v>1.5</v>
      </c>
      <c r="J19" s="738">
        <v>91</v>
      </c>
      <c r="K19" s="720"/>
      <c r="L19" s="719" t="s">
        <v>328</v>
      </c>
      <c r="M19" s="720" t="s">
        <v>318</v>
      </c>
      <c r="N19" s="720" t="s">
        <v>145</v>
      </c>
      <c r="O19" s="720" t="s">
        <v>319</v>
      </c>
      <c r="P19" s="728">
        <v>0.39583333333333298</v>
      </c>
      <c r="Q19" s="729"/>
      <c r="R19" s="728">
        <v>0.44583333333333303</v>
      </c>
      <c r="S19" s="736">
        <f t="shared" si="1"/>
        <v>1.2000000000000011</v>
      </c>
      <c r="T19" s="738">
        <v>90</v>
      </c>
      <c r="U19" s="720"/>
      <c r="V19" s="719" t="s">
        <v>328</v>
      </c>
      <c r="W19" s="720" t="s">
        <v>318</v>
      </c>
      <c r="X19" s="720" t="s">
        <v>145</v>
      </c>
      <c r="Y19" s="720" t="s">
        <v>319</v>
      </c>
      <c r="Z19" s="728">
        <v>0.39583333333333298</v>
      </c>
      <c r="AA19" s="729"/>
      <c r="AB19" s="728">
        <v>0.44583333333333303</v>
      </c>
      <c r="AC19" s="736">
        <f t="shared" si="2"/>
        <v>1.2000000000000011</v>
      </c>
      <c r="AD19" s="738">
        <v>137</v>
      </c>
      <c r="AE19" s="739"/>
      <c r="AF19" s="716"/>
      <c r="AG19" s="739"/>
      <c r="AH19" s="739" t="s">
        <v>145</v>
      </c>
      <c r="AI19" s="739"/>
      <c r="AJ19" s="728"/>
      <c r="AK19" s="729"/>
      <c r="AL19" s="728"/>
      <c r="AM19" s="736">
        <f t="shared" si="3"/>
        <v>0</v>
      </c>
      <c r="AN19" s="738"/>
      <c r="AO19" s="739"/>
      <c r="AP19" s="739"/>
      <c r="AQ19" s="719" t="s">
        <v>340</v>
      </c>
      <c r="AR19" s="739"/>
      <c r="AS19" s="739" t="s">
        <v>145</v>
      </c>
      <c r="AT19" s="739"/>
      <c r="AU19" s="721">
        <v>0.39583333333333298</v>
      </c>
      <c r="AV19" s="723"/>
      <c r="AW19" s="721">
        <v>0.45833333333333298</v>
      </c>
      <c r="AX19" s="736">
        <f t="shared" si="4"/>
        <v>1.5</v>
      </c>
      <c r="AY19" s="738">
        <v>153</v>
      </c>
      <c r="AZ19" s="739"/>
      <c r="BA19" s="755" t="s">
        <v>341</v>
      </c>
      <c r="BB19" s="739"/>
      <c r="BC19" s="739" t="s">
        <v>145</v>
      </c>
      <c r="BD19" s="739"/>
      <c r="BE19" s="721">
        <v>0.41666666666666702</v>
      </c>
      <c r="BF19" s="723"/>
      <c r="BG19" s="721">
        <v>0.5</v>
      </c>
      <c r="BH19" s="736">
        <f t="shared" si="5"/>
        <v>1.9999999999999916</v>
      </c>
      <c r="BI19" s="738">
        <v>4</v>
      </c>
      <c r="BJ19" s="739"/>
      <c r="BK19" s="739" t="s">
        <v>145</v>
      </c>
      <c r="BL19" s="739"/>
      <c r="BM19" s="763">
        <v>0.41666666666666702</v>
      </c>
      <c r="BN19" s="764"/>
      <c r="BO19" s="763">
        <v>0.52083333333333304</v>
      </c>
      <c r="BP19" s="736">
        <f t="shared" si="16"/>
        <v>2.4999999999999845</v>
      </c>
      <c r="BQ19" s="765">
        <v>25</v>
      </c>
      <c r="BR19" s="715"/>
      <c r="BS19" s="715"/>
      <c r="BT19" s="715"/>
      <c r="BU19" s="715"/>
      <c r="BV19" s="715"/>
      <c r="BW19" s="774" t="s">
        <v>97</v>
      </c>
      <c r="BX19" s="782">
        <v>91</v>
      </c>
      <c r="BY19" s="780">
        <f t="shared" si="8"/>
        <v>7.8166666666666806</v>
      </c>
      <c r="BZ19" s="731">
        <f t="shared" si="14"/>
        <v>3.3166666666666802</v>
      </c>
      <c r="CA19" s="731">
        <f t="shared" si="15"/>
        <v>0</v>
      </c>
      <c r="CB19" s="731">
        <f t="shared" si="9"/>
        <v>4.5</v>
      </c>
      <c r="CC19" s="731">
        <f t="shared" si="10"/>
        <v>0</v>
      </c>
      <c r="CD19" s="731">
        <f t="shared" si="11"/>
        <v>0</v>
      </c>
      <c r="CE19" s="731">
        <f t="shared" si="12"/>
        <v>0</v>
      </c>
      <c r="CF19" s="731">
        <f t="shared" si="13"/>
        <v>0</v>
      </c>
    </row>
    <row r="20" spans="1:84" ht="16.5" customHeight="1">
      <c r="A20" s="722"/>
      <c r="B20" s="719"/>
      <c r="C20" s="720"/>
      <c r="D20" s="720"/>
      <c r="E20" s="720"/>
      <c r="F20" s="728"/>
      <c r="G20" s="729"/>
      <c r="H20" s="728"/>
      <c r="I20" s="736">
        <f t="shared" si="0"/>
        <v>0</v>
      </c>
      <c r="J20" s="738"/>
      <c r="K20" s="720"/>
      <c r="L20" s="719"/>
      <c r="M20" s="720"/>
      <c r="N20" s="720"/>
      <c r="O20" s="720"/>
      <c r="P20" s="728"/>
      <c r="Q20" s="729"/>
      <c r="R20" s="728"/>
      <c r="S20" s="736">
        <f t="shared" si="1"/>
        <v>0</v>
      </c>
      <c r="T20" s="738"/>
      <c r="U20" s="720"/>
      <c r="V20" s="719"/>
      <c r="W20" s="720"/>
      <c r="X20" s="720"/>
      <c r="Y20" s="720"/>
      <c r="Z20" s="728"/>
      <c r="AA20" s="729"/>
      <c r="AB20" s="728"/>
      <c r="AC20" s="736">
        <f t="shared" si="2"/>
        <v>0</v>
      </c>
      <c r="AD20" s="738"/>
      <c r="AE20" s="739"/>
      <c r="AF20" s="716"/>
      <c r="AG20" s="739"/>
      <c r="AH20" s="739" t="s">
        <v>145</v>
      </c>
      <c r="AI20" s="739"/>
      <c r="AJ20" s="728"/>
      <c r="AK20" s="729"/>
      <c r="AL20" s="728"/>
      <c r="AM20" s="736">
        <f t="shared" si="3"/>
        <v>0</v>
      </c>
      <c r="AN20" s="738"/>
      <c r="AO20" s="739"/>
      <c r="AP20" s="739"/>
      <c r="AQ20" s="719" t="s">
        <v>342</v>
      </c>
      <c r="AR20" s="739"/>
      <c r="AS20" s="739" t="s">
        <v>145</v>
      </c>
      <c r="AT20" s="739"/>
      <c r="AU20" s="728"/>
      <c r="AV20" s="729"/>
      <c r="AW20" s="728"/>
      <c r="AX20" s="736">
        <f t="shared" si="4"/>
        <v>0</v>
      </c>
      <c r="AY20" s="738"/>
      <c r="AZ20" s="739"/>
      <c r="BA20" s="754"/>
      <c r="BB20" s="739"/>
      <c r="BC20" s="739" t="s">
        <v>145</v>
      </c>
      <c r="BD20" s="739"/>
      <c r="BE20" s="721">
        <v>0.5</v>
      </c>
      <c r="BF20" s="723"/>
      <c r="BG20" s="721">
        <v>0.59652777777777799</v>
      </c>
      <c r="BH20" s="736">
        <f t="shared" si="5"/>
        <v>2.3166666666666718</v>
      </c>
      <c r="BI20" s="738">
        <v>222</v>
      </c>
      <c r="BJ20" s="739"/>
      <c r="BK20" s="739" t="s">
        <v>145</v>
      </c>
      <c r="BL20" s="739"/>
      <c r="BM20" s="769">
        <v>0.52083333333333304</v>
      </c>
      <c r="BN20" s="770"/>
      <c r="BO20" s="769">
        <v>0.56458333333333299</v>
      </c>
      <c r="BP20" s="736">
        <f t="shared" si="16"/>
        <v>1.0499999999999989</v>
      </c>
      <c r="BQ20" s="752">
        <v>85</v>
      </c>
      <c r="BR20" s="715"/>
      <c r="BS20" s="715"/>
      <c r="BT20" s="715"/>
      <c r="BU20" s="715"/>
      <c r="BV20" s="715"/>
      <c r="BW20" s="781" t="s">
        <v>98</v>
      </c>
      <c r="BX20" s="782">
        <v>92</v>
      </c>
      <c r="BY20" s="780">
        <f t="shared" ref="BY20:BY36" si="17">SUM(BZ20:CF20)</f>
        <v>6.4833333333333654</v>
      </c>
      <c r="BZ20" s="731">
        <f t="shared" si="14"/>
        <v>2.0000000000000169</v>
      </c>
      <c r="CA20" s="731">
        <f t="shared" si="15"/>
        <v>0</v>
      </c>
      <c r="CB20" s="731">
        <f t="shared" si="9"/>
        <v>0</v>
      </c>
      <c r="CC20" s="731">
        <f t="shared" si="10"/>
        <v>0</v>
      </c>
      <c r="CD20" s="731">
        <f t="shared" si="11"/>
        <v>4.4833333333333485</v>
      </c>
      <c r="CE20" s="731">
        <f t="shared" si="12"/>
        <v>0</v>
      </c>
      <c r="CF20" s="731">
        <f t="shared" si="13"/>
        <v>0</v>
      </c>
    </row>
    <row r="21" spans="1:84" ht="16.5" customHeight="1">
      <c r="A21" s="718" t="s">
        <v>343</v>
      </c>
      <c r="B21" s="719" t="s">
        <v>344</v>
      </c>
      <c r="C21" s="720" t="s">
        <v>279</v>
      </c>
      <c r="D21" s="720" t="s">
        <v>145</v>
      </c>
      <c r="E21" s="720" t="s">
        <v>297</v>
      </c>
      <c r="F21" s="721">
        <v>0.33333333333333298</v>
      </c>
      <c r="G21" s="723"/>
      <c r="H21" s="721">
        <v>0.38333333333333303</v>
      </c>
      <c r="I21" s="736">
        <f t="shared" si="0"/>
        <v>1.2000000000000011</v>
      </c>
      <c r="J21" s="739">
        <v>206</v>
      </c>
      <c r="K21" s="720"/>
      <c r="L21" s="719" t="s">
        <v>345</v>
      </c>
      <c r="M21" s="720" t="s">
        <v>279</v>
      </c>
      <c r="N21" s="720" t="s">
        <v>145</v>
      </c>
      <c r="O21" s="720" t="s">
        <v>346</v>
      </c>
      <c r="P21" s="721">
        <v>0.33333333333333298</v>
      </c>
      <c r="Q21" s="723"/>
      <c r="R21" s="721">
        <v>0.36458333333333298</v>
      </c>
      <c r="S21" s="736">
        <f t="shared" si="1"/>
        <v>0.75</v>
      </c>
      <c r="T21" s="741">
        <v>85</v>
      </c>
      <c r="U21" s="720"/>
      <c r="V21" s="719" t="s">
        <v>347</v>
      </c>
      <c r="W21" s="720" t="s">
        <v>279</v>
      </c>
      <c r="X21" s="720" t="s">
        <v>145</v>
      </c>
      <c r="Y21" s="720" t="s">
        <v>297</v>
      </c>
      <c r="Z21" s="721">
        <v>0.33333333333333298</v>
      </c>
      <c r="AA21" s="723"/>
      <c r="AB21" s="721">
        <v>0.38333333333333303</v>
      </c>
      <c r="AC21" s="736">
        <f t="shared" si="2"/>
        <v>1.2000000000000011</v>
      </c>
      <c r="AD21" s="739">
        <v>208</v>
      </c>
      <c r="AE21" s="739"/>
      <c r="AF21" s="719" t="s">
        <v>348</v>
      </c>
      <c r="AG21" s="739" t="s">
        <v>279</v>
      </c>
      <c r="AH21" s="739" t="s">
        <v>145</v>
      </c>
      <c r="AI21" s="739" t="s">
        <v>284</v>
      </c>
      <c r="AJ21" s="721">
        <v>0.33333333333333298</v>
      </c>
      <c r="AK21" s="723"/>
      <c r="AL21" s="721">
        <v>0.42916666666666697</v>
      </c>
      <c r="AM21" s="736">
        <f t="shared" si="3"/>
        <v>2.3000000000000158</v>
      </c>
      <c r="AN21" s="738">
        <v>120</v>
      </c>
      <c r="AO21" s="739"/>
      <c r="AP21" s="739"/>
      <c r="AQ21" s="750" t="s">
        <v>349</v>
      </c>
      <c r="AR21" s="746" t="s">
        <v>279</v>
      </c>
      <c r="AS21" s="746" t="s">
        <v>145</v>
      </c>
      <c r="AT21" s="918" t="s">
        <v>350</v>
      </c>
      <c r="AU21" s="721">
        <v>0.33333333333333298</v>
      </c>
      <c r="AV21" s="723"/>
      <c r="AW21" s="721">
        <v>0.53958333333333297</v>
      </c>
      <c r="AX21" s="736">
        <f t="shared" si="4"/>
        <v>4.9499999999999993</v>
      </c>
      <c r="AY21" s="917" t="s">
        <v>146</v>
      </c>
      <c r="AZ21" s="739"/>
      <c r="BA21" s="754" t="s">
        <v>351</v>
      </c>
      <c r="BB21" s="739" t="s">
        <v>279</v>
      </c>
      <c r="BC21" s="739" t="s">
        <v>145</v>
      </c>
      <c r="BD21" s="917" t="s">
        <v>352</v>
      </c>
      <c r="BE21" s="721">
        <v>0.33333333333333298</v>
      </c>
      <c r="BF21" s="723"/>
      <c r="BG21" s="721">
        <v>0.46111111111111103</v>
      </c>
      <c r="BH21" s="736">
        <f t="shared" si="5"/>
        <v>3.0666666666666731</v>
      </c>
      <c r="BI21" s="738">
        <v>37</v>
      </c>
      <c r="BJ21" s="746" t="s">
        <v>279</v>
      </c>
      <c r="BK21" s="746" t="s">
        <v>145</v>
      </c>
      <c r="BL21" s="919" t="s">
        <v>353</v>
      </c>
      <c r="BM21" s="771">
        <v>0.33333333333333298</v>
      </c>
      <c r="BN21" s="772"/>
      <c r="BO21" s="771">
        <v>0.41666666666666702</v>
      </c>
      <c r="BP21" s="736">
        <f t="shared" si="16"/>
        <v>2.0000000000000169</v>
      </c>
      <c r="BQ21" s="773">
        <v>140</v>
      </c>
      <c r="BR21" s="715"/>
      <c r="BS21" s="715"/>
      <c r="BT21" s="715"/>
      <c r="BU21" s="715"/>
      <c r="BV21" s="715"/>
      <c r="BW21" s="781" t="s">
        <v>99</v>
      </c>
      <c r="BX21" s="782">
        <v>102</v>
      </c>
      <c r="BY21" s="780">
        <f t="shared" si="17"/>
        <v>3.4000000000000092</v>
      </c>
      <c r="BZ21" s="731">
        <f t="shared" si="14"/>
        <v>0</v>
      </c>
      <c r="CA21" s="731">
        <f t="shared" si="15"/>
        <v>0</v>
      </c>
      <c r="CB21" s="731">
        <f t="shared" si="9"/>
        <v>0</v>
      </c>
      <c r="CC21" s="731">
        <f t="shared" si="10"/>
        <v>0</v>
      </c>
      <c r="CD21" s="731">
        <f t="shared" si="11"/>
        <v>0</v>
      </c>
      <c r="CE21" s="731">
        <f t="shared" si="12"/>
        <v>3.4000000000000092</v>
      </c>
      <c r="CF21" s="731">
        <f t="shared" si="13"/>
        <v>0</v>
      </c>
    </row>
    <row r="22" spans="1:84" ht="16.5" customHeight="1">
      <c r="A22" s="722"/>
      <c r="B22" s="719" t="s">
        <v>354</v>
      </c>
      <c r="C22" s="720" t="s">
        <v>318</v>
      </c>
      <c r="D22" s="720" t="s">
        <v>145</v>
      </c>
      <c r="E22" s="720" t="s">
        <v>355</v>
      </c>
      <c r="F22" s="725">
        <v>0.39583333333333298</v>
      </c>
      <c r="G22" s="723"/>
      <c r="H22" s="721">
        <v>0.43263888888888902</v>
      </c>
      <c r="I22" s="736">
        <f t="shared" si="0"/>
        <v>0.88333333333334485</v>
      </c>
      <c r="J22" s="739">
        <v>206</v>
      </c>
      <c r="K22" s="720"/>
      <c r="L22" s="719" t="s">
        <v>356</v>
      </c>
      <c r="M22" s="742">
        <v>0.37152777777777801</v>
      </c>
      <c r="N22" s="720" t="s">
        <v>145</v>
      </c>
      <c r="O22" s="720" t="s">
        <v>357</v>
      </c>
      <c r="P22" s="728">
        <v>0.36458333333333298</v>
      </c>
      <c r="Q22" s="729"/>
      <c r="R22" s="728">
        <v>0.39236111111111099</v>
      </c>
      <c r="S22" s="736">
        <f t="shared" si="1"/>
        <v>0.66666666666667229</v>
      </c>
      <c r="T22" s="741">
        <v>85</v>
      </c>
      <c r="U22" s="720"/>
      <c r="V22" s="719" t="s">
        <v>358</v>
      </c>
      <c r="W22" s="720" t="s">
        <v>318</v>
      </c>
      <c r="X22" s="720" t="s">
        <v>145</v>
      </c>
      <c r="Y22" s="720" t="s">
        <v>319</v>
      </c>
      <c r="Z22" s="728">
        <v>0.39583333333333298</v>
      </c>
      <c r="AA22" s="729"/>
      <c r="AB22" s="728">
        <v>0.44583333333333303</v>
      </c>
      <c r="AC22" s="736">
        <f t="shared" si="2"/>
        <v>1.2000000000000011</v>
      </c>
      <c r="AD22" s="739">
        <v>208</v>
      </c>
      <c r="AE22" s="739"/>
      <c r="AF22" s="719"/>
      <c r="AG22" s="739"/>
      <c r="AH22" s="739" t="s">
        <v>145</v>
      </c>
      <c r="AI22" s="739"/>
      <c r="AJ22" s="724"/>
      <c r="AK22" s="724"/>
      <c r="AL22" s="724"/>
      <c r="AM22" s="736">
        <f t="shared" si="3"/>
        <v>0</v>
      </c>
      <c r="AN22" s="739"/>
      <c r="AO22" s="739"/>
      <c r="AP22" s="739"/>
      <c r="AQ22" s="740"/>
      <c r="AR22" s="739"/>
      <c r="AS22" s="739" t="s">
        <v>145</v>
      </c>
      <c r="AT22" s="739"/>
      <c r="AU22" s="724"/>
      <c r="AV22" s="724"/>
      <c r="AW22" s="724"/>
      <c r="AX22" s="736">
        <f t="shared" si="4"/>
        <v>0</v>
      </c>
      <c r="AY22" s="739"/>
      <c r="AZ22" s="739"/>
      <c r="BA22" s="755" t="s">
        <v>359</v>
      </c>
      <c r="BB22" s="739"/>
      <c r="BC22" s="739" t="s">
        <v>145</v>
      </c>
      <c r="BD22" s="739"/>
      <c r="BE22" s="757"/>
      <c r="BF22" s="757"/>
      <c r="BG22" s="757"/>
      <c r="BH22" s="736">
        <f t="shared" si="5"/>
        <v>0</v>
      </c>
      <c r="BI22" s="739"/>
      <c r="BJ22" s="739"/>
      <c r="BK22" s="739" t="s">
        <v>145</v>
      </c>
      <c r="BL22" s="739"/>
      <c r="BM22" s="763">
        <v>0.41666666666666702</v>
      </c>
      <c r="BN22" s="764"/>
      <c r="BO22" s="763">
        <v>0.5</v>
      </c>
      <c r="BP22" s="736">
        <f t="shared" si="16"/>
        <v>1.9999999999999916</v>
      </c>
      <c r="BQ22" s="765">
        <v>25</v>
      </c>
      <c r="BR22" s="715"/>
      <c r="BS22" s="715"/>
      <c r="BT22" s="715"/>
      <c r="BU22" s="715"/>
      <c r="BV22" s="715"/>
      <c r="BW22" s="781" t="s">
        <v>104</v>
      </c>
      <c r="BX22" s="782">
        <v>103</v>
      </c>
      <c r="BY22" s="780">
        <f t="shared" si="17"/>
        <v>4.6500000000000021</v>
      </c>
      <c r="BZ22" s="731">
        <f t="shared" si="14"/>
        <v>0</v>
      </c>
      <c r="CA22" s="731">
        <f t="shared" si="15"/>
        <v>0</v>
      </c>
      <c r="CB22" s="731">
        <f t="shared" si="9"/>
        <v>1.5</v>
      </c>
      <c r="CC22" s="731">
        <f t="shared" si="10"/>
        <v>0</v>
      </c>
      <c r="CD22" s="731">
        <f t="shared" si="11"/>
        <v>3.1500000000000021</v>
      </c>
      <c r="CE22" s="731">
        <f t="shared" si="12"/>
        <v>0</v>
      </c>
      <c r="CF22" s="731">
        <f t="shared" si="13"/>
        <v>0</v>
      </c>
    </row>
    <row r="23" spans="1:84" ht="17.25" customHeight="1">
      <c r="A23" s="722"/>
      <c r="B23" s="719"/>
      <c r="C23" s="720"/>
      <c r="D23" s="720"/>
      <c r="E23" s="720"/>
      <c r="F23" s="724"/>
      <c r="G23" s="724"/>
      <c r="H23" s="724"/>
      <c r="I23" s="736">
        <f t="shared" si="0"/>
        <v>0</v>
      </c>
      <c r="J23" s="739"/>
      <c r="K23" s="720"/>
      <c r="L23" s="719"/>
      <c r="M23" s="720"/>
      <c r="N23" s="720"/>
      <c r="O23" s="720"/>
      <c r="P23" s="724"/>
      <c r="Q23" s="724"/>
      <c r="R23" s="724"/>
      <c r="S23" s="736">
        <f t="shared" si="1"/>
        <v>0</v>
      </c>
      <c r="T23" s="739"/>
      <c r="U23" s="720"/>
      <c r="V23" s="719"/>
      <c r="W23" s="720"/>
      <c r="X23" s="720"/>
      <c r="Y23" s="720"/>
      <c r="Z23" s="724"/>
      <c r="AA23" s="724"/>
      <c r="AB23" s="724"/>
      <c r="AC23" s="736">
        <f t="shared" si="2"/>
        <v>0</v>
      </c>
      <c r="AD23" s="739"/>
      <c r="AE23" s="739"/>
      <c r="AF23" s="719"/>
      <c r="AG23" s="739"/>
      <c r="AH23" s="739" t="s">
        <v>145</v>
      </c>
      <c r="AI23" s="739"/>
      <c r="AJ23" s="724"/>
      <c r="AK23" s="724"/>
      <c r="AL23" s="724"/>
      <c r="AM23" s="736">
        <f t="shared" si="3"/>
        <v>0</v>
      </c>
      <c r="AN23" s="739"/>
      <c r="AO23" s="739"/>
      <c r="AP23" s="739"/>
      <c r="AQ23" s="740"/>
      <c r="AR23" s="739"/>
      <c r="AS23" s="739" t="s">
        <v>145</v>
      </c>
      <c r="AT23" s="739"/>
      <c r="AU23" s="724"/>
      <c r="AV23" s="724"/>
      <c r="AW23" s="724"/>
      <c r="AX23" s="736">
        <f t="shared" si="4"/>
        <v>0</v>
      </c>
      <c r="AY23" s="739"/>
      <c r="AZ23" s="739"/>
      <c r="BA23" s="719"/>
      <c r="BB23" s="739"/>
      <c r="BC23" s="739" t="s">
        <v>145</v>
      </c>
      <c r="BD23" s="739"/>
      <c r="BE23" s="757"/>
      <c r="BF23" s="757"/>
      <c r="BG23" s="757"/>
      <c r="BH23" s="736">
        <f t="shared" si="5"/>
        <v>0</v>
      </c>
      <c r="BI23" s="739"/>
      <c r="BJ23" s="739"/>
      <c r="BK23" s="739" t="s">
        <v>145</v>
      </c>
      <c r="BL23" s="739"/>
      <c r="BM23" s="769">
        <v>0.5</v>
      </c>
      <c r="BN23" s="770"/>
      <c r="BO23" s="769">
        <v>0.57013888888888897</v>
      </c>
      <c r="BP23" s="736">
        <f t="shared" si="16"/>
        <v>1.6833333333333353</v>
      </c>
      <c r="BQ23" s="752">
        <v>213</v>
      </c>
      <c r="BR23" s="715"/>
      <c r="BS23" s="715"/>
      <c r="BT23" s="715"/>
      <c r="BU23" s="715"/>
      <c r="BV23" s="715"/>
      <c r="BW23" s="781" t="s">
        <v>105</v>
      </c>
      <c r="BX23" s="782">
        <v>112</v>
      </c>
      <c r="BY23" s="780">
        <f t="shared" si="17"/>
        <v>5.2166666666666881</v>
      </c>
      <c r="BZ23" s="731">
        <f t="shared" ref="BZ23:BZ34" si="18">SUMIF(BI$3:BI$36,$BX23,BH$3:BH$36)</f>
        <v>0</v>
      </c>
      <c r="CA23" s="731">
        <f t="shared" ref="CA23:CA34" si="19">SUMIF(BQ$3:BQ$36,$BX23,BP$3:BP$36)</f>
        <v>0</v>
      </c>
      <c r="CB23" s="731">
        <f t="shared" si="9"/>
        <v>0</v>
      </c>
      <c r="CC23" s="731">
        <f t="shared" si="10"/>
        <v>0</v>
      </c>
      <c r="CD23" s="731">
        <f t="shared" si="11"/>
        <v>0</v>
      </c>
      <c r="CE23" s="731">
        <f t="shared" si="12"/>
        <v>0</v>
      </c>
      <c r="CF23" s="731">
        <f t="shared" si="13"/>
        <v>5.2166666666666881</v>
      </c>
    </row>
    <row r="24" spans="1:84" ht="17.25" customHeight="1">
      <c r="A24" s="718" t="s">
        <v>360</v>
      </c>
      <c r="B24" s="719" t="s">
        <v>361</v>
      </c>
      <c r="C24" s="720" t="s">
        <v>279</v>
      </c>
      <c r="D24" s="720" t="s">
        <v>145</v>
      </c>
      <c r="E24" s="720" t="s">
        <v>280</v>
      </c>
      <c r="F24" s="721">
        <v>0.33333333333333298</v>
      </c>
      <c r="G24" s="723"/>
      <c r="H24" s="721">
        <v>0.39583333333333298</v>
      </c>
      <c r="I24" s="736">
        <f t="shared" si="0"/>
        <v>1.5</v>
      </c>
      <c r="J24" s="738">
        <v>91</v>
      </c>
      <c r="K24" s="720"/>
      <c r="L24" s="719" t="s">
        <v>285</v>
      </c>
      <c r="M24" s="720" t="s">
        <v>279</v>
      </c>
      <c r="N24" s="720" t="s">
        <v>145</v>
      </c>
      <c r="O24" s="720" t="s">
        <v>280</v>
      </c>
      <c r="P24" s="721">
        <v>0.33333333333333298</v>
      </c>
      <c r="Q24" s="723"/>
      <c r="R24" s="721">
        <v>0.39583333333333298</v>
      </c>
      <c r="S24" s="736">
        <f t="shared" si="1"/>
        <v>1.5</v>
      </c>
      <c r="T24" s="738">
        <v>198</v>
      </c>
      <c r="U24" s="720"/>
      <c r="V24" s="719" t="s">
        <v>348</v>
      </c>
      <c r="W24" s="720" t="s">
        <v>279</v>
      </c>
      <c r="X24" s="720" t="s">
        <v>145</v>
      </c>
      <c r="Y24" s="720" t="s">
        <v>297</v>
      </c>
      <c r="Z24" s="721">
        <v>0.33333333333333298</v>
      </c>
      <c r="AA24" s="723"/>
      <c r="AB24" s="721">
        <v>0.38333333333333303</v>
      </c>
      <c r="AC24" s="736">
        <f t="shared" si="2"/>
        <v>1.2000000000000011</v>
      </c>
      <c r="AD24" s="738">
        <v>103</v>
      </c>
      <c r="AE24" s="739"/>
      <c r="AF24" s="719" t="s">
        <v>362</v>
      </c>
      <c r="AG24" s="739" t="s">
        <v>279</v>
      </c>
      <c r="AH24" s="739" t="s">
        <v>145</v>
      </c>
      <c r="AI24" s="739" t="s">
        <v>280</v>
      </c>
      <c r="AJ24" s="721">
        <v>0.33333333333333298</v>
      </c>
      <c r="AK24" s="723"/>
      <c r="AL24" s="721">
        <v>0.39583333333333298</v>
      </c>
      <c r="AM24" s="736">
        <f t="shared" si="3"/>
        <v>1.5</v>
      </c>
      <c r="AN24" s="738">
        <v>186</v>
      </c>
      <c r="AO24" s="739"/>
      <c r="AP24" s="739"/>
      <c r="AQ24" s="739" t="s">
        <v>348</v>
      </c>
      <c r="AR24" s="739" t="s">
        <v>279</v>
      </c>
      <c r="AS24" s="739" t="s">
        <v>145</v>
      </c>
      <c r="AT24" s="739" t="s">
        <v>327</v>
      </c>
      <c r="AU24" s="721">
        <v>0.33333333333333298</v>
      </c>
      <c r="AV24" s="723"/>
      <c r="AW24" s="721">
        <v>0.39583333333333298</v>
      </c>
      <c r="AX24" s="736">
        <f t="shared" si="4"/>
        <v>1.5</v>
      </c>
      <c r="AY24" s="738">
        <v>224</v>
      </c>
      <c r="AZ24" s="739"/>
      <c r="BA24" s="719" t="s">
        <v>363</v>
      </c>
      <c r="BB24" s="739" t="s">
        <v>279</v>
      </c>
      <c r="BC24" s="739" t="s">
        <v>145</v>
      </c>
      <c r="BD24" s="739" t="s">
        <v>364</v>
      </c>
      <c r="BE24" s="721">
        <v>0.33333333333333298</v>
      </c>
      <c r="BF24" s="723"/>
      <c r="BG24" s="721">
        <v>0.39930555555555602</v>
      </c>
      <c r="BH24" s="736">
        <f t="shared" si="5"/>
        <v>1.583333333333353</v>
      </c>
      <c r="BI24" s="738">
        <v>114</v>
      </c>
      <c r="BJ24" s="739"/>
      <c r="BK24" s="739" t="s">
        <v>145</v>
      </c>
      <c r="BL24" s="739"/>
      <c r="BM24" s="715"/>
      <c r="BN24" s="715"/>
      <c r="BO24" s="715"/>
      <c r="BP24" s="715"/>
      <c r="BQ24" s="715"/>
      <c r="BR24" s="715"/>
      <c r="BS24" s="715"/>
      <c r="BT24" s="715"/>
      <c r="BU24" s="715"/>
      <c r="BV24" s="715"/>
      <c r="BW24" s="781" t="s">
        <v>107</v>
      </c>
      <c r="BX24" s="782">
        <v>114</v>
      </c>
      <c r="BY24" s="780">
        <f t="shared" si="17"/>
        <v>5.716666666666681</v>
      </c>
      <c r="BZ24" s="731">
        <f t="shared" si="18"/>
        <v>5.716666666666681</v>
      </c>
      <c r="CA24" s="731">
        <f t="shared" si="19"/>
        <v>0</v>
      </c>
      <c r="CB24" s="731">
        <f t="shared" si="9"/>
        <v>0</v>
      </c>
      <c r="CC24" s="731">
        <f t="shared" si="10"/>
        <v>0</v>
      </c>
      <c r="CD24" s="731">
        <f t="shared" si="11"/>
        <v>0</v>
      </c>
      <c r="CE24" s="731">
        <f t="shared" si="12"/>
        <v>0</v>
      </c>
      <c r="CF24" s="731">
        <f t="shared" si="13"/>
        <v>0</v>
      </c>
    </row>
    <row r="25" spans="1:84" ht="17.25" customHeight="1">
      <c r="A25" s="722"/>
      <c r="B25" s="719" t="s">
        <v>299</v>
      </c>
      <c r="C25" s="720"/>
      <c r="D25" s="720" t="s">
        <v>145</v>
      </c>
      <c r="E25" s="720"/>
      <c r="F25" s="728"/>
      <c r="G25" s="729"/>
      <c r="H25" s="728"/>
      <c r="I25" s="736">
        <f t="shared" si="0"/>
        <v>0</v>
      </c>
      <c r="J25" s="738"/>
      <c r="K25" s="720"/>
      <c r="L25" s="719" t="s">
        <v>365</v>
      </c>
      <c r="M25" s="720" t="s">
        <v>286</v>
      </c>
      <c r="N25" s="720" t="s">
        <v>145</v>
      </c>
      <c r="O25" s="720" t="s">
        <v>366</v>
      </c>
      <c r="P25" s="728">
        <v>0.40625</v>
      </c>
      <c r="Q25" s="729"/>
      <c r="R25" s="728">
        <v>0.4375</v>
      </c>
      <c r="S25" s="736">
        <f t="shared" si="1"/>
        <v>0.75</v>
      </c>
      <c r="T25" s="738">
        <v>198</v>
      </c>
      <c r="U25" s="720"/>
      <c r="V25" s="719" t="s">
        <v>367</v>
      </c>
      <c r="W25" s="720" t="s">
        <v>318</v>
      </c>
      <c r="X25" s="720" t="s">
        <v>145</v>
      </c>
      <c r="Y25" s="720" t="s">
        <v>319</v>
      </c>
      <c r="Z25" s="728">
        <v>0.39583333333333298</v>
      </c>
      <c r="AA25" s="729"/>
      <c r="AB25" s="728">
        <v>0.44583333333333303</v>
      </c>
      <c r="AC25" s="736">
        <f t="shared" si="2"/>
        <v>1.2000000000000011</v>
      </c>
      <c r="AD25" s="738">
        <v>103</v>
      </c>
      <c r="AE25" s="739"/>
      <c r="AF25" s="719" t="s">
        <v>368</v>
      </c>
      <c r="AG25" s="739"/>
      <c r="AH25" s="739" t="s">
        <v>145</v>
      </c>
      <c r="AI25" s="739"/>
      <c r="AJ25" s="728">
        <v>0.39583333333333298</v>
      </c>
      <c r="AK25" s="729"/>
      <c r="AL25" s="721">
        <v>0.45833333333333298</v>
      </c>
      <c r="AM25" s="736">
        <f t="shared" si="3"/>
        <v>1.5</v>
      </c>
      <c r="AN25" s="738"/>
      <c r="AO25" s="739"/>
      <c r="AP25" s="739"/>
      <c r="AQ25" s="740"/>
      <c r="AR25" s="739"/>
      <c r="AS25" s="739" t="s">
        <v>145</v>
      </c>
      <c r="AT25" s="739"/>
      <c r="AU25" s="721">
        <v>0.39583333333333298</v>
      </c>
      <c r="AV25" s="723"/>
      <c r="AW25" s="721">
        <v>0.45833333333333298</v>
      </c>
      <c r="AX25" s="736">
        <f t="shared" si="4"/>
        <v>1.5</v>
      </c>
      <c r="AY25" s="738">
        <v>112</v>
      </c>
      <c r="AZ25" s="739"/>
      <c r="BA25" s="719" t="s">
        <v>369</v>
      </c>
      <c r="BB25" s="739" t="s">
        <v>370</v>
      </c>
      <c r="BC25" s="739" t="s">
        <v>145</v>
      </c>
      <c r="BD25" s="739" t="s">
        <v>371</v>
      </c>
      <c r="BE25" s="721">
        <v>0.39930555555555602</v>
      </c>
      <c r="BF25" s="723"/>
      <c r="BG25" s="721">
        <v>0.48819444444444399</v>
      </c>
      <c r="BH25" s="736">
        <f t="shared" si="5"/>
        <v>2.1333333333333111</v>
      </c>
      <c r="BI25" s="738">
        <v>129</v>
      </c>
      <c r="BJ25" s="739"/>
      <c r="BK25" s="739" t="s">
        <v>145</v>
      </c>
      <c r="BL25" s="739"/>
      <c r="BM25" s="715"/>
      <c r="BN25" s="715"/>
      <c r="BO25" s="715"/>
      <c r="BP25" s="715"/>
      <c r="BQ25" s="715"/>
      <c r="BR25" s="715"/>
      <c r="BS25" s="715"/>
      <c r="BT25" s="715"/>
      <c r="BU25" s="715"/>
      <c r="BV25" s="715"/>
      <c r="BW25" s="781" t="s">
        <v>109</v>
      </c>
      <c r="BX25" s="782">
        <v>120</v>
      </c>
      <c r="BY25" s="780">
        <f t="shared" si="17"/>
        <v>4.6000000000000316</v>
      </c>
      <c r="BZ25" s="731">
        <f t="shared" si="18"/>
        <v>0</v>
      </c>
      <c r="CA25" s="731">
        <f t="shared" si="19"/>
        <v>0</v>
      </c>
      <c r="CB25" s="731">
        <f t="shared" ref="CB25:CB45" si="20">SUMIF(J$3:J$36,$BX25,I$3:I$36)</f>
        <v>0</v>
      </c>
      <c r="CC25" s="731">
        <f t="shared" ref="CC25:CC45" si="21">SUMIF(T$3:T$36,$BX25,S$3:S$36)</f>
        <v>0</v>
      </c>
      <c r="CD25" s="731">
        <f t="shared" ref="CD25:CD45" si="22">SUMIF(AD$3:AD$36,$BX25,AC$3:AC$36)</f>
        <v>0</v>
      </c>
      <c r="CE25" s="731">
        <f t="shared" ref="CE25:CE45" si="23">SUMIF(AN$3:AN$36,$BX25,AM$3:AM$36)</f>
        <v>4.6000000000000316</v>
      </c>
      <c r="CF25" s="731">
        <f t="shared" ref="CF25:CF45" si="24">SUMIF(AY$3:AY$36,$BX25,AX$3:AX$36)</f>
        <v>0</v>
      </c>
    </row>
    <row r="26" spans="1:84" ht="16.5" customHeight="1">
      <c r="A26" s="722"/>
      <c r="B26" s="719"/>
      <c r="C26" s="720"/>
      <c r="D26" s="720"/>
      <c r="E26" s="720"/>
      <c r="F26" s="728"/>
      <c r="G26" s="729"/>
      <c r="H26" s="728"/>
      <c r="I26" s="736">
        <f t="shared" si="0"/>
        <v>0</v>
      </c>
      <c r="J26" s="738"/>
      <c r="K26" s="720"/>
      <c r="L26" s="719"/>
      <c r="M26" s="720"/>
      <c r="N26" s="720"/>
      <c r="O26" s="720"/>
      <c r="P26" s="728"/>
      <c r="Q26" s="729"/>
      <c r="R26" s="728"/>
      <c r="S26" s="736">
        <f t="shared" si="1"/>
        <v>0</v>
      </c>
      <c r="T26" s="738"/>
      <c r="U26" s="720"/>
      <c r="V26" s="719"/>
      <c r="W26" s="720"/>
      <c r="X26" s="720"/>
      <c r="Y26" s="720"/>
      <c r="Z26" s="728"/>
      <c r="AA26" s="729"/>
      <c r="AB26" s="728"/>
      <c r="AC26" s="736">
        <f t="shared" si="2"/>
        <v>0</v>
      </c>
      <c r="AD26" s="738"/>
      <c r="AE26" s="739"/>
      <c r="AF26" s="719" t="s">
        <v>372</v>
      </c>
      <c r="AG26" s="739"/>
      <c r="AH26" s="739" t="s">
        <v>145</v>
      </c>
      <c r="AI26" s="739"/>
      <c r="AJ26" s="728"/>
      <c r="AK26" s="729"/>
      <c r="AL26" s="728"/>
      <c r="AM26" s="736">
        <f t="shared" si="3"/>
        <v>0</v>
      </c>
      <c r="AN26" s="738"/>
      <c r="AO26" s="739"/>
      <c r="AP26" s="739"/>
      <c r="AQ26" s="740"/>
      <c r="AR26" s="739"/>
      <c r="AS26" s="739" t="s">
        <v>145</v>
      </c>
      <c r="AT26" s="739"/>
      <c r="AU26" s="728"/>
      <c r="AV26" s="729"/>
      <c r="AW26" s="728"/>
      <c r="AX26" s="736">
        <f t="shared" si="4"/>
        <v>0</v>
      </c>
      <c r="AY26" s="738"/>
      <c r="AZ26" s="739"/>
      <c r="BA26" s="719"/>
      <c r="BB26" s="739"/>
      <c r="BC26" s="739" t="s">
        <v>145</v>
      </c>
      <c r="BD26" s="739"/>
      <c r="BE26" s="721">
        <v>0.5</v>
      </c>
      <c r="BF26" s="723"/>
      <c r="BG26" s="721">
        <v>0.5625</v>
      </c>
      <c r="BH26" s="736">
        <f t="shared" si="5"/>
        <v>1.5</v>
      </c>
      <c r="BI26" s="738">
        <v>25</v>
      </c>
      <c r="BJ26" s="739"/>
      <c r="BK26" s="739" t="s">
        <v>145</v>
      </c>
      <c r="BL26" s="739"/>
      <c r="BM26" s="715"/>
      <c r="BN26" s="715"/>
      <c r="BO26" s="715"/>
      <c r="BP26" s="715"/>
      <c r="BQ26" s="715"/>
      <c r="BR26" s="715"/>
      <c r="BS26" s="715"/>
      <c r="BT26" s="715"/>
      <c r="BU26" s="715"/>
      <c r="BV26" s="715"/>
      <c r="BW26" s="783" t="s">
        <v>110</v>
      </c>
      <c r="BX26" s="782">
        <v>128</v>
      </c>
      <c r="BY26" s="780">
        <f t="shared" si="17"/>
        <v>1.5</v>
      </c>
      <c r="BZ26" s="731">
        <f t="shared" si="18"/>
        <v>0</v>
      </c>
      <c r="CA26" s="731">
        <f t="shared" si="19"/>
        <v>0</v>
      </c>
      <c r="CB26" s="731">
        <f t="shared" si="20"/>
        <v>0</v>
      </c>
      <c r="CC26" s="731">
        <f t="shared" si="21"/>
        <v>1.5</v>
      </c>
      <c r="CD26" s="731">
        <f t="shared" si="22"/>
        <v>0</v>
      </c>
      <c r="CE26" s="731">
        <f t="shared" si="23"/>
        <v>0</v>
      </c>
      <c r="CF26" s="731">
        <f t="shared" si="24"/>
        <v>0</v>
      </c>
    </row>
    <row r="27" spans="1:84" ht="16.5" customHeight="1">
      <c r="A27" s="718" t="s">
        <v>373</v>
      </c>
      <c r="B27" s="719" t="s">
        <v>296</v>
      </c>
      <c r="C27" s="720" t="s">
        <v>279</v>
      </c>
      <c r="D27" s="720" t="s">
        <v>145</v>
      </c>
      <c r="E27" s="720" t="s">
        <v>297</v>
      </c>
      <c r="F27" s="721">
        <v>0.33333333333333298</v>
      </c>
      <c r="G27" s="723"/>
      <c r="H27" s="721">
        <v>0.38333333333333303</v>
      </c>
      <c r="I27" s="736">
        <f t="shared" si="0"/>
        <v>1.2000000000000011</v>
      </c>
      <c r="J27" s="737">
        <v>213</v>
      </c>
      <c r="K27" s="720"/>
      <c r="L27" s="719" t="s">
        <v>367</v>
      </c>
      <c r="M27" s="720" t="s">
        <v>279</v>
      </c>
      <c r="N27" s="720" t="s">
        <v>145</v>
      </c>
      <c r="O27" s="720" t="s">
        <v>297</v>
      </c>
      <c r="P27" s="721">
        <v>0.33333333333333298</v>
      </c>
      <c r="Q27" s="723"/>
      <c r="R27" s="721">
        <v>0.38333333333333303</v>
      </c>
      <c r="S27" s="736">
        <f t="shared" si="1"/>
        <v>1.2000000000000011</v>
      </c>
      <c r="T27" s="738">
        <v>210</v>
      </c>
      <c r="U27" s="720"/>
      <c r="V27" s="719" t="s">
        <v>365</v>
      </c>
      <c r="W27" s="720" t="s">
        <v>279</v>
      </c>
      <c r="X27" s="720" t="s">
        <v>145</v>
      </c>
      <c r="Y27" s="720" t="s">
        <v>346</v>
      </c>
      <c r="Z27" s="721">
        <v>0.33333333333333298</v>
      </c>
      <c r="AA27" s="723"/>
      <c r="AB27" s="721">
        <v>0.36458333333333298</v>
      </c>
      <c r="AC27" s="736">
        <f t="shared" si="2"/>
        <v>0.75</v>
      </c>
      <c r="AD27" s="738">
        <v>103</v>
      </c>
      <c r="AE27" s="739"/>
      <c r="AF27" s="719" t="s">
        <v>342</v>
      </c>
      <c r="AG27" s="739" t="s">
        <v>279</v>
      </c>
      <c r="AH27" s="739" t="s">
        <v>145</v>
      </c>
      <c r="AI27" s="739" t="s">
        <v>280</v>
      </c>
      <c r="AJ27" s="721">
        <v>0.33333333333333298</v>
      </c>
      <c r="AK27" s="723"/>
      <c r="AL27" s="721">
        <v>0.39583333333333298</v>
      </c>
      <c r="AM27" s="736">
        <f t="shared" si="3"/>
        <v>1.5</v>
      </c>
      <c r="AN27" s="738">
        <v>102</v>
      </c>
      <c r="AO27" s="739"/>
      <c r="AP27" s="739"/>
      <c r="AQ27" s="719" t="s">
        <v>303</v>
      </c>
      <c r="AR27" s="739" t="s">
        <v>279</v>
      </c>
      <c r="AS27" s="739" t="s">
        <v>145</v>
      </c>
      <c r="AT27" s="916" t="s">
        <v>374</v>
      </c>
      <c r="AU27" s="721">
        <v>0.33333333333333298</v>
      </c>
      <c r="AV27" s="723"/>
      <c r="AW27" s="721">
        <v>0.44791666666666702</v>
      </c>
      <c r="AX27" s="736">
        <f t="shared" si="4"/>
        <v>2.7500000000000169</v>
      </c>
      <c r="AY27" s="738">
        <v>202</v>
      </c>
      <c r="AZ27" s="739"/>
      <c r="BA27" s="719" t="s">
        <v>375</v>
      </c>
      <c r="BB27" s="917" t="s">
        <v>279</v>
      </c>
      <c r="BC27" s="739" t="s">
        <v>145</v>
      </c>
      <c r="BD27" s="917" t="s">
        <v>376</v>
      </c>
      <c r="BE27" s="721">
        <v>0.33333333333333298</v>
      </c>
      <c r="BF27" s="723"/>
      <c r="BG27" s="721">
        <v>0.41666666666666702</v>
      </c>
      <c r="BH27" s="736">
        <f t="shared" si="5"/>
        <v>2.0000000000000169</v>
      </c>
      <c r="BI27" s="738">
        <v>114</v>
      </c>
      <c r="BJ27" s="739"/>
      <c r="BK27" s="739" t="s">
        <v>145</v>
      </c>
      <c r="BL27" s="739"/>
      <c r="BM27" s="715"/>
      <c r="BN27" s="715"/>
      <c r="BO27" s="715"/>
      <c r="BP27" s="715"/>
      <c r="BQ27" s="715"/>
      <c r="BR27" s="715"/>
      <c r="BS27" s="715"/>
      <c r="BT27" s="715"/>
      <c r="BU27" s="715"/>
      <c r="BV27" s="715"/>
      <c r="BW27" s="786" t="s">
        <v>111</v>
      </c>
      <c r="BX27" s="779">
        <v>129</v>
      </c>
      <c r="BY27" s="780">
        <f t="shared" si="17"/>
        <v>2.1333333333333111</v>
      </c>
      <c r="BZ27" s="731">
        <f t="shared" si="18"/>
        <v>2.1333333333333111</v>
      </c>
      <c r="CA27" s="731">
        <f t="shared" si="19"/>
        <v>0</v>
      </c>
      <c r="CB27" s="731">
        <f t="shared" si="20"/>
        <v>0</v>
      </c>
      <c r="CC27" s="731">
        <f t="shared" si="21"/>
        <v>0</v>
      </c>
      <c r="CD27" s="731">
        <f t="shared" si="22"/>
        <v>0</v>
      </c>
      <c r="CE27" s="731">
        <f t="shared" si="23"/>
        <v>0</v>
      </c>
      <c r="CF27" s="731">
        <f t="shared" si="24"/>
        <v>0</v>
      </c>
    </row>
    <row r="28" spans="1:84" ht="17.25" customHeight="1">
      <c r="A28" s="722"/>
      <c r="B28" s="719" t="s">
        <v>365</v>
      </c>
      <c r="C28" s="720" t="s">
        <v>318</v>
      </c>
      <c r="D28" s="720" t="s">
        <v>145</v>
      </c>
      <c r="E28" s="720" t="s">
        <v>377</v>
      </c>
      <c r="F28" s="728">
        <v>0.39583333333333298</v>
      </c>
      <c r="G28" s="729"/>
      <c r="H28" s="728">
        <v>0.42708333333333298</v>
      </c>
      <c r="I28" s="736">
        <f t="shared" si="0"/>
        <v>0.75</v>
      </c>
      <c r="J28" s="737">
        <v>213</v>
      </c>
      <c r="K28" s="720"/>
      <c r="L28" s="719" t="s">
        <v>372</v>
      </c>
      <c r="M28" s="720" t="s">
        <v>318</v>
      </c>
      <c r="N28" s="720" t="s">
        <v>145</v>
      </c>
      <c r="O28" s="720" t="s">
        <v>355</v>
      </c>
      <c r="P28" s="728">
        <v>0.39583333333333298</v>
      </c>
      <c r="Q28" s="729"/>
      <c r="R28" s="728">
        <v>0.43263888888888902</v>
      </c>
      <c r="S28" s="736">
        <f t="shared" si="1"/>
        <v>0.88333333333334485</v>
      </c>
      <c r="T28" s="738">
        <v>210</v>
      </c>
      <c r="U28" s="720"/>
      <c r="V28" s="719" t="s">
        <v>307</v>
      </c>
      <c r="W28" s="720"/>
      <c r="X28" s="720" t="s">
        <v>145</v>
      </c>
      <c r="Y28" s="720"/>
      <c r="Z28" s="728"/>
      <c r="AA28" s="729"/>
      <c r="AB28" s="728"/>
      <c r="AC28" s="736">
        <f t="shared" si="2"/>
        <v>0</v>
      </c>
      <c r="AD28" s="738"/>
      <c r="AE28" s="739"/>
      <c r="AF28" s="719" t="s">
        <v>336</v>
      </c>
      <c r="AG28" s="739"/>
      <c r="AH28" s="739" t="s">
        <v>145</v>
      </c>
      <c r="AI28" s="739"/>
      <c r="AJ28" s="728"/>
      <c r="AK28" s="729"/>
      <c r="AL28" s="728"/>
      <c r="AM28" s="736">
        <f t="shared" si="3"/>
        <v>0</v>
      </c>
      <c r="AN28" s="738"/>
      <c r="AO28" s="739"/>
      <c r="AP28" s="739"/>
      <c r="AQ28" s="719"/>
      <c r="AR28" s="739"/>
      <c r="AS28" s="739" t="s">
        <v>145</v>
      </c>
      <c r="AT28" s="739"/>
      <c r="AU28" s="728"/>
      <c r="AV28" s="729"/>
      <c r="AW28" s="728"/>
      <c r="AX28" s="736">
        <f t="shared" si="4"/>
        <v>0</v>
      </c>
      <c r="AY28" s="738"/>
      <c r="AZ28" s="739"/>
      <c r="BA28" s="719"/>
      <c r="BB28" s="739"/>
      <c r="BC28" s="739" t="s">
        <v>145</v>
      </c>
      <c r="BD28" s="739"/>
      <c r="BE28" s="721">
        <v>0.41666666666666702</v>
      </c>
      <c r="BF28" s="723"/>
      <c r="BG28" s="721">
        <v>0.5</v>
      </c>
      <c r="BH28" s="736">
        <f t="shared" si="5"/>
        <v>1.9999999999999916</v>
      </c>
      <c r="BI28" s="738">
        <v>138</v>
      </c>
      <c r="BJ28" s="739"/>
      <c r="BK28" s="739" t="s">
        <v>145</v>
      </c>
      <c r="BL28" s="739"/>
      <c r="BM28" s="715"/>
      <c r="BN28" s="715"/>
      <c r="BO28" s="715"/>
      <c r="BP28" s="715"/>
      <c r="BQ28" s="715"/>
      <c r="BR28" s="715"/>
      <c r="BS28" s="715"/>
      <c r="BT28" s="715"/>
      <c r="BU28" s="715"/>
      <c r="BV28" s="715"/>
      <c r="BW28" s="786" t="s">
        <v>112</v>
      </c>
      <c r="BX28" s="782">
        <v>134</v>
      </c>
      <c r="BY28" s="780">
        <f t="shared" si="17"/>
        <v>2.3000000000000158</v>
      </c>
      <c r="BZ28" s="731">
        <f t="shared" si="18"/>
        <v>0</v>
      </c>
      <c r="CA28" s="731">
        <f t="shared" si="19"/>
        <v>0</v>
      </c>
      <c r="CB28" s="731">
        <f t="shared" si="20"/>
        <v>0</v>
      </c>
      <c r="CC28" s="731">
        <f t="shared" si="21"/>
        <v>0</v>
      </c>
      <c r="CD28" s="731">
        <f t="shared" si="22"/>
        <v>0</v>
      </c>
      <c r="CE28" s="731">
        <f t="shared" si="23"/>
        <v>0</v>
      </c>
      <c r="CF28" s="731">
        <f t="shared" si="24"/>
        <v>2.3000000000000158</v>
      </c>
    </row>
    <row r="29" spans="1:84" ht="17.25" customHeight="1">
      <c r="A29" s="722"/>
      <c r="B29" s="719"/>
      <c r="C29" s="720"/>
      <c r="D29" s="720"/>
      <c r="E29" s="720"/>
      <c r="F29" s="728"/>
      <c r="G29" s="729"/>
      <c r="H29" s="728"/>
      <c r="I29" s="736">
        <f t="shared" si="0"/>
        <v>0</v>
      </c>
      <c r="J29" s="738"/>
      <c r="K29" s="720"/>
      <c r="L29" s="719"/>
      <c r="M29" s="720"/>
      <c r="N29" s="720"/>
      <c r="O29" s="720"/>
      <c r="P29" s="728"/>
      <c r="Q29" s="729"/>
      <c r="R29" s="728"/>
      <c r="S29" s="736">
        <f t="shared" si="1"/>
        <v>0</v>
      </c>
      <c r="T29" s="738"/>
      <c r="U29" s="720"/>
      <c r="V29" s="719"/>
      <c r="W29" s="720"/>
      <c r="X29" s="720"/>
      <c r="Y29" s="720"/>
      <c r="Z29" s="728"/>
      <c r="AA29" s="729"/>
      <c r="AB29" s="728"/>
      <c r="AC29" s="736">
        <f t="shared" si="2"/>
        <v>0</v>
      </c>
      <c r="AD29" s="738"/>
      <c r="AE29" s="739"/>
      <c r="AF29" s="719" t="s">
        <v>340</v>
      </c>
      <c r="AG29" s="739"/>
      <c r="AH29" s="739" t="s">
        <v>145</v>
      </c>
      <c r="AI29" s="739"/>
      <c r="AJ29" s="728"/>
      <c r="AK29" s="729"/>
      <c r="AL29" s="728"/>
      <c r="AM29" s="736">
        <f t="shared" si="3"/>
        <v>0</v>
      </c>
      <c r="AN29" s="738"/>
      <c r="AO29" s="739"/>
      <c r="AP29" s="739"/>
      <c r="AQ29" s="719"/>
      <c r="AR29" s="739"/>
      <c r="AS29" s="739" t="s">
        <v>145</v>
      </c>
      <c r="AT29" s="739"/>
      <c r="AU29" s="728"/>
      <c r="AV29" s="729"/>
      <c r="AW29" s="728"/>
      <c r="AX29" s="736">
        <f t="shared" si="4"/>
        <v>0</v>
      </c>
      <c r="AY29" s="738"/>
      <c r="AZ29" s="739"/>
      <c r="BA29" s="719"/>
      <c r="BB29" s="739"/>
      <c r="BC29" s="739" t="s">
        <v>145</v>
      </c>
      <c r="BD29" s="739"/>
      <c r="BE29" s="721">
        <v>0.5</v>
      </c>
      <c r="BF29" s="723"/>
      <c r="BG29" s="721">
        <v>0.56111111111111101</v>
      </c>
      <c r="BH29" s="736">
        <f t="shared" si="5"/>
        <v>1.4666666666666641</v>
      </c>
      <c r="BI29" s="738">
        <v>37</v>
      </c>
      <c r="BJ29" s="739"/>
      <c r="BK29" s="739" t="s">
        <v>145</v>
      </c>
      <c r="BL29" s="739"/>
      <c r="BM29" s="715"/>
      <c r="BN29" s="715"/>
      <c r="BO29" s="715"/>
      <c r="BP29" s="715"/>
      <c r="BQ29" s="715"/>
      <c r="BR29" s="715"/>
      <c r="BS29" s="715"/>
      <c r="BT29" s="715"/>
      <c r="BU29" s="715"/>
      <c r="BV29" s="715"/>
      <c r="BW29" s="786" t="s">
        <v>114</v>
      </c>
      <c r="BX29" s="782">
        <v>137</v>
      </c>
      <c r="BY29" s="780">
        <f t="shared" si="17"/>
        <v>2.4000000000000021</v>
      </c>
      <c r="BZ29" s="731">
        <f t="shared" si="18"/>
        <v>0</v>
      </c>
      <c r="CA29" s="731">
        <f t="shared" si="19"/>
        <v>0</v>
      </c>
      <c r="CB29" s="731">
        <f t="shared" si="20"/>
        <v>0</v>
      </c>
      <c r="CC29" s="731">
        <f t="shared" si="21"/>
        <v>0</v>
      </c>
      <c r="CD29" s="731">
        <f t="shared" si="22"/>
        <v>2.4000000000000021</v>
      </c>
      <c r="CE29" s="731">
        <f t="shared" si="23"/>
        <v>0</v>
      </c>
      <c r="CF29" s="731">
        <f t="shared" si="24"/>
        <v>0</v>
      </c>
    </row>
    <row r="30" spans="1:84" ht="17.25" customHeight="1">
      <c r="A30" s="718" t="s">
        <v>378</v>
      </c>
      <c r="B30" s="719" t="s">
        <v>345</v>
      </c>
      <c r="C30" s="720" t="s">
        <v>279</v>
      </c>
      <c r="D30" s="720" t="s">
        <v>145</v>
      </c>
      <c r="E30" s="720" t="s">
        <v>346</v>
      </c>
      <c r="F30" s="721">
        <v>0.33333333333333298</v>
      </c>
      <c r="G30" s="723"/>
      <c r="H30" s="721">
        <v>0.36458333333333298</v>
      </c>
      <c r="I30" s="736">
        <f t="shared" si="0"/>
        <v>0.75</v>
      </c>
      <c r="J30" s="738">
        <v>78</v>
      </c>
      <c r="K30" s="720"/>
      <c r="L30" s="719" t="s">
        <v>379</v>
      </c>
      <c r="M30" s="720" t="s">
        <v>279</v>
      </c>
      <c r="N30" s="720" t="s">
        <v>145</v>
      </c>
      <c r="O30" s="720" t="s">
        <v>280</v>
      </c>
      <c r="P30" s="721">
        <v>0.33333333333333298</v>
      </c>
      <c r="Q30" s="723"/>
      <c r="R30" s="721">
        <v>0.39583333333333298</v>
      </c>
      <c r="S30" s="736">
        <f t="shared" si="1"/>
        <v>1.5</v>
      </c>
      <c r="T30" s="738">
        <v>49</v>
      </c>
      <c r="U30" s="720"/>
      <c r="V30" s="719" t="s">
        <v>380</v>
      </c>
      <c r="W30" s="720" t="s">
        <v>279</v>
      </c>
      <c r="X30" s="720" t="s">
        <v>145</v>
      </c>
      <c r="Y30" s="720" t="s">
        <v>297</v>
      </c>
      <c r="Z30" s="721">
        <v>0.33333333333333298</v>
      </c>
      <c r="AA30" s="723"/>
      <c r="AB30" s="721">
        <v>0.38333333333333303</v>
      </c>
      <c r="AC30" s="736">
        <f t="shared" si="2"/>
        <v>1.2000000000000011</v>
      </c>
      <c r="AD30" s="738">
        <v>92</v>
      </c>
      <c r="AE30" s="746"/>
      <c r="AF30" s="719" t="s">
        <v>314</v>
      </c>
      <c r="AG30" s="739" t="s">
        <v>279</v>
      </c>
      <c r="AH30" s="739" t="s">
        <v>145</v>
      </c>
      <c r="AI30" s="739" t="s">
        <v>284</v>
      </c>
      <c r="AJ30" s="721">
        <v>0.33333333333333298</v>
      </c>
      <c r="AK30" s="723"/>
      <c r="AL30" s="721">
        <v>0.42916666666666697</v>
      </c>
      <c r="AM30" s="736">
        <f t="shared" si="3"/>
        <v>2.3000000000000158</v>
      </c>
      <c r="AN30" s="738">
        <v>214</v>
      </c>
      <c r="AO30" s="746"/>
      <c r="AP30" s="746"/>
      <c r="AQ30" s="719" t="s">
        <v>372</v>
      </c>
      <c r="AR30" s="739" t="s">
        <v>279</v>
      </c>
      <c r="AS30" s="739" t="s">
        <v>145</v>
      </c>
      <c r="AT30" s="739" t="s">
        <v>327</v>
      </c>
      <c r="AU30" s="721">
        <v>0.33333333333333298</v>
      </c>
      <c r="AV30" s="723"/>
      <c r="AW30" s="721">
        <v>0.39583333333333298</v>
      </c>
      <c r="AX30" s="736">
        <f t="shared" si="4"/>
        <v>1.5</v>
      </c>
      <c r="AY30" s="738">
        <v>73</v>
      </c>
      <c r="AZ30" s="739"/>
      <c r="BA30" s="719" t="s">
        <v>381</v>
      </c>
      <c r="BB30" s="739" t="s">
        <v>279</v>
      </c>
      <c r="BC30" s="739" t="s">
        <v>145</v>
      </c>
      <c r="BD30" s="739" t="s">
        <v>364</v>
      </c>
      <c r="BE30" s="721">
        <v>0.33333333333333298</v>
      </c>
      <c r="BF30" s="723"/>
      <c r="BG30" s="721">
        <v>0.39930555555555602</v>
      </c>
      <c r="BH30" s="736">
        <f t="shared" si="5"/>
        <v>1.583333333333353</v>
      </c>
      <c r="BI30" s="738">
        <v>37</v>
      </c>
      <c r="BJ30" s="739"/>
      <c r="BK30" s="739" t="s">
        <v>145</v>
      </c>
      <c r="BL30" s="739"/>
      <c r="BM30" s="715"/>
      <c r="BN30" s="715"/>
      <c r="BO30" s="715"/>
      <c r="BP30" s="715"/>
      <c r="BQ30" s="715"/>
      <c r="BR30" s="715"/>
      <c r="BS30" s="715"/>
      <c r="BT30" s="715"/>
      <c r="BU30" s="715"/>
      <c r="BV30" s="715"/>
      <c r="BW30" s="786" t="s">
        <v>115</v>
      </c>
      <c r="BX30" s="782">
        <v>138</v>
      </c>
      <c r="BY30" s="780">
        <f t="shared" si="17"/>
        <v>5.4833333333333272</v>
      </c>
      <c r="BZ30" s="731">
        <f t="shared" si="18"/>
        <v>3.9833333333333272</v>
      </c>
      <c r="CA30" s="731">
        <f t="shared" si="19"/>
        <v>0</v>
      </c>
      <c r="CB30" s="731">
        <f t="shared" si="20"/>
        <v>0</v>
      </c>
      <c r="CC30" s="731">
        <f t="shared" si="21"/>
        <v>0</v>
      </c>
      <c r="CD30" s="731">
        <f t="shared" si="22"/>
        <v>0</v>
      </c>
      <c r="CE30" s="731">
        <f t="shared" si="23"/>
        <v>1.5</v>
      </c>
      <c r="CF30" s="731">
        <f t="shared" si="24"/>
        <v>0</v>
      </c>
    </row>
    <row r="31" spans="1:84" ht="17.25" customHeight="1">
      <c r="A31" s="722"/>
      <c r="B31" s="719" t="s">
        <v>311</v>
      </c>
      <c r="C31" s="720" t="s">
        <v>382</v>
      </c>
      <c r="D31" s="720" t="s">
        <v>145</v>
      </c>
      <c r="E31" s="720" t="s">
        <v>357</v>
      </c>
      <c r="F31" s="728">
        <v>0.36458333333333298</v>
      </c>
      <c r="G31" s="729"/>
      <c r="H31" s="728">
        <v>0.39236111111111099</v>
      </c>
      <c r="I31" s="736">
        <f t="shared" si="0"/>
        <v>0.66666666666667229</v>
      </c>
      <c r="J31" s="738">
        <v>78</v>
      </c>
      <c r="K31" s="720"/>
      <c r="L31" s="719" t="s">
        <v>307</v>
      </c>
      <c r="M31" s="720"/>
      <c r="N31" s="720" t="s">
        <v>145</v>
      </c>
      <c r="O31" s="720"/>
      <c r="P31" s="728"/>
      <c r="Q31" s="729"/>
      <c r="R31" s="728"/>
      <c r="S31" s="736">
        <f t="shared" si="1"/>
        <v>0</v>
      </c>
      <c r="T31" s="738"/>
      <c r="U31" s="720"/>
      <c r="V31" s="719" t="s">
        <v>372</v>
      </c>
      <c r="W31" s="720" t="s">
        <v>318</v>
      </c>
      <c r="X31" s="720" t="s">
        <v>145</v>
      </c>
      <c r="Y31" s="720" t="s">
        <v>355</v>
      </c>
      <c r="Z31" s="728">
        <v>0.39583333333333298</v>
      </c>
      <c r="AA31" s="729"/>
      <c r="AB31" s="728">
        <v>0.43263888888888902</v>
      </c>
      <c r="AC31" s="736">
        <f t="shared" si="2"/>
        <v>0.88333333333334485</v>
      </c>
      <c r="AD31" s="738">
        <v>92</v>
      </c>
      <c r="AE31" s="739"/>
      <c r="AF31" s="747" t="s">
        <v>383</v>
      </c>
      <c r="AG31" s="746" t="s">
        <v>279</v>
      </c>
      <c r="AH31" s="746" t="s">
        <v>145</v>
      </c>
      <c r="AI31" s="918" t="s">
        <v>350</v>
      </c>
      <c r="AJ31" s="721">
        <v>0.33333333333333298</v>
      </c>
      <c r="AK31" s="723"/>
      <c r="AL31" s="721">
        <v>0.53958333333333297</v>
      </c>
      <c r="AM31" s="736">
        <f t="shared" si="3"/>
        <v>4.9499999999999993</v>
      </c>
      <c r="AN31" s="920" t="s">
        <v>146</v>
      </c>
      <c r="AO31" s="739"/>
      <c r="AP31" s="739"/>
      <c r="AQ31" s="719" t="s">
        <v>362</v>
      </c>
      <c r="AR31" s="739"/>
      <c r="AS31" s="739" t="s">
        <v>145</v>
      </c>
      <c r="AT31" s="739"/>
      <c r="AU31" s="721">
        <v>0.39583333333333298</v>
      </c>
      <c r="AV31" s="723"/>
      <c r="AW31" s="721">
        <v>0.45833333333333298</v>
      </c>
      <c r="AX31" s="736">
        <f t="shared" si="4"/>
        <v>1.5</v>
      </c>
      <c r="AY31" s="738">
        <v>161</v>
      </c>
      <c r="AZ31" s="739"/>
      <c r="BA31" s="719" t="s">
        <v>384</v>
      </c>
      <c r="BB31" s="739" t="s">
        <v>370</v>
      </c>
      <c r="BC31" s="739" t="s">
        <v>145</v>
      </c>
      <c r="BD31" s="739" t="s">
        <v>371</v>
      </c>
      <c r="BE31" s="721">
        <v>0.39930555555555602</v>
      </c>
      <c r="BF31" s="723"/>
      <c r="BG31" s="721">
        <v>0.48819444444444399</v>
      </c>
      <c r="BH31" s="736">
        <f t="shared" si="5"/>
        <v>2.1333333333333111</v>
      </c>
      <c r="BI31" s="738">
        <v>114</v>
      </c>
      <c r="BJ31" s="739"/>
      <c r="BK31" s="739" t="s">
        <v>145</v>
      </c>
      <c r="BL31" s="739"/>
      <c r="BM31" s="715"/>
      <c r="BN31" s="715"/>
      <c r="BO31" s="715"/>
      <c r="BP31" s="715"/>
      <c r="BQ31" s="715"/>
      <c r="BR31" s="715"/>
      <c r="BS31" s="715"/>
      <c r="BT31" s="715"/>
      <c r="BU31" s="715"/>
      <c r="BV31" s="715"/>
      <c r="BW31" s="786" t="s">
        <v>116</v>
      </c>
      <c r="BX31" s="782">
        <v>140</v>
      </c>
      <c r="BY31" s="780">
        <f t="shared" si="17"/>
        <v>7.4000000000000421</v>
      </c>
      <c r="BZ31" s="731">
        <f t="shared" si="18"/>
        <v>1.4000000000000163</v>
      </c>
      <c r="CA31" s="731">
        <f t="shared" si="19"/>
        <v>6.0000000000000258</v>
      </c>
      <c r="CB31" s="731">
        <f t="shared" si="20"/>
        <v>0</v>
      </c>
      <c r="CC31" s="731">
        <f t="shared" si="21"/>
        <v>0</v>
      </c>
      <c r="CD31" s="731">
        <f t="shared" si="22"/>
        <v>0</v>
      </c>
      <c r="CE31" s="731">
        <f t="shared" si="23"/>
        <v>0</v>
      </c>
      <c r="CF31" s="731">
        <f t="shared" si="24"/>
        <v>0</v>
      </c>
    </row>
    <row r="32" spans="1:84" ht="16.5" customHeight="1">
      <c r="A32" s="722"/>
      <c r="B32" s="719"/>
      <c r="C32" s="720"/>
      <c r="D32" s="720" t="s">
        <v>145</v>
      </c>
      <c r="E32" s="720"/>
      <c r="F32" s="728"/>
      <c r="G32" s="729"/>
      <c r="H32" s="728"/>
      <c r="I32" s="736">
        <f t="shared" si="0"/>
        <v>0</v>
      </c>
      <c r="J32" s="738"/>
      <c r="K32" s="720"/>
      <c r="L32" s="719"/>
      <c r="M32" s="720"/>
      <c r="N32" s="720"/>
      <c r="O32" s="720"/>
      <c r="P32" s="728"/>
      <c r="Q32" s="729"/>
      <c r="R32" s="728"/>
      <c r="S32" s="736">
        <f t="shared" si="1"/>
        <v>0</v>
      </c>
      <c r="T32" s="738"/>
      <c r="U32" s="720"/>
      <c r="V32" s="719"/>
      <c r="W32" s="720"/>
      <c r="X32" s="720" t="s">
        <v>145</v>
      </c>
      <c r="Y32" s="720"/>
      <c r="Z32" s="728"/>
      <c r="AA32" s="729"/>
      <c r="AB32" s="728"/>
      <c r="AC32" s="736">
        <f t="shared" si="2"/>
        <v>0</v>
      </c>
      <c r="AD32" s="738"/>
      <c r="AE32" s="739"/>
      <c r="AF32" s="719"/>
      <c r="AG32" s="739"/>
      <c r="AH32" s="739" t="s">
        <v>145</v>
      </c>
      <c r="AI32" s="739"/>
      <c r="AJ32" s="728"/>
      <c r="AK32" s="729"/>
      <c r="AL32" s="728"/>
      <c r="AM32" s="736">
        <f t="shared" si="3"/>
        <v>0</v>
      </c>
      <c r="AN32" s="738"/>
      <c r="AO32" s="739"/>
      <c r="AP32" s="739"/>
      <c r="AQ32" s="719" t="s">
        <v>368</v>
      </c>
      <c r="AR32" s="739"/>
      <c r="AS32" s="739" t="s">
        <v>145</v>
      </c>
      <c r="AT32" s="739"/>
      <c r="AU32" s="728"/>
      <c r="AV32" s="729"/>
      <c r="AW32" s="728"/>
      <c r="AX32" s="736">
        <f t="shared" si="4"/>
        <v>0</v>
      </c>
      <c r="AY32" s="738"/>
      <c r="AZ32" s="739"/>
      <c r="BA32" s="719"/>
      <c r="BB32" s="739"/>
      <c r="BC32" s="739" t="s">
        <v>145</v>
      </c>
      <c r="BD32" s="739"/>
      <c r="BE32" s="721">
        <v>0.5</v>
      </c>
      <c r="BF32" s="723"/>
      <c r="BG32" s="721">
        <v>0.5625</v>
      </c>
      <c r="BH32" s="736">
        <f t="shared" si="5"/>
        <v>1.5</v>
      </c>
      <c r="BI32" s="738">
        <v>211</v>
      </c>
      <c r="BJ32" s="739"/>
      <c r="BK32" s="739" t="s">
        <v>145</v>
      </c>
      <c r="BL32" s="739"/>
      <c r="BM32" s="715"/>
      <c r="BN32" s="715"/>
      <c r="BO32" s="715"/>
      <c r="BP32" s="715"/>
      <c r="BQ32" s="715"/>
      <c r="BR32" s="715"/>
      <c r="BS32" s="715"/>
      <c r="BT32" s="715"/>
      <c r="BU32" s="715"/>
      <c r="BV32" s="715"/>
      <c r="BW32" s="786" t="s">
        <v>117</v>
      </c>
      <c r="BX32" s="782">
        <v>141</v>
      </c>
      <c r="BY32" s="780">
        <f t="shared" si="17"/>
        <v>2.9166666666666723</v>
      </c>
      <c r="BZ32" s="731">
        <f t="shared" si="18"/>
        <v>0</v>
      </c>
      <c r="CA32" s="731">
        <f t="shared" si="19"/>
        <v>0</v>
      </c>
      <c r="CB32" s="731">
        <f t="shared" si="20"/>
        <v>0</v>
      </c>
      <c r="CC32" s="731">
        <f t="shared" si="21"/>
        <v>0</v>
      </c>
      <c r="CD32" s="731">
        <f t="shared" si="22"/>
        <v>0</v>
      </c>
      <c r="CE32" s="731">
        <f t="shared" si="23"/>
        <v>2.9166666666666723</v>
      </c>
      <c r="CF32" s="731">
        <f t="shared" si="24"/>
        <v>0</v>
      </c>
    </row>
    <row r="33" spans="1:84" ht="16.5" customHeight="1">
      <c r="A33" s="982" t="s">
        <v>385</v>
      </c>
      <c r="B33" s="715"/>
      <c r="C33" s="715"/>
      <c r="D33" s="715"/>
      <c r="E33" s="715"/>
      <c r="F33" s="730"/>
      <c r="G33" s="731"/>
      <c r="H33" s="730"/>
      <c r="I33" s="743"/>
      <c r="J33" s="731"/>
      <c r="K33" s="715"/>
      <c r="L33" s="715"/>
      <c r="M33" s="715"/>
      <c r="N33" s="715"/>
      <c r="O33" s="715"/>
      <c r="P33" s="730"/>
      <c r="Q33" s="731"/>
      <c r="R33" s="730"/>
      <c r="S33" s="743"/>
      <c r="T33" s="731"/>
      <c r="U33" s="715"/>
      <c r="V33" s="715"/>
      <c r="W33" s="715"/>
      <c r="X33" s="715"/>
      <c r="Y33" s="715"/>
      <c r="Z33" s="730"/>
      <c r="AA33" s="731"/>
      <c r="AB33" s="730"/>
      <c r="AC33" s="743"/>
      <c r="AD33" s="731"/>
      <c r="AE33" s="715"/>
      <c r="AF33" s="715"/>
      <c r="AG33" s="715"/>
      <c r="AH33" s="715"/>
      <c r="AI33" s="715"/>
      <c r="AJ33" s="730"/>
      <c r="AK33" s="731"/>
      <c r="AL33" s="730"/>
      <c r="AM33" s="743"/>
      <c r="AN33" s="731"/>
      <c r="AO33" s="715"/>
      <c r="AP33" s="715"/>
      <c r="AQ33" s="715"/>
      <c r="AR33" s="715"/>
      <c r="AS33" s="715"/>
      <c r="AT33" s="715"/>
      <c r="AU33" s="730"/>
      <c r="AV33" s="731"/>
      <c r="AW33" s="730"/>
      <c r="AX33" s="743"/>
      <c r="AY33" s="731"/>
      <c r="AZ33" s="715"/>
      <c r="BA33" s="719" t="s">
        <v>310</v>
      </c>
      <c r="BB33" s="739" t="s">
        <v>279</v>
      </c>
      <c r="BC33" s="739" t="s">
        <v>145</v>
      </c>
      <c r="BD33" s="739" t="s">
        <v>386</v>
      </c>
      <c r="BE33" s="721">
        <v>0.33333333333333298</v>
      </c>
      <c r="BF33" s="723"/>
      <c r="BG33" s="721">
        <v>0.39930555555555602</v>
      </c>
      <c r="BH33" s="736">
        <v>1.5833333333333499</v>
      </c>
      <c r="BI33" s="759">
        <v>222</v>
      </c>
      <c r="BJ33" s="739"/>
      <c r="BK33" s="739" t="s">
        <v>145</v>
      </c>
      <c r="BL33" s="739"/>
      <c r="BM33" s="715"/>
      <c r="BN33" s="715"/>
      <c r="BO33" s="715"/>
      <c r="BP33" s="715"/>
      <c r="BQ33" s="715"/>
      <c r="BR33" s="715"/>
      <c r="BS33" s="715"/>
      <c r="BT33" s="715"/>
      <c r="BU33" s="715"/>
      <c r="BV33" s="715"/>
      <c r="BW33" s="786" t="s">
        <v>119</v>
      </c>
      <c r="BX33" s="784">
        <v>152</v>
      </c>
      <c r="BY33" s="780">
        <f t="shared" si="17"/>
        <v>0</v>
      </c>
      <c r="BZ33" s="731">
        <f t="shared" si="18"/>
        <v>0</v>
      </c>
      <c r="CA33" s="731">
        <f t="shared" si="19"/>
        <v>0</v>
      </c>
      <c r="CB33" s="731">
        <f t="shared" si="20"/>
        <v>0</v>
      </c>
      <c r="CC33" s="731">
        <f t="shared" si="21"/>
        <v>0</v>
      </c>
      <c r="CD33" s="731">
        <f t="shared" si="22"/>
        <v>0</v>
      </c>
      <c r="CE33" s="731">
        <f t="shared" si="23"/>
        <v>0</v>
      </c>
      <c r="CF33" s="731">
        <f t="shared" si="24"/>
        <v>0</v>
      </c>
    </row>
    <row r="34" spans="1:84" ht="15.75" customHeight="1">
      <c r="A34" s="983"/>
      <c r="B34" s="715"/>
      <c r="C34" s="715"/>
      <c r="D34" s="715"/>
      <c r="E34" s="715"/>
      <c r="F34" s="730"/>
      <c r="G34" s="731"/>
      <c r="H34" s="730"/>
      <c r="I34" s="743"/>
      <c r="J34" s="731"/>
      <c r="K34" s="715"/>
      <c r="L34" s="715"/>
      <c r="M34" s="715"/>
      <c r="N34" s="715"/>
      <c r="O34" s="715"/>
      <c r="P34" s="730"/>
      <c r="Q34" s="731"/>
      <c r="R34" s="730"/>
      <c r="S34" s="743"/>
      <c r="T34" s="731"/>
      <c r="U34" s="715"/>
      <c r="V34" s="715"/>
      <c r="W34" s="715"/>
      <c r="X34" s="715"/>
      <c r="Y34" s="715"/>
      <c r="Z34" s="730"/>
      <c r="AA34" s="731"/>
      <c r="AB34" s="730"/>
      <c r="AC34" s="743"/>
      <c r="AD34" s="731"/>
      <c r="AE34" s="715"/>
      <c r="AF34" s="715"/>
      <c r="AG34" s="715"/>
      <c r="AH34" s="715"/>
      <c r="AI34" s="715"/>
      <c r="AJ34" s="730"/>
      <c r="AK34" s="731"/>
      <c r="AL34" s="730"/>
      <c r="AM34" s="743"/>
      <c r="AN34" s="731"/>
      <c r="AO34" s="715"/>
      <c r="AP34" s="715"/>
      <c r="AQ34" s="715"/>
      <c r="AR34" s="715"/>
      <c r="AS34" s="715"/>
      <c r="AT34" s="715"/>
      <c r="AU34" s="730"/>
      <c r="AV34" s="731"/>
      <c r="AW34" s="730"/>
      <c r="AX34" s="743"/>
      <c r="AY34" s="731"/>
      <c r="AZ34" s="715"/>
      <c r="BA34" s="740"/>
      <c r="BB34" s="740"/>
      <c r="BC34" s="740"/>
      <c r="BD34" s="740"/>
      <c r="BE34" s="721">
        <v>0.39930555555555602</v>
      </c>
      <c r="BF34" s="723"/>
      <c r="BG34" s="721">
        <v>0.47430555555555598</v>
      </c>
      <c r="BH34" s="736">
        <v>1.8</v>
      </c>
      <c r="BI34" s="759">
        <v>204</v>
      </c>
      <c r="BJ34" s="739"/>
      <c r="BK34" s="739" t="s">
        <v>145</v>
      </c>
      <c r="BL34" s="739"/>
      <c r="BM34" s="715"/>
      <c r="BN34" s="715"/>
      <c r="BO34" s="715"/>
      <c r="BP34" s="715"/>
      <c r="BQ34" s="715"/>
      <c r="BR34" s="715"/>
      <c r="BS34" s="715"/>
      <c r="BT34" s="715"/>
      <c r="BU34" s="715"/>
      <c r="BV34" s="715"/>
      <c r="BW34" s="774" t="s">
        <v>120</v>
      </c>
      <c r="BX34" s="782">
        <v>153</v>
      </c>
      <c r="BY34" s="780">
        <f t="shared" si="17"/>
        <v>1.5</v>
      </c>
      <c r="BZ34" s="731">
        <f t="shared" si="18"/>
        <v>0</v>
      </c>
      <c r="CA34" s="731">
        <f t="shared" si="19"/>
        <v>0</v>
      </c>
      <c r="CB34" s="731">
        <f t="shared" si="20"/>
        <v>0</v>
      </c>
      <c r="CC34" s="731">
        <f t="shared" si="21"/>
        <v>0</v>
      </c>
      <c r="CD34" s="731">
        <f t="shared" si="22"/>
        <v>0</v>
      </c>
      <c r="CE34" s="731">
        <f t="shared" si="23"/>
        <v>0</v>
      </c>
      <c r="CF34" s="731">
        <f t="shared" si="24"/>
        <v>1.5</v>
      </c>
    </row>
    <row r="35" spans="1:84" ht="17.25" customHeight="1">
      <c r="A35" s="983"/>
      <c r="B35" s="715"/>
      <c r="C35" s="715"/>
      <c r="D35" s="715"/>
      <c r="E35" s="715"/>
      <c r="F35" s="715"/>
      <c r="G35" s="715"/>
      <c r="H35" s="715"/>
      <c r="I35" s="715"/>
      <c r="J35" s="715"/>
      <c r="K35" s="715"/>
      <c r="L35" s="715"/>
      <c r="M35" s="715"/>
      <c r="N35" s="715"/>
      <c r="O35" s="715"/>
      <c r="P35" s="715"/>
      <c r="Q35" s="715"/>
      <c r="R35" s="715"/>
      <c r="S35" s="715"/>
      <c r="T35" s="715"/>
      <c r="U35" s="715"/>
      <c r="V35" s="715"/>
      <c r="W35" s="715"/>
      <c r="X35" s="715"/>
      <c r="Y35" s="715"/>
      <c r="Z35" s="715"/>
      <c r="AA35" s="715"/>
      <c r="AB35" s="715"/>
      <c r="AC35" s="715"/>
      <c r="AD35" s="715"/>
      <c r="AE35" s="715"/>
      <c r="AF35" s="715"/>
      <c r="AG35" s="715"/>
      <c r="AH35" s="715"/>
      <c r="AI35" s="715"/>
      <c r="AJ35" s="715"/>
      <c r="AK35" s="715"/>
      <c r="AL35" s="715"/>
      <c r="AM35" s="715"/>
      <c r="AN35" s="715"/>
      <c r="AO35" s="715"/>
      <c r="AP35" s="715"/>
      <c r="AQ35" s="715"/>
      <c r="AR35" s="715"/>
      <c r="AS35" s="715"/>
      <c r="AT35" s="715"/>
      <c r="AU35" s="715"/>
      <c r="AV35" s="715"/>
      <c r="AW35" s="715"/>
      <c r="AX35" s="715"/>
      <c r="AY35" s="715"/>
      <c r="AZ35" s="715"/>
      <c r="BA35" s="719"/>
      <c r="BB35" s="739"/>
      <c r="BC35" s="739" t="s">
        <v>145</v>
      </c>
      <c r="BD35" s="739"/>
      <c r="BE35" s="757"/>
      <c r="BF35" s="757"/>
      <c r="BG35" s="757"/>
      <c r="BH35" s="757"/>
      <c r="BI35" s="739"/>
      <c r="BJ35" s="739"/>
      <c r="BK35" s="739" t="s">
        <v>145</v>
      </c>
      <c r="BL35" s="739"/>
      <c r="BM35" s="715"/>
      <c r="BN35" s="715"/>
      <c r="BO35" s="715"/>
      <c r="BP35" s="715"/>
      <c r="BQ35" s="715"/>
      <c r="BR35" s="715"/>
      <c r="BS35" s="715"/>
      <c r="BT35" s="715"/>
      <c r="BU35" s="715"/>
      <c r="BV35" s="715"/>
      <c r="BW35" s="781" t="s">
        <v>122</v>
      </c>
      <c r="BX35" s="782">
        <v>161</v>
      </c>
      <c r="BY35" s="780">
        <f t="shared" si="17"/>
        <v>1.5</v>
      </c>
      <c r="BZ35" s="731">
        <f t="shared" ref="BZ35:BZ46" si="25">SUMIF(BI$3:BI$36,$BX35,BH$3:BH$36)</f>
        <v>0</v>
      </c>
      <c r="CA35" s="731">
        <f t="shared" ref="CA35:CA46" si="26">SUMIF(BQ$3:BQ$36,$BX35,BP$3:BP$36)</f>
        <v>0</v>
      </c>
      <c r="CB35" s="731">
        <f t="shared" si="20"/>
        <v>0</v>
      </c>
      <c r="CC35" s="731">
        <f t="shared" si="21"/>
        <v>0</v>
      </c>
      <c r="CD35" s="731">
        <f t="shared" si="22"/>
        <v>0</v>
      </c>
      <c r="CE35" s="731">
        <f t="shared" si="23"/>
        <v>0</v>
      </c>
      <c r="CF35" s="731">
        <f t="shared" si="24"/>
        <v>1.5</v>
      </c>
    </row>
    <row r="36" spans="1:84" ht="16.5" customHeight="1">
      <c r="A36" s="984"/>
      <c r="B36" s="715"/>
      <c r="C36" s="715"/>
      <c r="D36" s="715"/>
      <c r="E36" s="715"/>
      <c r="F36" s="715"/>
      <c r="G36" s="715"/>
      <c r="H36" s="715"/>
      <c r="I36" s="715"/>
      <c r="J36" s="715"/>
      <c r="K36" s="715"/>
      <c r="L36" s="715"/>
      <c r="M36" s="715"/>
      <c r="N36" s="715"/>
      <c r="O36" s="715"/>
      <c r="P36" s="715"/>
      <c r="Q36" s="715"/>
      <c r="R36" s="715"/>
      <c r="S36" s="715"/>
      <c r="T36" s="715"/>
      <c r="U36" s="715"/>
      <c r="V36" s="715"/>
      <c r="W36" s="715"/>
      <c r="X36" s="715"/>
      <c r="Y36" s="715"/>
      <c r="Z36" s="715"/>
      <c r="AA36" s="715"/>
      <c r="AB36" s="715"/>
      <c r="AC36" s="715"/>
      <c r="AD36" s="715"/>
      <c r="AE36" s="715"/>
      <c r="AF36" s="715"/>
      <c r="AG36" s="715"/>
      <c r="AH36" s="715"/>
      <c r="AI36" s="715"/>
      <c r="AJ36" s="715"/>
      <c r="AK36" s="715"/>
      <c r="AL36" s="715"/>
      <c r="AM36" s="715"/>
      <c r="AN36" s="715"/>
      <c r="AO36" s="715"/>
      <c r="AP36" s="715"/>
      <c r="AQ36" s="715"/>
      <c r="AR36" s="715"/>
      <c r="AS36" s="715"/>
      <c r="AT36" s="715"/>
      <c r="AU36" s="715"/>
      <c r="AV36" s="715"/>
      <c r="AW36" s="715"/>
      <c r="AX36" s="715"/>
      <c r="AY36" s="715"/>
      <c r="AZ36" s="715"/>
      <c r="BA36" s="719"/>
      <c r="BB36" s="739"/>
      <c r="BC36" s="739" t="s">
        <v>145</v>
      </c>
      <c r="BD36" s="739"/>
      <c r="BE36" s="757"/>
      <c r="BF36" s="757"/>
      <c r="BG36" s="757"/>
      <c r="BH36" s="757"/>
      <c r="BI36" s="739"/>
      <c r="BJ36" s="739"/>
      <c r="BK36" s="739" t="s">
        <v>145</v>
      </c>
      <c r="BL36" s="739"/>
      <c r="BM36" s="715"/>
      <c r="BN36" s="715"/>
      <c r="BO36" s="715"/>
      <c r="BP36" s="715"/>
      <c r="BQ36" s="715"/>
      <c r="BR36" s="715"/>
      <c r="BS36" s="715"/>
      <c r="BT36" s="715"/>
      <c r="BU36" s="715"/>
      <c r="BV36" s="715"/>
      <c r="BW36" s="781" t="s">
        <v>125</v>
      </c>
      <c r="BX36" s="782">
        <v>181</v>
      </c>
      <c r="BY36" s="780">
        <f t="shared" si="17"/>
        <v>3.4000000000000092</v>
      </c>
      <c r="BZ36" s="731">
        <f t="shared" si="25"/>
        <v>0</v>
      </c>
      <c r="CA36" s="731">
        <f t="shared" si="26"/>
        <v>0</v>
      </c>
      <c r="CB36" s="731">
        <f t="shared" si="20"/>
        <v>0</v>
      </c>
      <c r="CC36" s="731">
        <f t="shared" si="21"/>
        <v>0</v>
      </c>
      <c r="CD36" s="731">
        <f t="shared" si="22"/>
        <v>0</v>
      </c>
      <c r="CE36" s="731">
        <f t="shared" si="23"/>
        <v>0</v>
      </c>
      <c r="CF36" s="731">
        <f t="shared" si="24"/>
        <v>3.4000000000000092</v>
      </c>
    </row>
    <row r="37" spans="1:84" ht="16.5" customHeight="1">
      <c r="A37" s="715"/>
      <c r="B37" s="715"/>
      <c r="C37" s="715"/>
      <c r="D37" s="715"/>
      <c r="E37" s="715"/>
      <c r="F37" s="715"/>
      <c r="G37" s="715"/>
      <c r="H37" s="715"/>
      <c r="I37" s="715"/>
      <c r="J37" s="715"/>
      <c r="K37" s="715"/>
      <c r="L37" s="715"/>
      <c r="M37" s="715"/>
      <c r="N37" s="715"/>
      <c r="O37" s="715"/>
      <c r="P37" s="715"/>
      <c r="Q37" s="715"/>
      <c r="R37" s="715"/>
      <c r="S37" s="715"/>
      <c r="T37" s="715"/>
      <c r="U37" s="715"/>
      <c r="V37" s="715"/>
      <c r="W37" s="715"/>
      <c r="X37" s="715"/>
      <c r="Y37" s="715"/>
      <c r="Z37" s="715"/>
      <c r="AA37" s="715"/>
      <c r="AB37" s="715"/>
      <c r="AC37" s="715"/>
      <c r="AD37" s="715"/>
      <c r="AE37" s="715"/>
      <c r="AF37" s="715"/>
      <c r="AG37" s="715"/>
      <c r="AH37" s="715"/>
      <c r="AI37" s="715"/>
      <c r="AJ37" s="715"/>
      <c r="AK37" s="715"/>
      <c r="AL37" s="715"/>
      <c r="AM37" s="715"/>
      <c r="AN37" s="715"/>
      <c r="AO37" s="715"/>
      <c r="AP37" s="715"/>
      <c r="AQ37" s="715"/>
      <c r="AR37" s="715"/>
      <c r="AS37" s="715"/>
      <c r="AT37" s="715"/>
      <c r="AU37" s="715"/>
      <c r="AV37" s="715"/>
      <c r="AW37" s="715"/>
      <c r="AX37" s="715"/>
      <c r="AY37" s="715"/>
      <c r="AZ37" s="715"/>
      <c r="BA37" s="715"/>
      <c r="BB37" s="715"/>
      <c r="BC37" s="715"/>
      <c r="BD37" s="715"/>
      <c r="BE37" s="715"/>
      <c r="BF37" s="715"/>
      <c r="BG37" s="715"/>
      <c r="BH37" s="715"/>
      <c r="BI37" s="715"/>
      <c r="BJ37" s="715"/>
      <c r="BK37" s="715"/>
      <c r="BL37" s="715"/>
      <c r="BM37" s="715"/>
      <c r="BN37" s="715"/>
      <c r="BO37" s="715"/>
      <c r="BP37" s="715"/>
      <c r="BQ37" s="715"/>
      <c r="BR37" s="715"/>
      <c r="BS37" s="715"/>
      <c r="BT37" s="715"/>
      <c r="BU37" s="715"/>
      <c r="BV37" s="715"/>
      <c r="BW37" s="781" t="s">
        <v>86</v>
      </c>
      <c r="BX37" s="782">
        <v>186</v>
      </c>
      <c r="BY37" s="780">
        <f t="shared" ref="BY37:BY43" si="27">SUM(BZ37:CF37)</f>
        <v>3.8000000000000158</v>
      </c>
      <c r="BZ37" s="731">
        <f t="shared" si="25"/>
        <v>0</v>
      </c>
      <c r="CA37" s="731">
        <f t="shared" si="26"/>
        <v>0</v>
      </c>
      <c r="CB37" s="731">
        <f t="shared" si="20"/>
        <v>0</v>
      </c>
      <c r="CC37" s="731">
        <f t="shared" si="21"/>
        <v>0</v>
      </c>
      <c r="CD37" s="731">
        <f t="shared" si="22"/>
        <v>0</v>
      </c>
      <c r="CE37" s="731">
        <f t="shared" si="23"/>
        <v>3.8000000000000158</v>
      </c>
      <c r="CF37" s="731">
        <f t="shared" si="24"/>
        <v>0</v>
      </c>
    </row>
    <row r="38" spans="1:84" ht="17.25" customHeight="1">
      <c r="A38" s="715"/>
      <c r="B38" s="715"/>
      <c r="C38" s="715"/>
      <c r="D38" s="715"/>
      <c r="E38" s="715"/>
      <c r="F38" s="715"/>
      <c r="G38" s="715"/>
      <c r="H38" s="715"/>
      <c r="I38" s="715"/>
      <c r="J38" s="715"/>
      <c r="K38" s="715"/>
      <c r="L38" s="715"/>
      <c r="M38" s="715"/>
      <c r="N38" s="715"/>
      <c r="O38" s="715"/>
      <c r="P38" s="715"/>
      <c r="Q38" s="715"/>
      <c r="R38" s="715"/>
      <c r="S38" s="715"/>
      <c r="T38" s="715"/>
      <c r="U38" s="715"/>
      <c r="V38" s="715"/>
      <c r="W38" s="715"/>
      <c r="X38" s="715"/>
      <c r="Y38" s="715"/>
      <c r="Z38" s="715"/>
      <c r="AA38" s="715"/>
      <c r="AB38" s="715"/>
      <c r="AC38" s="715"/>
      <c r="AD38" s="715"/>
      <c r="AE38" s="715"/>
      <c r="AF38" s="715"/>
      <c r="AG38" s="715"/>
      <c r="AH38" s="715"/>
      <c r="AI38" s="715"/>
      <c r="AJ38" s="715"/>
      <c r="AK38" s="715"/>
      <c r="AL38" s="715"/>
      <c r="AM38" s="715"/>
      <c r="AN38" s="715"/>
      <c r="AO38" s="715"/>
      <c r="AP38" s="715"/>
      <c r="AQ38" s="715"/>
      <c r="AR38" s="715"/>
      <c r="AS38" s="715"/>
      <c r="AT38" s="715"/>
      <c r="AU38" s="715"/>
      <c r="AV38" s="715"/>
      <c r="AW38" s="715"/>
      <c r="AX38" s="715"/>
      <c r="AY38" s="715"/>
      <c r="AZ38" s="715"/>
      <c r="BA38" s="715"/>
      <c r="BB38" s="715"/>
      <c r="BC38" s="715"/>
      <c r="BD38" s="715"/>
      <c r="BE38" s="715"/>
      <c r="BF38" s="715"/>
      <c r="BG38" s="715"/>
      <c r="BH38" s="715"/>
      <c r="BI38" s="715"/>
      <c r="BJ38" s="715"/>
      <c r="BK38" s="715"/>
      <c r="BL38" s="715"/>
      <c r="BM38" s="715"/>
      <c r="BN38" s="715"/>
      <c r="BO38" s="715"/>
      <c r="BP38" s="715"/>
      <c r="BQ38" s="715"/>
      <c r="BR38" s="715"/>
      <c r="BS38" s="715"/>
      <c r="BT38" s="715"/>
      <c r="BU38" s="715"/>
      <c r="BV38" s="715"/>
      <c r="BW38" s="781" t="s">
        <v>110</v>
      </c>
      <c r="BX38" s="782">
        <v>196</v>
      </c>
      <c r="BY38" s="780">
        <f t="shared" si="27"/>
        <v>2.3000000000000158</v>
      </c>
      <c r="BZ38" s="731">
        <f t="shared" si="25"/>
        <v>0</v>
      </c>
      <c r="CA38" s="731">
        <f t="shared" si="26"/>
        <v>0</v>
      </c>
      <c r="CB38" s="731">
        <f t="shared" si="20"/>
        <v>0</v>
      </c>
      <c r="CC38" s="731">
        <f t="shared" si="21"/>
        <v>0</v>
      </c>
      <c r="CD38" s="731">
        <f t="shared" si="22"/>
        <v>0</v>
      </c>
      <c r="CE38" s="731">
        <f t="shared" si="23"/>
        <v>2.3000000000000158</v>
      </c>
      <c r="CF38" s="731">
        <f t="shared" si="24"/>
        <v>0</v>
      </c>
    </row>
    <row r="39" spans="1:84" ht="17.25" customHeight="1">
      <c r="A39" s="732"/>
      <c r="B39" s="733"/>
      <c r="C39" s="733"/>
      <c r="D39" s="733"/>
      <c r="E39" s="733"/>
      <c r="F39" s="733"/>
      <c r="G39" s="733"/>
      <c r="H39" s="733"/>
      <c r="I39" s="733"/>
      <c r="J39" s="733"/>
      <c r="K39" s="733"/>
      <c r="L39" s="733"/>
      <c r="M39" s="733"/>
      <c r="N39" s="733"/>
      <c r="O39" s="733"/>
      <c r="P39" s="733"/>
      <c r="Q39" s="733"/>
      <c r="R39" s="733"/>
      <c r="S39" s="733"/>
      <c r="T39" s="733"/>
      <c r="U39" s="733"/>
      <c r="V39" s="733"/>
      <c r="W39" s="733"/>
      <c r="X39" s="733"/>
      <c r="Y39" s="733"/>
      <c r="Z39" s="733"/>
      <c r="AA39" s="733"/>
      <c r="AB39" s="732"/>
      <c r="AC39" s="733"/>
      <c r="AD39" s="733"/>
      <c r="AE39" s="733"/>
      <c r="AF39" s="733"/>
      <c r="AG39" s="733"/>
      <c r="AH39" s="732"/>
      <c r="AI39" s="732"/>
      <c r="AJ39" s="732"/>
      <c r="AK39" s="732"/>
      <c r="AL39" s="733"/>
      <c r="AM39" s="733"/>
      <c r="AN39" s="733"/>
      <c r="AO39" s="733"/>
      <c r="AP39" s="733"/>
      <c r="AQ39" s="733"/>
      <c r="AR39" s="733"/>
      <c r="AS39" s="733"/>
      <c r="AT39" s="733"/>
      <c r="AU39" s="733"/>
      <c r="AV39" s="733"/>
      <c r="AW39" s="733"/>
      <c r="AX39" s="732"/>
      <c r="AY39" s="732"/>
      <c r="AZ39" s="732"/>
      <c r="BA39" s="732"/>
      <c r="BB39" s="732"/>
      <c r="BC39" s="732"/>
      <c r="BD39" s="732"/>
      <c r="BE39" s="10"/>
      <c r="BF39" s="220"/>
      <c r="BG39" s="760"/>
      <c r="BH39" s="732"/>
      <c r="BI39" s="732"/>
      <c r="BJ39" s="732"/>
      <c r="BK39" s="732"/>
      <c r="BL39" s="732"/>
      <c r="BS39" s="715"/>
      <c r="BT39" s="715"/>
      <c r="BU39" s="715"/>
      <c r="BV39" s="715"/>
      <c r="BW39" s="781" t="s">
        <v>128</v>
      </c>
      <c r="BX39" s="782">
        <v>198</v>
      </c>
      <c r="BY39" s="780">
        <f t="shared" si="27"/>
        <v>4.0666666666666806</v>
      </c>
      <c r="BZ39" s="731">
        <f t="shared" si="25"/>
        <v>0</v>
      </c>
      <c r="CA39" s="731">
        <f t="shared" si="26"/>
        <v>0</v>
      </c>
      <c r="CB39" s="731">
        <f t="shared" si="20"/>
        <v>0</v>
      </c>
      <c r="CC39" s="731">
        <f t="shared" si="21"/>
        <v>4.0666666666666806</v>
      </c>
      <c r="CD39" s="731">
        <f t="shared" si="22"/>
        <v>0</v>
      </c>
      <c r="CE39" s="731">
        <f t="shared" si="23"/>
        <v>0</v>
      </c>
      <c r="CF39" s="731">
        <f t="shared" si="24"/>
        <v>0</v>
      </c>
    </row>
    <row r="40" spans="1:84" ht="17.25" customHeight="1">
      <c r="A40" s="732"/>
      <c r="B40" s="733"/>
      <c r="C40" s="733"/>
      <c r="D40" s="733"/>
      <c r="E40" s="733"/>
      <c r="F40" s="733"/>
      <c r="G40" s="733"/>
      <c r="H40" s="733"/>
      <c r="I40" s="733"/>
      <c r="J40" s="733"/>
      <c r="K40" s="733"/>
      <c r="L40" s="733"/>
      <c r="M40" s="733"/>
      <c r="N40" s="733"/>
      <c r="O40" s="733"/>
      <c r="P40" s="733"/>
      <c r="Q40" s="733"/>
      <c r="R40" s="733"/>
      <c r="S40" s="733"/>
      <c r="T40" s="733"/>
      <c r="U40" s="733"/>
      <c r="V40" s="733"/>
      <c r="W40" s="733"/>
      <c r="X40" s="733"/>
      <c r="Y40" s="733"/>
      <c r="Z40" s="733"/>
      <c r="AA40" s="733"/>
      <c r="AB40" s="732"/>
      <c r="AC40" s="733"/>
      <c r="AD40" s="733"/>
      <c r="AE40" s="733"/>
      <c r="AF40" s="733"/>
      <c r="AG40" s="733"/>
      <c r="AH40" s="732"/>
      <c r="AI40" s="732"/>
      <c r="AJ40" s="732"/>
      <c r="AK40" s="732"/>
      <c r="AL40" s="733"/>
      <c r="AM40" s="733"/>
      <c r="AN40" s="733"/>
      <c r="AO40" s="733"/>
      <c r="AP40" s="733"/>
      <c r="AQ40" s="733"/>
      <c r="AR40" s="733"/>
      <c r="AS40" s="733"/>
      <c r="AT40" s="733"/>
      <c r="AU40" s="733"/>
      <c r="AV40" s="733"/>
      <c r="AW40" s="733"/>
      <c r="AX40" s="732"/>
      <c r="AY40" s="732"/>
      <c r="AZ40" s="732"/>
      <c r="BA40" s="732"/>
      <c r="BB40" s="732"/>
      <c r="BC40" s="732"/>
      <c r="BD40" s="732"/>
      <c r="BE40" s="10"/>
      <c r="BF40" s="220"/>
      <c r="BG40" s="760"/>
      <c r="BH40" s="732"/>
      <c r="BI40" s="732"/>
      <c r="BJ40" s="732"/>
      <c r="BK40" s="732"/>
      <c r="BL40" s="732"/>
      <c r="BS40" s="715"/>
      <c r="BT40" s="715"/>
      <c r="BU40" s="715"/>
      <c r="BV40" s="715"/>
      <c r="BW40" s="783" t="s">
        <v>130</v>
      </c>
      <c r="BX40" s="782">
        <v>202</v>
      </c>
      <c r="BY40" s="780">
        <f t="shared" si="27"/>
        <v>5.0500000000000327</v>
      </c>
      <c r="BZ40" s="731">
        <f t="shared" si="25"/>
        <v>0</v>
      </c>
      <c r="CA40" s="731">
        <f t="shared" si="26"/>
        <v>0</v>
      </c>
      <c r="CB40" s="731">
        <f t="shared" si="20"/>
        <v>0</v>
      </c>
      <c r="CC40" s="731">
        <f t="shared" si="21"/>
        <v>0</v>
      </c>
      <c r="CD40" s="731">
        <f t="shared" si="22"/>
        <v>0</v>
      </c>
      <c r="CE40" s="731">
        <f t="shared" si="23"/>
        <v>0</v>
      </c>
      <c r="CF40" s="731">
        <f t="shared" si="24"/>
        <v>5.0500000000000327</v>
      </c>
    </row>
    <row r="41" spans="1:84" ht="17.25" customHeight="1">
      <c r="A41" s="732"/>
      <c r="B41" s="733"/>
      <c r="C41" s="733"/>
      <c r="D41" s="733"/>
      <c r="E41" s="733"/>
      <c r="F41" s="733"/>
      <c r="G41" s="733"/>
      <c r="H41" s="733"/>
      <c r="I41" s="733"/>
      <c r="J41" s="733"/>
      <c r="K41" s="733"/>
      <c r="L41" s="733"/>
      <c r="M41" s="733"/>
      <c r="N41" s="733"/>
      <c r="O41" s="733"/>
      <c r="P41" s="733"/>
      <c r="Q41" s="733"/>
      <c r="R41" s="733"/>
      <c r="S41" s="733"/>
      <c r="T41" s="733"/>
      <c r="U41" s="733"/>
      <c r="V41" s="733"/>
      <c r="W41" s="733"/>
      <c r="X41" s="733"/>
      <c r="Y41" s="733"/>
      <c r="Z41" s="733"/>
      <c r="AA41" s="733"/>
      <c r="AB41" s="732"/>
      <c r="AC41" s="733"/>
      <c r="AD41" s="733"/>
      <c r="AE41" s="733"/>
      <c r="AF41" s="733"/>
      <c r="AG41" s="733"/>
      <c r="AH41" s="732"/>
      <c r="AI41" s="732"/>
      <c r="AJ41" s="732"/>
      <c r="AK41" s="732"/>
      <c r="AL41" s="733"/>
      <c r="AM41" s="733"/>
      <c r="AN41" s="733"/>
      <c r="AO41" s="733"/>
      <c r="AP41" s="733"/>
      <c r="AQ41" s="733"/>
      <c r="AR41" s="733"/>
      <c r="AS41" s="733"/>
      <c r="AT41" s="733"/>
      <c r="AU41" s="733"/>
      <c r="AV41" s="733"/>
      <c r="AW41" s="733"/>
      <c r="AX41" s="732"/>
      <c r="AY41" s="732"/>
      <c r="AZ41" s="732"/>
      <c r="BA41" s="732"/>
      <c r="BB41" s="732"/>
      <c r="BC41" s="732"/>
      <c r="BD41" s="732"/>
      <c r="BE41" s="10"/>
      <c r="BF41" s="220"/>
      <c r="BG41" s="760"/>
      <c r="BH41" s="732"/>
      <c r="BI41" s="732"/>
      <c r="BJ41" s="732"/>
      <c r="BK41" s="732"/>
      <c r="BL41" s="732"/>
      <c r="BT41" s="715"/>
      <c r="BU41" s="715"/>
      <c r="BV41" s="715"/>
      <c r="BW41" s="786" t="s">
        <v>131</v>
      </c>
      <c r="BX41" s="779">
        <v>203</v>
      </c>
      <c r="BY41" s="780">
        <f t="shared" si="27"/>
        <v>4.6500000000000252</v>
      </c>
      <c r="BZ41" s="731">
        <f t="shared" si="25"/>
        <v>0</v>
      </c>
      <c r="CA41" s="731">
        <f t="shared" si="26"/>
        <v>0</v>
      </c>
      <c r="CB41" s="731">
        <f t="shared" si="20"/>
        <v>0</v>
      </c>
      <c r="CC41" s="731">
        <f t="shared" si="21"/>
        <v>0</v>
      </c>
      <c r="CD41" s="731">
        <f t="shared" si="22"/>
        <v>0</v>
      </c>
      <c r="CE41" s="731">
        <f t="shared" si="23"/>
        <v>0</v>
      </c>
      <c r="CF41" s="731">
        <f t="shared" si="24"/>
        <v>4.6500000000000252</v>
      </c>
    </row>
    <row r="42" spans="1:84" ht="17.25" customHeight="1">
      <c r="A42" s="732"/>
      <c r="B42" s="733"/>
      <c r="C42" s="733"/>
      <c r="D42" s="733"/>
      <c r="E42" s="733"/>
      <c r="F42" s="733"/>
      <c r="G42" s="733"/>
      <c r="H42" s="733"/>
      <c r="I42" s="733"/>
      <c r="J42" s="733"/>
      <c r="K42" s="733"/>
      <c r="L42" s="733"/>
      <c r="M42" s="733"/>
      <c r="N42" s="733"/>
      <c r="O42" s="733"/>
      <c r="P42" s="733"/>
      <c r="Q42" s="733"/>
      <c r="R42" s="733"/>
      <c r="S42" s="733"/>
      <c r="T42" s="733"/>
      <c r="U42" s="733"/>
      <c r="V42" s="733"/>
      <c r="W42" s="733"/>
      <c r="X42" s="733"/>
      <c r="Y42" s="733"/>
      <c r="Z42" s="733"/>
      <c r="AA42" s="733"/>
      <c r="AB42" s="732"/>
      <c r="AC42" s="733"/>
      <c r="AD42" s="733"/>
      <c r="AE42" s="733"/>
      <c r="AF42" s="733"/>
      <c r="AG42" s="733"/>
      <c r="AH42" s="732"/>
      <c r="AI42" s="732"/>
      <c r="AJ42" s="732"/>
      <c r="AK42" s="732"/>
      <c r="AL42" s="733"/>
      <c r="AM42" s="733"/>
      <c r="AN42" s="733"/>
      <c r="AO42" s="733"/>
      <c r="AP42" s="733"/>
      <c r="AQ42" s="733"/>
      <c r="AR42" s="733"/>
      <c r="AS42" s="733"/>
      <c r="AT42" s="733"/>
      <c r="AU42" s="733"/>
      <c r="AV42" s="733"/>
      <c r="AW42" s="733"/>
      <c r="AX42" s="732"/>
      <c r="AY42" s="732"/>
      <c r="AZ42" s="732"/>
      <c r="BA42" s="732"/>
      <c r="BB42" s="732"/>
      <c r="BC42" s="732"/>
      <c r="BD42" s="732"/>
      <c r="BE42" s="10"/>
      <c r="BF42" s="220"/>
      <c r="BG42" s="760"/>
      <c r="BH42" s="732"/>
      <c r="BI42" s="732"/>
      <c r="BJ42" s="732"/>
      <c r="BK42" s="732"/>
      <c r="BL42" s="732"/>
      <c r="BT42" s="715"/>
      <c r="BU42" s="715"/>
      <c r="BV42" s="715"/>
      <c r="BW42" s="786" t="s">
        <v>132</v>
      </c>
      <c r="BX42" s="782">
        <v>204</v>
      </c>
      <c r="BY42" s="780">
        <f t="shared" si="27"/>
        <v>3.1333333333333195</v>
      </c>
      <c r="BZ42" s="731">
        <f t="shared" si="25"/>
        <v>1.8</v>
      </c>
      <c r="CA42" s="731">
        <f t="shared" si="26"/>
        <v>0</v>
      </c>
      <c r="CB42" s="731">
        <f t="shared" si="20"/>
        <v>0</v>
      </c>
      <c r="CC42" s="731">
        <f t="shared" si="21"/>
        <v>0</v>
      </c>
      <c r="CD42" s="731">
        <f t="shared" si="22"/>
        <v>1.3333333333333193</v>
      </c>
      <c r="CE42" s="731">
        <f t="shared" si="23"/>
        <v>0</v>
      </c>
      <c r="CF42" s="731">
        <f t="shared" si="24"/>
        <v>0</v>
      </c>
    </row>
    <row r="43" spans="1:84" ht="17.25" customHeight="1">
      <c r="A43" s="732"/>
      <c r="B43" s="733"/>
      <c r="C43" s="733"/>
      <c r="D43" s="733"/>
      <c r="E43" s="733"/>
      <c r="F43" s="733"/>
      <c r="G43" s="733"/>
      <c r="H43" s="733"/>
      <c r="I43" s="733"/>
      <c r="J43" s="733"/>
      <c r="K43" s="733"/>
      <c r="L43" s="733"/>
      <c r="M43" s="733"/>
      <c r="N43" s="733"/>
      <c r="O43" s="733"/>
      <c r="P43" s="733"/>
      <c r="Q43" s="733"/>
      <c r="R43" s="733"/>
      <c r="S43" s="733"/>
      <c r="T43" s="733"/>
      <c r="U43" s="733"/>
      <c r="V43" s="733"/>
      <c r="W43" s="733"/>
      <c r="X43" s="733"/>
      <c r="Y43" s="733"/>
      <c r="Z43" s="733"/>
      <c r="AA43" s="733"/>
      <c r="AB43" s="732"/>
      <c r="AC43" s="733"/>
      <c r="AD43" s="733"/>
      <c r="AE43" s="733"/>
      <c r="AF43" s="733"/>
      <c r="AG43" s="733"/>
      <c r="AH43" s="732"/>
      <c r="AI43" s="732"/>
      <c r="AJ43" s="732"/>
      <c r="AK43" s="732"/>
      <c r="AL43" s="733"/>
      <c r="AM43" s="733"/>
      <c r="AN43" s="733"/>
      <c r="AO43" s="733"/>
      <c r="AP43" s="733"/>
      <c r="AQ43" s="733"/>
      <c r="AR43" s="733"/>
      <c r="AS43" s="733"/>
      <c r="AT43" s="733"/>
      <c r="AU43" s="733"/>
      <c r="AV43" s="733"/>
      <c r="AW43" s="733"/>
      <c r="AX43" s="732"/>
      <c r="AY43" s="732"/>
      <c r="AZ43" s="732"/>
      <c r="BA43" s="732"/>
      <c r="BB43" s="732"/>
      <c r="BC43" s="732"/>
      <c r="BD43" s="732"/>
      <c r="BE43" s="761"/>
      <c r="BF43" s="222"/>
      <c r="BG43" s="760"/>
      <c r="BH43" s="732"/>
      <c r="BI43" s="732"/>
      <c r="BJ43" s="732"/>
      <c r="BK43" s="732"/>
      <c r="BL43" s="732"/>
      <c r="BU43" s="715"/>
      <c r="BV43" s="715"/>
      <c r="BW43" s="786" t="s">
        <v>133</v>
      </c>
      <c r="BX43" s="782">
        <v>205</v>
      </c>
      <c r="BY43" s="780">
        <f t="shared" si="27"/>
        <v>0</v>
      </c>
      <c r="BZ43" s="731">
        <f t="shared" si="25"/>
        <v>0</v>
      </c>
      <c r="CA43" s="731">
        <f t="shared" si="26"/>
        <v>0</v>
      </c>
      <c r="CB43" s="731">
        <f t="shared" si="20"/>
        <v>0</v>
      </c>
      <c r="CC43" s="731">
        <f t="shared" si="21"/>
        <v>0</v>
      </c>
      <c r="CD43" s="731">
        <f t="shared" si="22"/>
        <v>0</v>
      </c>
      <c r="CE43" s="731">
        <f t="shared" si="23"/>
        <v>0</v>
      </c>
      <c r="CF43" s="731">
        <f t="shared" si="24"/>
        <v>0</v>
      </c>
    </row>
    <row r="44" spans="1:84" ht="17.25" customHeight="1">
      <c r="A44" s="732"/>
      <c r="B44" s="733"/>
      <c r="C44" s="733"/>
      <c r="D44" s="733"/>
      <c r="E44" s="733"/>
      <c r="F44" s="733"/>
      <c r="G44" s="733"/>
      <c r="H44" s="733"/>
      <c r="I44" s="733"/>
      <c r="J44" s="733"/>
      <c r="K44" s="733"/>
      <c r="L44" s="733"/>
      <c r="M44" s="733"/>
      <c r="N44" s="733"/>
      <c r="O44" s="733"/>
      <c r="P44" s="733"/>
      <c r="Q44" s="733"/>
      <c r="R44" s="733"/>
      <c r="S44" s="733"/>
      <c r="T44" s="733"/>
      <c r="U44" s="733"/>
      <c r="V44" s="733"/>
      <c r="W44" s="733"/>
      <c r="X44" s="733"/>
      <c r="Y44" s="733"/>
      <c r="Z44" s="733"/>
      <c r="AA44" s="733"/>
      <c r="AB44" s="732"/>
      <c r="AC44" s="733"/>
      <c r="AD44" s="733"/>
      <c r="AE44" s="733"/>
      <c r="AF44" s="733"/>
      <c r="AG44" s="733"/>
      <c r="AH44" s="732"/>
      <c r="AI44" s="732"/>
      <c r="AJ44" s="732"/>
      <c r="AK44" s="732"/>
      <c r="AL44" s="733"/>
      <c r="AM44" s="733"/>
      <c r="AN44" s="733"/>
      <c r="AO44" s="733"/>
      <c r="AP44" s="733"/>
      <c r="AQ44" s="733"/>
      <c r="AR44" s="733"/>
      <c r="AS44" s="733"/>
      <c r="AT44" s="733"/>
      <c r="AU44" s="733"/>
      <c r="AV44" s="733"/>
      <c r="AW44" s="733"/>
      <c r="AX44" s="732"/>
      <c r="AY44" s="732"/>
      <c r="AZ44" s="732"/>
      <c r="BA44" s="732"/>
      <c r="BB44" s="732"/>
      <c r="BC44" s="732"/>
      <c r="BD44" s="732"/>
      <c r="BE44" s="663"/>
      <c r="BF44" s="220"/>
      <c r="BG44" s="760"/>
      <c r="BH44" s="732"/>
      <c r="BI44" s="732"/>
      <c r="BJ44" s="732"/>
      <c r="BK44" s="732"/>
      <c r="BL44" s="732"/>
      <c r="BU44" s="715"/>
      <c r="BV44" s="715"/>
      <c r="BW44" s="786" t="s">
        <v>134</v>
      </c>
      <c r="BX44" s="782">
        <v>206</v>
      </c>
      <c r="BY44" s="780">
        <f t="shared" ref="BY44:BY54" si="28">SUM(BZ44:CF44)</f>
        <v>3.5833333333333459</v>
      </c>
      <c r="BZ44" s="731">
        <f t="shared" si="25"/>
        <v>0</v>
      </c>
      <c r="CA44" s="731">
        <f t="shared" si="26"/>
        <v>0</v>
      </c>
      <c r="CB44" s="731">
        <f t="shared" si="20"/>
        <v>3.5833333333333459</v>
      </c>
      <c r="CC44" s="731">
        <f t="shared" si="21"/>
        <v>0</v>
      </c>
      <c r="CD44" s="731">
        <f t="shared" si="22"/>
        <v>0</v>
      </c>
      <c r="CE44" s="731">
        <f t="shared" si="23"/>
        <v>0</v>
      </c>
      <c r="CF44" s="731">
        <f t="shared" si="24"/>
        <v>0</v>
      </c>
    </row>
    <row r="45" spans="1:84" ht="16.5" customHeight="1">
      <c r="A45" s="732"/>
      <c r="B45" s="733"/>
      <c r="C45" s="733"/>
      <c r="D45" s="733"/>
      <c r="E45" s="733"/>
      <c r="F45" s="733"/>
      <c r="G45" s="733"/>
      <c r="H45" s="733"/>
      <c r="I45" s="733"/>
      <c r="J45" s="733"/>
      <c r="K45" s="733"/>
      <c r="L45" s="733"/>
      <c r="M45" s="733"/>
      <c r="N45" s="733"/>
      <c r="O45" s="733"/>
      <c r="P45" s="733"/>
      <c r="Q45" s="733"/>
      <c r="R45" s="733"/>
      <c r="S45" s="733"/>
      <c r="T45" s="733"/>
      <c r="U45" s="733"/>
      <c r="V45" s="733"/>
      <c r="W45" s="733"/>
      <c r="X45" s="733"/>
      <c r="Y45" s="733"/>
      <c r="Z45" s="733"/>
      <c r="AA45" s="733"/>
      <c r="AB45" s="732"/>
      <c r="AC45" s="733"/>
      <c r="AD45" s="733"/>
      <c r="AE45" s="733"/>
      <c r="AF45" s="733"/>
      <c r="AG45" s="733"/>
      <c r="AH45" s="732"/>
      <c r="AI45" s="732"/>
      <c r="AJ45" s="732"/>
      <c r="AK45" s="732"/>
      <c r="AL45" s="733"/>
      <c r="AM45" s="733"/>
      <c r="AN45" s="733"/>
      <c r="AO45" s="733"/>
      <c r="AP45" s="733"/>
      <c r="AQ45" s="733"/>
      <c r="AR45" s="733"/>
      <c r="AS45" s="733"/>
      <c r="AT45" s="733"/>
      <c r="AU45" s="733"/>
      <c r="AV45" s="733"/>
      <c r="AW45" s="733"/>
      <c r="AX45" s="732"/>
      <c r="AY45" s="732"/>
      <c r="AZ45" s="732"/>
      <c r="BA45" s="732"/>
      <c r="BB45" s="732"/>
      <c r="BC45" s="732"/>
      <c r="BD45" s="732"/>
      <c r="BE45" s="664"/>
      <c r="BF45" s="220"/>
      <c r="BG45" s="760"/>
      <c r="BH45" s="732"/>
      <c r="BI45" s="732"/>
      <c r="BJ45" s="732"/>
      <c r="BK45" s="732"/>
      <c r="BL45" s="732"/>
      <c r="BU45" s="715"/>
      <c r="BV45" s="715"/>
      <c r="BW45" s="786" t="s">
        <v>136</v>
      </c>
      <c r="BX45" s="782">
        <v>208</v>
      </c>
      <c r="BY45" s="780">
        <f t="shared" si="28"/>
        <v>5.4000000000000021</v>
      </c>
      <c r="BZ45" s="731">
        <f t="shared" si="25"/>
        <v>0</v>
      </c>
      <c r="CA45" s="731">
        <f t="shared" si="26"/>
        <v>0</v>
      </c>
      <c r="CB45" s="731">
        <f t="shared" si="20"/>
        <v>0</v>
      </c>
      <c r="CC45" s="731">
        <f t="shared" si="21"/>
        <v>0</v>
      </c>
      <c r="CD45" s="731">
        <f t="shared" si="22"/>
        <v>5.4000000000000021</v>
      </c>
      <c r="CE45" s="731">
        <f t="shared" si="23"/>
        <v>0</v>
      </c>
      <c r="CF45" s="731">
        <f t="shared" si="24"/>
        <v>0</v>
      </c>
    </row>
    <row r="46" spans="1:84" ht="16.5" customHeight="1">
      <c r="A46" s="732"/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733"/>
      <c r="AB46" s="732"/>
      <c r="AC46" s="733"/>
      <c r="AD46" s="733"/>
      <c r="AE46" s="733"/>
      <c r="AF46" s="733"/>
      <c r="AG46" s="733"/>
      <c r="AH46" s="732"/>
      <c r="AI46" s="732"/>
      <c r="AJ46" s="732"/>
      <c r="AK46" s="732"/>
      <c r="AL46" s="733"/>
      <c r="AM46" s="733"/>
      <c r="AN46" s="733"/>
      <c r="AO46" s="733"/>
      <c r="AP46" s="733"/>
      <c r="AQ46" s="733"/>
      <c r="AR46" s="733"/>
      <c r="AS46" s="733"/>
      <c r="AT46" s="733"/>
      <c r="AU46" s="733"/>
      <c r="AV46" s="733"/>
      <c r="AW46" s="733"/>
      <c r="AX46" s="732"/>
      <c r="AY46" s="732"/>
      <c r="AZ46" s="732"/>
      <c r="BA46" s="732"/>
      <c r="BB46" s="732"/>
      <c r="BC46" s="732"/>
      <c r="BD46" s="732"/>
      <c r="BE46" s="10"/>
      <c r="BF46" s="220"/>
      <c r="BG46" s="760"/>
      <c r="BH46" s="732"/>
      <c r="BI46" s="732"/>
      <c r="BJ46" s="732"/>
      <c r="BK46" s="732"/>
      <c r="BL46" s="732"/>
      <c r="BU46" s="715"/>
      <c r="BV46" s="715"/>
      <c r="BW46" s="786" t="s">
        <v>137</v>
      </c>
      <c r="BX46" s="782">
        <v>209</v>
      </c>
      <c r="BY46" s="780">
        <f t="shared" si="28"/>
        <v>1.5</v>
      </c>
      <c r="BZ46" s="731">
        <f t="shared" si="25"/>
        <v>0</v>
      </c>
      <c r="CA46" s="731">
        <f t="shared" si="26"/>
        <v>0</v>
      </c>
      <c r="CB46" s="731">
        <f t="shared" ref="CB46:CB63" si="29">SUMIF(J$3:J$36,$BX46,I$3:I$36)</f>
        <v>0</v>
      </c>
      <c r="CC46" s="731">
        <f t="shared" ref="CC46:CC63" si="30">SUMIF(T$3:T$36,$BX46,S$3:S$36)</f>
        <v>0</v>
      </c>
      <c r="CD46" s="731">
        <f t="shared" ref="CD46:CD63" si="31">SUMIF(AD$3:AD$36,$BX46,AC$3:AC$36)</f>
        <v>0</v>
      </c>
      <c r="CE46" s="731">
        <f t="shared" ref="CE46:CE63" si="32">SUMIF(AN$3:AN$36,$BX46,AM$3:AM$36)</f>
        <v>1.5</v>
      </c>
      <c r="CF46" s="731">
        <f t="shared" ref="CF46:CF63" si="33">SUMIF(AY$3:AY$36,$BX46,AX$3:AX$36)</f>
        <v>0</v>
      </c>
    </row>
    <row r="47" spans="1:84" ht="16.5" customHeight="1">
      <c r="A47" s="732"/>
      <c r="B47" s="733"/>
      <c r="C47" s="733"/>
      <c r="D47" s="733"/>
      <c r="E47" s="733"/>
      <c r="F47" s="733"/>
      <c r="G47" s="733"/>
      <c r="H47" s="733"/>
      <c r="I47" s="733"/>
      <c r="J47" s="733"/>
      <c r="K47" s="733"/>
      <c r="L47" s="733"/>
      <c r="M47" s="733"/>
      <c r="N47" s="733"/>
      <c r="O47" s="733"/>
      <c r="P47" s="733"/>
      <c r="Q47" s="733"/>
      <c r="R47" s="733"/>
      <c r="S47" s="733"/>
      <c r="T47" s="733"/>
      <c r="U47" s="733"/>
      <c r="V47" s="733"/>
      <c r="W47" s="733"/>
      <c r="X47" s="733"/>
      <c r="Y47" s="733"/>
      <c r="Z47" s="733"/>
      <c r="AA47" s="733"/>
      <c r="AB47" s="732"/>
      <c r="AC47" s="733"/>
      <c r="AD47" s="733"/>
      <c r="AE47" s="733"/>
      <c r="AF47" s="733"/>
      <c r="AG47" s="733"/>
      <c r="AH47" s="732"/>
      <c r="AI47" s="732"/>
      <c r="AJ47" s="732"/>
      <c r="AK47" s="732"/>
      <c r="AL47" s="733"/>
      <c r="AM47" s="733"/>
      <c r="AN47" s="733"/>
      <c r="AO47" s="733"/>
      <c r="AP47" s="733"/>
      <c r="AQ47" s="733"/>
      <c r="AR47" s="733"/>
      <c r="AS47" s="733"/>
      <c r="AT47" s="733"/>
      <c r="AU47" s="733"/>
      <c r="AV47" s="733"/>
      <c r="AW47" s="733"/>
      <c r="AX47" s="732"/>
      <c r="AY47" s="732"/>
      <c r="AZ47" s="732"/>
      <c r="BA47" s="732"/>
      <c r="BB47" s="732"/>
      <c r="BC47" s="732"/>
      <c r="BD47" s="732"/>
      <c r="BE47" s="10"/>
      <c r="BF47" s="220"/>
      <c r="BG47" s="760"/>
      <c r="BH47" s="732"/>
      <c r="BI47" s="732"/>
      <c r="BJ47" s="732"/>
      <c r="BK47" s="732"/>
      <c r="BL47" s="732"/>
      <c r="BU47" s="715"/>
      <c r="BV47" s="715"/>
      <c r="BW47" s="786" t="s">
        <v>138</v>
      </c>
      <c r="BX47" s="782">
        <v>210</v>
      </c>
      <c r="BY47" s="780">
        <f t="shared" si="28"/>
        <v>3.283333333333347</v>
      </c>
      <c r="BZ47" s="731">
        <f t="shared" ref="BZ47:BZ63" si="34">SUMIF(BI$3:BI$36,$BX47,BH$3:BH$36)</f>
        <v>0</v>
      </c>
      <c r="CA47" s="731">
        <f t="shared" ref="CA47:CA63" si="35">SUMIF(BQ$3:BQ$36,$BX47,BP$3:BP$36)</f>
        <v>0</v>
      </c>
      <c r="CB47" s="731">
        <f t="shared" si="29"/>
        <v>0</v>
      </c>
      <c r="CC47" s="731">
        <f t="shared" si="30"/>
        <v>3.283333333333347</v>
      </c>
      <c r="CD47" s="731">
        <f t="shared" si="31"/>
        <v>0</v>
      </c>
      <c r="CE47" s="731">
        <f t="shared" si="32"/>
        <v>0</v>
      </c>
      <c r="CF47" s="731">
        <f t="shared" si="33"/>
        <v>0</v>
      </c>
    </row>
    <row r="48" spans="1:84" ht="17.25" customHeight="1">
      <c r="A48" s="732"/>
      <c r="B48" s="733"/>
      <c r="C48" s="733"/>
      <c r="D48" s="733"/>
      <c r="E48" s="733"/>
      <c r="F48" s="733"/>
      <c r="G48" s="733"/>
      <c r="H48" s="733"/>
      <c r="I48" s="733"/>
      <c r="J48" s="733"/>
      <c r="K48" s="733"/>
      <c r="L48" s="733"/>
      <c r="M48" s="733"/>
      <c r="N48" s="733"/>
      <c r="O48" s="733"/>
      <c r="P48" s="733"/>
      <c r="Q48" s="733"/>
      <c r="R48" s="733"/>
      <c r="S48" s="733"/>
      <c r="T48" s="733"/>
      <c r="U48" s="733"/>
      <c r="V48" s="733"/>
      <c r="W48" s="733"/>
      <c r="X48" s="733"/>
      <c r="Y48" s="733"/>
      <c r="Z48" s="733"/>
      <c r="AA48" s="733"/>
      <c r="AB48" s="732"/>
      <c r="AC48" s="733"/>
      <c r="AD48" s="733"/>
      <c r="AE48" s="733"/>
      <c r="AF48" s="733"/>
      <c r="AG48" s="733"/>
      <c r="AH48" s="732"/>
      <c r="AI48" s="732"/>
      <c r="AJ48" s="732"/>
      <c r="AK48" s="732"/>
      <c r="AL48" s="733"/>
      <c r="AM48" s="733"/>
      <c r="AN48" s="733"/>
      <c r="AO48" s="733"/>
      <c r="AP48" s="733"/>
      <c r="AQ48" s="733"/>
      <c r="AR48" s="733"/>
      <c r="AS48" s="733"/>
      <c r="AT48" s="733"/>
      <c r="AU48" s="733"/>
      <c r="AV48" s="733"/>
      <c r="AW48" s="733"/>
      <c r="AX48" s="732"/>
      <c r="AY48" s="732"/>
      <c r="AZ48" s="732"/>
      <c r="BA48" s="732"/>
      <c r="BB48" s="732"/>
      <c r="BC48" s="732"/>
      <c r="BD48" s="732"/>
      <c r="BE48" s="10"/>
      <c r="BF48" s="220"/>
      <c r="BG48" s="760"/>
      <c r="BH48" s="732"/>
      <c r="BI48" s="732"/>
      <c r="BJ48" s="732"/>
      <c r="BK48" s="732"/>
      <c r="BL48" s="732"/>
      <c r="BU48" s="715"/>
      <c r="BV48" s="715"/>
      <c r="BW48" s="781" t="s">
        <v>139</v>
      </c>
      <c r="BX48" s="782">
        <v>211</v>
      </c>
      <c r="BY48" s="780">
        <f t="shared" si="28"/>
        <v>4.5</v>
      </c>
      <c r="BZ48" s="731">
        <f t="shared" si="34"/>
        <v>1.5</v>
      </c>
      <c r="CA48" s="731">
        <f t="shared" si="35"/>
        <v>0</v>
      </c>
      <c r="CB48" s="731">
        <f t="shared" si="29"/>
        <v>0</v>
      </c>
      <c r="CC48" s="731">
        <f t="shared" si="30"/>
        <v>0</v>
      </c>
      <c r="CD48" s="731">
        <f t="shared" si="31"/>
        <v>3</v>
      </c>
      <c r="CE48" s="731">
        <f t="shared" si="32"/>
        <v>0</v>
      </c>
      <c r="CF48" s="731">
        <f t="shared" si="33"/>
        <v>0</v>
      </c>
    </row>
    <row r="49" spans="1:84" ht="15.75" customHeight="1">
      <c r="A49" s="732"/>
      <c r="B49" s="733"/>
      <c r="C49" s="733"/>
      <c r="D49" s="733"/>
      <c r="E49" s="733"/>
      <c r="F49" s="733"/>
      <c r="G49" s="733"/>
      <c r="H49" s="733"/>
      <c r="I49" s="733"/>
      <c r="J49" s="733"/>
      <c r="K49" s="733"/>
      <c r="L49" s="733"/>
      <c r="M49" s="733"/>
      <c r="N49" s="733"/>
      <c r="O49" s="733"/>
      <c r="P49" s="733"/>
      <c r="Q49" s="733"/>
      <c r="R49" s="733"/>
      <c r="S49" s="733"/>
      <c r="T49" s="733"/>
      <c r="U49" s="733"/>
      <c r="V49" s="733"/>
      <c r="W49" s="733"/>
      <c r="X49" s="733"/>
      <c r="Y49" s="733"/>
      <c r="Z49" s="733"/>
      <c r="AA49" s="733"/>
      <c r="AB49" s="732"/>
      <c r="AC49" s="733"/>
      <c r="AD49" s="733"/>
      <c r="AE49" s="733"/>
      <c r="AF49" s="733"/>
      <c r="AG49" s="733"/>
      <c r="AH49" s="732"/>
      <c r="AI49" s="732"/>
      <c r="AJ49" s="732"/>
      <c r="AK49" s="732"/>
      <c r="AL49" s="733"/>
      <c r="AM49" s="733"/>
      <c r="AN49" s="733"/>
      <c r="AO49" s="733"/>
      <c r="AP49" s="733"/>
      <c r="AQ49" s="733"/>
      <c r="AR49" s="733"/>
      <c r="AS49" s="733"/>
      <c r="AT49" s="733"/>
      <c r="AU49" s="733"/>
      <c r="AV49" s="733"/>
      <c r="AW49" s="733"/>
      <c r="AX49" s="732"/>
      <c r="AY49" s="732"/>
      <c r="AZ49" s="732"/>
      <c r="BA49" s="732"/>
      <c r="BB49" s="732"/>
      <c r="BC49" s="732"/>
      <c r="BD49" s="732"/>
      <c r="BE49" s="10"/>
      <c r="BF49" s="220"/>
      <c r="BG49" s="760"/>
      <c r="BH49" s="732"/>
      <c r="BI49" s="732"/>
      <c r="BJ49" s="732"/>
      <c r="BK49" s="732"/>
      <c r="BL49" s="732"/>
      <c r="BW49" s="781" t="s">
        <v>140</v>
      </c>
      <c r="BX49" s="782">
        <v>213</v>
      </c>
      <c r="BY49" s="780">
        <f t="shared" si="28"/>
        <v>4.6333333333333453</v>
      </c>
      <c r="BZ49" s="731">
        <f t="shared" si="34"/>
        <v>0</v>
      </c>
      <c r="CA49" s="731">
        <f t="shared" si="35"/>
        <v>2.6833333333333438</v>
      </c>
      <c r="CB49" s="731">
        <f t="shared" si="29"/>
        <v>1.9500000000000011</v>
      </c>
      <c r="CC49" s="731">
        <f t="shared" si="30"/>
        <v>0</v>
      </c>
      <c r="CD49" s="731">
        <f t="shared" si="31"/>
        <v>0</v>
      </c>
      <c r="CE49" s="731">
        <f t="shared" si="32"/>
        <v>0</v>
      </c>
      <c r="CF49" s="731">
        <f t="shared" si="33"/>
        <v>0</v>
      </c>
    </row>
    <row r="50" spans="1:84" ht="15.75" customHeight="1">
      <c r="A50" s="732"/>
      <c r="B50" s="733"/>
      <c r="C50" s="733"/>
      <c r="D50" s="733"/>
      <c r="E50" s="733"/>
      <c r="F50" s="733"/>
      <c r="G50" s="733"/>
      <c r="H50" s="733"/>
      <c r="I50" s="733"/>
      <c r="J50" s="733"/>
      <c r="K50" s="733"/>
      <c r="L50" s="733"/>
      <c r="M50" s="733"/>
      <c r="N50" s="733"/>
      <c r="O50" s="733"/>
      <c r="P50" s="733"/>
      <c r="Q50" s="733"/>
      <c r="R50" s="733"/>
      <c r="S50" s="733"/>
      <c r="T50" s="733"/>
      <c r="U50" s="733"/>
      <c r="V50" s="733"/>
      <c r="W50" s="733"/>
      <c r="X50" s="733"/>
      <c r="Y50" s="733"/>
      <c r="Z50" s="733"/>
      <c r="AA50" s="733"/>
      <c r="AB50" s="732"/>
      <c r="AC50" s="733"/>
      <c r="AD50" s="733"/>
      <c r="AE50" s="733"/>
      <c r="AF50" s="733"/>
      <c r="AG50" s="733"/>
      <c r="AH50" s="732"/>
      <c r="AI50" s="732"/>
      <c r="AJ50" s="732"/>
      <c r="AK50" s="732"/>
      <c r="AL50" s="733"/>
      <c r="AM50" s="733"/>
      <c r="AN50" s="733"/>
      <c r="AO50" s="733"/>
      <c r="AP50" s="733"/>
      <c r="AQ50" s="733"/>
      <c r="AR50" s="733"/>
      <c r="AS50" s="733"/>
      <c r="AT50" s="733"/>
      <c r="AU50" s="733"/>
      <c r="AV50" s="733"/>
      <c r="AW50" s="733"/>
      <c r="AX50" s="732"/>
      <c r="AY50" s="732"/>
      <c r="AZ50" s="732"/>
      <c r="BA50" s="732"/>
      <c r="BB50" s="732"/>
      <c r="BC50" s="732"/>
      <c r="BD50" s="732"/>
      <c r="BE50" s="10"/>
      <c r="BF50" s="220"/>
      <c r="BG50" s="760"/>
      <c r="BH50" s="732"/>
      <c r="BI50" s="732"/>
      <c r="BJ50" s="732"/>
      <c r="BK50" s="732"/>
      <c r="BL50" s="732"/>
      <c r="BW50" s="781" t="s">
        <v>141</v>
      </c>
      <c r="BX50" s="782">
        <v>214</v>
      </c>
      <c r="BY50" s="780">
        <f t="shared" si="28"/>
        <v>3.8000000000000158</v>
      </c>
      <c r="BZ50" s="731">
        <f t="shared" si="34"/>
        <v>0</v>
      </c>
      <c r="CA50" s="731">
        <f t="shared" si="35"/>
        <v>0</v>
      </c>
      <c r="CB50" s="731">
        <f t="shared" si="29"/>
        <v>0</v>
      </c>
      <c r="CC50" s="731">
        <f t="shared" si="30"/>
        <v>0</v>
      </c>
      <c r="CD50" s="731">
        <f t="shared" si="31"/>
        <v>0</v>
      </c>
      <c r="CE50" s="731">
        <f t="shared" si="32"/>
        <v>3.8000000000000158</v>
      </c>
      <c r="CF50" s="731">
        <f t="shared" si="33"/>
        <v>0</v>
      </c>
    </row>
    <row r="51" spans="1:84" ht="15.75" customHeight="1">
      <c r="A51" s="732"/>
      <c r="B51" s="733"/>
      <c r="C51" s="733"/>
      <c r="D51" s="733"/>
      <c r="E51" s="733"/>
      <c r="F51" s="733"/>
      <c r="G51" s="733"/>
      <c r="H51" s="733"/>
      <c r="I51" s="733"/>
      <c r="J51" s="733"/>
      <c r="K51" s="733"/>
      <c r="L51" s="733"/>
      <c r="M51" s="733"/>
      <c r="N51" s="733"/>
      <c r="O51" s="733"/>
      <c r="P51" s="733"/>
      <c r="Q51" s="733"/>
      <c r="R51" s="733"/>
      <c r="S51" s="733"/>
      <c r="T51" s="733"/>
      <c r="U51" s="733"/>
      <c r="V51" s="733"/>
      <c r="W51" s="733"/>
      <c r="X51" s="733"/>
      <c r="Y51" s="733"/>
      <c r="Z51" s="733"/>
      <c r="AA51" s="733"/>
      <c r="AB51" s="732"/>
      <c r="AC51" s="733"/>
      <c r="AD51" s="733"/>
      <c r="AE51" s="733"/>
      <c r="AF51" s="733"/>
      <c r="AG51" s="733"/>
      <c r="AH51" s="732"/>
      <c r="AI51" s="732"/>
      <c r="AJ51" s="732"/>
      <c r="AK51" s="732"/>
      <c r="AL51" s="733"/>
      <c r="AM51" s="733"/>
      <c r="AN51" s="733"/>
      <c r="AO51" s="733"/>
      <c r="AP51" s="733"/>
      <c r="AQ51" s="733"/>
      <c r="AR51" s="733"/>
      <c r="AS51" s="733"/>
      <c r="AT51" s="733"/>
      <c r="AU51" s="733"/>
      <c r="AV51" s="733"/>
      <c r="AW51" s="733"/>
      <c r="AX51" s="732"/>
      <c r="AY51" s="732"/>
      <c r="AZ51" s="732"/>
      <c r="BA51" s="732"/>
      <c r="BB51" s="732"/>
      <c r="BC51" s="732"/>
      <c r="BD51" s="732"/>
      <c r="BE51" s="10"/>
      <c r="BF51" s="220"/>
      <c r="BG51" s="760"/>
      <c r="BH51" s="732"/>
      <c r="BI51" s="732"/>
      <c r="BJ51" s="732"/>
      <c r="BK51" s="732"/>
      <c r="BL51" s="732"/>
      <c r="BW51" s="781" t="s">
        <v>143</v>
      </c>
      <c r="BX51" s="782">
        <v>217</v>
      </c>
      <c r="BY51" s="780">
        <f t="shared" si="28"/>
        <v>0</v>
      </c>
      <c r="BZ51" s="731">
        <f t="shared" si="34"/>
        <v>0</v>
      </c>
      <c r="CA51" s="731">
        <f t="shared" si="35"/>
        <v>0</v>
      </c>
      <c r="CB51" s="731">
        <f t="shared" si="29"/>
        <v>0</v>
      </c>
      <c r="CC51" s="731">
        <f t="shared" si="30"/>
        <v>0</v>
      </c>
      <c r="CD51" s="731">
        <f t="shared" si="31"/>
        <v>0</v>
      </c>
      <c r="CE51" s="731">
        <f t="shared" si="32"/>
        <v>0</v>
      </c>
      <c r="CF51" s="731">
        <f t="shared" si="33"/>
        <v>0</v>
      </c>
    </row>
    <row r="52" spans="1:84" ht="15.75" customHeight="1">
      <c r="A52" s="732"/>
      <c r="B52" s="733"/>
      <c r="C52" s="733"/>
      <c r="D52" s="733"/>
      <c r="E52" s="733"/>
      <c r="F52" s="733"/>
      <c r="G52" s="733"/>
      <c r="H52" s="733"/>
      <c r="I52" s="733"/>
      <c r="J52" s="733"/>
      <c r="K52" s="733"/>
      <c r="L52" s="733"/>
      <c r="M52" s="733"/>
      <c r="N52" s="733"/>
      <c r="O52" s="733"/>
      <c r="P52" s="733"/>
      <c r="Q52" s="733"/>
      <c r="R52" s="733"/>
      <c r="S52" s="733"/>
      <c r="T52" s="733"/>
      <c r="U52" s="733"/>
      <c r="V52" s="733"/>
      <c r="W52" s="733"/>
      <c r="X52" s="733"/>
      <c r="Y52" s="733"/>
      <c r="Z52" s="733"/>
      <c r="AA52" s="733"/>
      <c r="AB52" s="732"/>
      <c r="AC52" s="733"/>
      <c r="AD52" s="733"/>
      <c r="AE52" s="733"/>
      <c r="AF52" s="733"/>
      <c r="AG52" s="733"/>
      <c r="AH52" s="732"/>
      <c r="AI52" s="732"/>
      <c r="AJ52" s="732"/>
      <c r="AK52" s="732"/>
      <c r="AL52" s="733"/>
      <c r="AM52" s="733"/>
      <c r="AN52" s="733"/>
      <c r="AO52" s="733"/>
      <c r="AP52" s="733"/>
      <c r="AQ52" s="733"/>
      <c r="AR52" s="733"/>
      <c r="AS52" s="733"/>
      <c r="AT52" s="733"/>
      <c r="AU52" s="733"/>
      <c r="AV52" s="733"/>
      <c r="AW52" s="733"/>
      <c r="AX52" s="732"/>
      <c r="AY52" s="732"/>
      <c r="AZ52" s="732"/>
      <c r="BA52" s="732"/>
      <c r="BB52" s="732"/>
      <c r="BC52" s="732"/>
      <c r="BD52" s="732"/>
      <c r="BE52" s="10"/>
      <c r="BF52" s="220"/>
      <c r="BG52" s="760"/>
      <c r="BH52" s="732"/>
      <c r="BI52" s="732"/>
      <c r="BJ52" s="732"/>
      <c r="BK52" s="732"/>
      <c r="BL52" s="732"/>
      <c r="BW52" s="781" t="s">
        <v>144</v>
      </c>
      <c r="BX52" s="782">
        <v>218</v>
      </c>
      <c r="BY52" s="780">
        <f t="shared" si="28"/>
        <v>2.4000000000000021</v>
      </c>
      <c r="BZ52" s="731">
        <f t="shared" si="34"/>
        <v>0</v>
      </c>
      <c r="CA52" s="731">
        <f t="shared" si="35"/>
        <v>0</v>
      </c>
      <c r="CB52" s="731">
        <f t="shared" si="29"/>
        <v>2.4000000000000021</v>
      </c>
      <c r="CC52" s="731">
        <f t="shared" si="30"/>
        <v>0</v>
      </c>
      <c r="CD52" s="731">
        <f t="shared" si="31"/>
        <v>0</v>
      </c>
      <c r="CE52" s="731">
        <f t="shared" si="32"/>
        <v>0</v>
      </c>
      <c r="CF52" s="731">
        <f t="shared" si="33"/>
        <v>0</v>
      </c>
    </row>
    <row r="53" spans="1:84" ht="15.75" customHeight="1">
      <c r="A53" s="732"/>
      <c r="B53" s="733"/>
      <c r="C53" s="733"/>
      <c r="D53" s="733"/>
      <c r="E53" s="733"/>
      <c r="F53" s="733"/>
      <c r="G53" s="733"/>
      <c r="H53" s="733"/>
      <c r="I53" s="733"/>
      <c r="J53" s="733"/>
      <c r="K53" s="733"/>
      <c r="L53" s="733"/>
      <c r="M53" s="733"/>
      <c r="N53" s="733"/>
      <c r="O53" s="733"/>
      <c r="P53" s="733"/>
      <c r="Q53" s="733"/>
      <c r="R53" s="733"/>
      <c r="S53" s="733"/>
      <c r="T53" s="733"/>
      <c r="U53" s="733"/>
      <c r="V53" s="733"/>
      <c r="W53" s="733"/>
      <c r="X53" s="733"/>
      <c r="Y53" s="733"/>
      <c r="Z53" s="733"/>
      <c r="AA53" s="733"/>
      <c r="AB53" s="732"/>
      <c r="AC53" s="733"/>
      <c r="AD53" s="733"/>
      <c r="AE53" s="733"/>
      <c r="AF53" s="733"/>
      <c r="AG53" s="733"/>
      <c r="AH53" s="732"/>
      <c r="AI53" s="732"/>
      <c r="AJ53" s="732"/>
      <c r="AK53" s="732"/>
      <c r="AL53" s="733"/>
      <c r="AM53" s="733"/>
      <c r="AN53" s="733"/>
      <c r="AO53" s="733"/>
      <c r="AP53" s="733"/>
      <c r="AQ53" s="733"/>
      <c r="AR53" s="733"/>
      <c r="AS53" s="733"/>
      <c r="AT53" s="733"/>
      <c r="AU53" s="733"/>
      <c r="AV53" s="733"/>
      <c r="AW53" s="733"/>
      <c r="AX53" s="732"/>
      <c r="AY53" s="732"/>
      <c r="AZ53" s="732"/>
      <c r="BA53" s="732"/>
      <c r="BB53" s="732"/>
      <c r="BC53" s="732"/>
      <c r="BD53" s="732"/>
      <c r="BE53" s="8"/>
      <c r="BF53" s="222"/>
      <c r="BG53" s="760"/>
      <c r="BH53" s="732"/>
      <c r="BI53" s="732"/>
      <c r="BJ53" s="732"/>
      <c r="BK53" s="732"/>
      <c r="BL53" s="732"/>
      <c r="BW53" s="787" t="s">
        <v>246</v>
      </c>
      <c r="BX53" s="784">
        <v>222</v>
      </c>
      <c r="BY53" s="780">
        <f t="shared" si="28"/>
        <v>6.9000000000000217</v>
      </c>
      <c r="BZ53" s="731">
        <f t="shared" si="34"/>
        <v>6.9000000000000217</v>
      </c>
      <c r="CA53" s="731">
        <f t="shared" si="35"/>
        <v>0</v>
      </c>
      <c r="CB53" s="731">
        <f t="shared" si="29"/>
        <v>0</v>
      </c>
      <c r="CC53" s="731">
        <f t="shared" si="30"/>
        <v>0</v>
      </c>
      <c r="CD53" s="731">
        <f t="shared" si="31"/>
        <v>0</v>
      </c>
      <c r="CE53" s="731">
        <f t="shared" si="32"/>
        <v>0</v>
      </c>
      <c r="CF53" s="731">
        <f t="shared" si="33"/>
        <v>0</v>
      </c>
    </row>
    <row r="54" spans="1:84" ht="15.75" customHeight="1">
      <c r="A54" s="732"/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733"/>
      <c r="AB54" s="732"/>
      <c r="AC54" s="733"/>
      <c r="AD54" s="733"/>
      <c r="AE54" s="733"/>
      <c r="AF54" s="733"/>
      <c r="AG54" s="733"/>
      <c r="AH54" s="732"/>
      <c r="AI54" s="732"/>
      <c r="AJ54" s="732"/>
      <c r="AK54" s="732"/>
      <c r="AL54" s="733"/>
      <c r="AM54" s="733"/>
      <c r="AN54" s="733"/>
      <c r="AO54" s="733"/>
      <c r="AP54" s="733"/>
      <c r="AQ54" s="733"/>
      <c r="AR54" s="733"/>
      <c r="AS54" s="733"/>
      <c r="AT54" s="733"/>
      <c r="AU54" s="733"/>
      <c r="AV54" s="733"/>
      <c r="AW54" s="733"/>
      <c r="AX54" s="732"/>
      <c r="AY54" s="732"/>
      <c r="AZ54" s="732"/>
      <c r="BA54" s="732"/>
      <c r="BB54" s="732"/>
      <c r="BC54" s="732"/>
      <c r="BD54" s="732"/>
      <c r="BE54" s="732"/>
      <c r="BG54" s="762"/>
      <c r="BW54" s="788" t="s">
        <v>247</v>
      </c>
      <c r="BX54" s="782">
        <v>224</v>
      </c>
      <c r="BY54" s="780">
        <f t="shared" si="28"/>
        <v>6.8833333333333435</v>
      </c>
      <c r="BZ54" s="731">
        <f t="shared" si="34"/>
        <v>2.3000000000000158</v>
      </c>
      <c r="CA54" s="731">
        <f t="shared" si="35"/>
        <v>0</v>
      </c>
      <c r="CB54" s="731">
        <f t="shared" si="29"/>
        <v>0</v>
      </c>
      <c r="CC54" s="731">
        <f t="shared" si="30"/>
        <v>0</v>
      </c>
      <c r="CD54" s="731">
        <f t="shared" si="31"/>
        <v>0</v>
      </c>
      <c r="CE54" s="731">
        <f t="shared" si="32"/>
        <v>0</v>
      </c>
      <c r="CF54" s="731">
        <f t="shared" si="33"/>
        <v>4.5833333333333277</v>
      </c>
    </row>
    <row r="55" spans="1:84" ht="15.75" customHeight="1">
      <c r="A55" s="732"/>
      <c r="B55" s="733"/>
      <c r="C55" s="733"/>
      <c r="D55" s="733"/>
      <c r="E55" s="733"/>
      <c r="F55" s="733"/>
      <c r="G55" s="733"/>
      <c r="H55" s="733"/>
      <c r="I55" s="733"/>
      <c r="J55" s="733"/>
      <c r="K55" s="733"/>
      <c r="L55" s="733"/>
      <c r="M55" s="733"/>
      <c r="N55" s="733"/>
      <c r="O55" s="733"/>
      <c r="P55" s="733"/>
      <c r="Q55" s="733"/>
      <c r="R55" s="733"/>
      <c r="S55" s="733"/>
      <c r="T55" s="733"/>
      <c r="U55" s="733"/>
      <c r="V55" s="733"/>
      <c r="W55" s="733"/>
      <c r="X55" s="733"/>
      <c r="Y55" s="733"/>
      <c r="Z55" s="733"/>
      <c r="AA55" s="733"/>
      <c r="AB55" s="732"/>
      <c r="AC55" s="733"/>
      <c r="AD55" s="733"/>
      <c r="AE55" s="733"/>
      <c r="AF55" s="733"/>
      <c r="AG55" s="733"/>
      <c r="AH55" s="732"/>
      <c r="AI55" s="732"/>
      <c r="AJ55" s="732"/>
      <c r="AK55" s="732"/>
      <c r="AL55" s="733"/>
      <c r="AM55" s="733"/>
      <c r="AN55" s="733"/>
      <c r="AO55" s="733"/>
      <c r="AP55" s="733"/>
      <c r="AQ55" s="733"/>
      <c r="AR55" s="733"/>
      <c r="AS55" s="733"/>
      <c r="AT55" s="733"/>
      <c r="AU55" s="733"/>
      <c r="AV55" s="733"/>
      <c r="AW55" s="733"/>
      <c r="AX55" s="732"/>
      <c r="AY55" s="732"/>
      <c r="AZ55" s="732"/>
      <c r="BA55" s="732"/>
      <c r="BB55" s="732"/>
      <c r="BC55" s="732"/>
      <c r="BD55" s="732"/>
      <c r="BE55" s="732"/>
      <c r="BG55" s="762"/>
      <c r="BW55" s="789" t="s">
        <v>248</v>
      </c>
      <c r="BX55" s="782">
        <v>233</v>
      </c>
      <c r="BY55" s="780">
        <f t="shared" ref="BY55:BY63" si="36">SUM(BZ55:CF55)</f>
        <v>0</v>
      </c>
      <c r="BZ55" s="731">
        <f t="shared" si="34"/>
        <v>0</v>
      </c>
      <c r="CA55" s="731">
        <f t="shared" si="35"/>
        <v>0</v>
      </c>
      <c r="CB55" s="731">
        <f t="shared" si="29"/>
        <v>0</v>
      </c>
      <c r="CC55" s="731">
        <f t="shared" si="30"/>
        <v>0</v>
      </c>
      <c r="CD55" s="731">
        <f t="shared" si="31"/>
        <v>0</v>
      </c>
      <c r="CE55" s="731">
        <f t="shared" si="32"/>
        <v>0</v>
      </c>
      <c r="CF55" s="731">
        <f t="shared" si="33"/>
        <v>0</v>
      </c>
    </row>
    <row r="56" spans="1:84" ht="15.75" customHeight="1">
      <c r="A56" s="732"/>
      <c r="B56" s="733"/>
      <c r="C56" s="733"/>
      <c r="D56" s="733"/>
      <c r="E56" s="733"/>
      <c r="F56" s="733"/>
      <c r="G56" s="733"/>
      <c r="H56" s="733"/>
      <c r="I56" s="733"/>
      <c r="J56" s="733"/>
      <c r="K56" s="733"/>
      <c r="L56" s="733"/>
      <c r="M56" s="733"/>
      <c r="N56" s="733"/>
      <c r="O56" s="733"/>
      <c r="P56" s="733"/>
      <c r="Q56" s="733"/>
      <c r="R56" s="733"/>
      <c r="S56" s="733"/>
      <c r="T56" s="733"/>
      <c r="U56" s="733"/>
      <c r="V56" s="733"/>
      <c r="W56" s="733"/>
      <c r="X56" s="733"/>
      <c r="Y56" s="733"/>
      <c r="Z56" s="733"/>
      <c r="AA56" s="733"/>
      <c r="AB56" s="732"/>
      <c r="AC56" s="733"/>
      <c r="AD56" s="733"/>
      <c r="AE56" s="733"/>
      <c r="AF56" s="733"/>
      <c r="AG56" s="733"/>
      <c r="AH56" s="732"/>
      <c r="AI56" s="732"/>
      <c r="AJ56" s="732"/>
      <c r="AK56" s="732"/>
      <c r="AL56" s="733"/>
      <c r="AM56" s="733"/>
      <c r="AN56" s="733"/>
      <c r="AO56" s="733"/>
      <c r="AP56" s="733"/>
      <c r="AQ56" s="733"/>
      <c r="AR56" s="733"/>
      <c r="AS56" s="733"/>
      <c r="AT56" s="733"/>
      <c r="AU56" s="733"/>
      <c r="AV56" s="733"/>
      <c r="AW56" s="733"/>
      <c r="AX56" s="732"/>
      <c r="AY56" s="732"/>
      <c r="AZ56" s="732"/>
      <c r="BA56" s="732"/>
      <c r="BB56" s="732"/>
      <c r="BC56" s="732"/>
      <c r="BD56" s="732"/>
      <c r="BE56" s="732"/>
      <c r="BG56" s="762"/>
      <c r="BW56" s="781" t="s">
        <v>249</v>
      </c>
      <c r="BX56" s="782">
        <v>234</v>
      </c>
      <c r="BY56" s="780">
        <f t="shared" si="36"/>
        <v>0</v>
      </c>
      <c r="BZ56" s="731">
        <f t="shared" si="34"/>
        <v>0</v>
      </c>
      <c r="CA56" s="731">
        <f t="shared" si="35"/>
        <v>0</v>
      </c>
      <c r="CB56" s="731">
        <f t="shared" si="29"/>
        <v>0</v>
      </c>
      <c r="CC56" s="731">
        <f t="shared" si="30"/>
        <v>0</v>
      </c>
      <c r="CD56" s="731">
        <f t="shared" si="31"/>
        <v>0</v>
      </c>
      <c r="CE56" s="731">
        <f t="shared" si="32"/>
        <v>0</v>
      </c>
      <c r="CF56" s="731">
        <f t="shared" si="33"/>
        <v>0</v>
      </c>
    </row>
    <row r="57" spans="1:84" ht="15.75" customHeight="1">
      <c r="A57" s="732"/>
      <c r="B57" s="733"/>
      <c r="C57" s="733"/>
      <c r="D57" s="733"/>
      <c r="E57" s="733"/>
      <c r="F57" s="733"/>
      <c r="G57" s="733"/>
      <c r="H57" s="733"/>
      <c r="I57" s="733"/>
      <c r="J57" s="733"/>
      <c r="K57" s="733"/>
      <c r="L57" s="733"/>
      <c r="M57" s="733"/>
      <c r="N57" s="733"/>
      <c r="O57" s="733"/>
      <c r="P57" s="733"/>
      <c r="Q57" s="733"/>
      <c r="R57" s="733"/>
      <c r="S57" s="733"/>
      <c r="T57" s="733"/>
      <c r="U57" s="733"/>
      <c r="V57" s="733"/>
      <c r="W57" s="733"/>
      <c r="X57" s="733"/>
      <c r="Y57" s="733"/>
      <c r="Z57" s="733"/>
      <c r="AA57" s="733"/>
      <c r="AB57" s="732"/>
      <c r="AC57" s="733"/>
      <c r="AD57" s="733"/>
      <c r="AE57" s="733"/>
      <c r="AF57" s="733"/>
      <c r="AG57" s="733"/>
      <c r="AH57" s="732"/>
      <c r="AI57" s="732"/>
      <c r="AJ57" s="732"/>
      <c r="AK57" s="732"/>
      <c r="AL57" s="733"/>
      <c r="AM57" s="733"/>
      <c r="AN57" s="733"/>
      <c r="AO57" s="733"/>
      <c r="AP57" s="733"/>
      <c r="AQ57" s="733"/>
      <c r="AR57" s="733"/>
      <c r="AS57" s="733"/>
      <c r="AT57" s="733"/>
      <c r="AU57" s="733"/>
      <c r="AV57" s="733"/>
      <c r="AW57" s="733"/>
      <c r="AX57" s="732"/>
      <c r="AY57" s="732"/>
      <c r="AZ57" s="732"/>
      <c r="BA57" s="732"/>
      <c r="BB57" s="732"/>
      <c r="BC57" s="732"/>
      <c r="BD57" s="732"/>
      <c r="BE57" s="732"/>
      <c r="BG57" s="762"/>
      <c r="BW57" s="781" t="s">
        <v>250</v>
      </c>
      <c r="BX57" s="782">
        <v>235</v>
      </c>
      <c r="BY57" s="780">
        <f t="shared" si="36"/>
        <v>0</v>
      </c>
      <c r="BZ57" s="731">
        <f t="shared" si="34"/>
        <v>0</v>
      </c>
      <c r="CA57" s="731">
        <f t="shared" si="35"/>
        <v>0</v>
      </c>
      <c r="CB57" s="731">
        <f t="shared" si="29"/>
        <v>0</v>
      </c>
      <c r="CC57" s="731">
        <f t="shared" si="30"/>
        <v>0</v>
      </c>
      <c r="CD57" s="731">
        <f t="shared" si="31"/>
        <v>0</v>
      </c>
      <c r="CE57" s="731">
        <f t="shared" si="32"/>
        <v>0</v>
      </c>
      <c r="CF57" s="731">
        <f t="shared" si="33"/>
        <v>0</v>
      </c>
    </row>
    <row r="58" spans="1:84" ht="15.75" customHeight="1">
      <c r="A58" s="732"/>
      <c r="B58" s="733"/>
      <c r="C58" s="733"/>
      <c r="D58" s="733"/>
      <c r="E58" s="733"/>
      <c r="F58" s="733"/>
      <c r="G58" s="733"/>
      <c r="H58" s="733"/>
      <c r="I58" s="733"/>
      <c r="J58" s="733"/>
      <c r="K58" s="733"/>
      <c r="L58" s="733"/>
      <c r="M58" s="733"/>
      <c r="N58" s="733"/>
      <c r="O58" s="733"/>
      <c r="P58" s="733"/>
      <c r="Q58" s="733"/>
      <c r="R58" s="733"/>
      <c r="S58" s="733"/>
      <c r="T58" s="733"/>
      <c r="U58" s="733"/>
      <c r="V58" s="733"/>
      <c r="W58" s="733"/>
      <c r="X58" s="733"/>
      <c r="Y58" s="733"/>
      <c r="Z58" s="733"/>
      <c r="AA58" s="733"/>
      <c r="AB58" s="732"/>
      <c r="AC58" s="733"/>
      <c r="AD58" s="733"/>
      <c r="AE58" s="733"/>
      <c r="AF58" s="733"/>
      <c r="AG58" s="733"/>
      <c r="AH58" s="732"/>
      <c r="AI58" s="732"/>
      <c r="AJ58" s="732"/>
      <c r="AK58" s="732"/>
      <c r="AL58" s="733"/>
      <c r="AM58" s="733"/>
      <c r="AN58" s="733"/>
      <c r="AO58" s="733"/>
      <c r="AP58" s="733"/>
      <c r="AQ58" s="733"/>
      <c r="AR58" s="733"/>
      <c r="AS58" s="733"/>
      <c r="AT58" s="733"/>
      <c r="AU58" s="733"/>
      <c r="AV58" s="733"/>
      <c r="AW58" s="733"/>
      <c r="AX58" s="732"/>
      <c r="AY58" s="732"/>
      <c r="AZ58" s="732"/>
      <c r="BA58" s="732"/>
      <c r="BB58" s="732"/>
      <c r="BC58" s="732"/>
      <c r="BD58" s="732"/>
      <c r="BE58" s="732"/>
      <c r="BG58" s="762"/>
      <c r="BW58" s="781" t="s">
        <v>251</v>
      </c>
      <c r="BX58" s="782">
        <v>236</v>
      </c>
      <c r="BY58" s="780">
        <f t="shared" si="36"/>
        <v>0</v>
      </c>
      <c r="BZ58" s="731">
        <f t="shared" si="34"/>
        <v>0</v>
      </c>
      <c r="CA58" s="731">
        <f t="shared" si="35"/>
        <v>0</v>
      </c>
      <c r="CB58" s="731">
        <f t="shared" si="29"/>
        <v>0</v>
      </c>
      <c r="CC58" s="731">
        <f t="shared" si="30"/>
        <v>0</v>
      </c>
      <c r="CD58" s="731">
        <f t="shared" si="31"/>
        <v>0</v>
      </c>
      <c r="CE58" s="731">
        <f t="shared" si="32"/>
        <v>0</v>
      </c>
      <c r="CF58" s="731">
        <f t="shared" si="33"/>
        <v>0</v>
      </c>
    </row>
    <row r="59" spans="1:84" ht="15.75" customHeight="1">
      <c r="A59" s="732"/>
      <c r="B59" s="733"/>
      <c r="C59" s="733"/>
      <c r="D59" s="733"/>
      <c r="E59" s="733"/>
      <c r="F59" s="733"/>
      <c r="G59" s="733"/>
      <c r="H59" s="733"/>
      <c r="I59" s="733"/>
      <c r="J59" s="733"/>
      <c r="K59" s="733"/>
      <c r="L59" s="733"/>
      <c r="M59" s="733"/>
      <c r="N59" s="733"/>
      <c r="O59" s="733"/>
      <c r="P59" s="733"/>
      <c r="Q59" s="733"/>
      <c r="R59" s="733"/>
      <c r="S59" s="733"/>
      <c r="T59" s="733"/>
      <c r="U59" s="733"/>
      <c r="V59" s="733"/>
      <c r="W59" s="733"/>
      <c r="X59" s="733"/>
      <c r="Y59" s="733"/>
      <c r="Z59" s="733"/>
      <c r="AA59" s="733"/>
      <c r="AB59" s="732"/>
      <c r="AC59" s="733"/>
      <c r="AD59" s="733"/>
      <c r="AE59" s="733"/>
      <c r="AF59" s="733"/>
      <c r="AG59" s="733"/>
      <c r="AH59" s="732"/>
      <c r="AI59" s="732"/>
      <c r="AJ59" s="732"/>
      <c r="AK59" s="732"/>
      <c r="AL59" s="733"/>
      <c r="AM59" s="733"/>
      <c r="AN59" s="733"/>
      <c r="AO59" s="733"/>
      <c r="AP59" s="733"/>
      <c r="AQ59" s="733"/>
      <c r="AR59" s="733"/>
      <c r="AS59" s="733"/>
      <c r="AT59" s="733"/>
      <c r="AU59" s="733"/>
      <c r="AV59" s="733"/>
      <c r="AW59" s="733"/>
      <c r="AX59" s="732"/>
      <c r="AY59" s="732"/>
      <c r="AZ59" s="732"/>
      <c r="BA59" s="732"/>
      <c r="BB59" s="732"/>
      <c r="BC59" s="732"/>
      <c r="BD59" s="732"/>
      <c r="BE59" s="732"/>
      <c r="BG59" s="762"/>
      <c r="BW59" s="781" t="s">
        <v>252</v>
      </c>
      <c r="BX59" s="782">
        <v>237</v>
      </c>
      <c r="BY59" s="780">
        <f t="shared" si="36"/>
        <v>1.5</v>
      </c>
      <c r="BZ59" s="731">
        <f t="shared" si="34"/>
        <v>0</v>
      </c>
      <c r="CA59" s="731">
        <f t="shared" si="35"/>
        <v>0</v>
      </c>
      <c r="CB59" s="731">
        <f t="shared" si="29"/>
        <v>0</v>
      </c>
      <c r="CC59" s="731">
        <f t="shared" si="30"/>
        <v>0</v>
      </c>
      <c r="CD59" s="731">
        <f t="shared" si="31"/>
        <v>1.5</v>
      </c>
      <c r="CE59" s="731">
        <f t="shared" si="32"/>
        <v>0</v>
      </c>
      <c r="CF59" s="731">
        <f t="shared" si="33"/>
        <v>0</v>
      </c>
    </row>
    <row r="60" spans="1:84" ht="15.75" customHeight="1">
      <c r="A60" s="732"/>
      <c r="B60" s="733"/>
      <c r="C60" s="733"/>
      <c r="D60" s="733"/>
      <c r="E60" s="733"/>
      <c r="F60" s="733"/>
      <c r="G60" s="733"/>
      <c r="H60" s="733"/>
      <c r="I60" s="733"/>
      <c r="J60" s="733"/>
      <c r="K60" s="733"/>
      <c r="L60" s="733"/>
      <c r="M60" s="733"/>
      <c r="N60" s="733"/>
      <c r="O60" s="733"/>
      <c r="P60" s="733"/>
      <c r="Q60" s="733"/>
      <c r="R60" s="733"/>
      <c r="S60" s="733"/>
      <c r="T60" s="733"/>
      <c r="U60" s="733"/>
      <c r="V60" s="733"/>
      <c r="W60" s="733"/>
      <c r="X60" s="733"/>
      <c r="Y60" s="733"/>
      <c r="Z60" s="733"/>
      <c r="AA60" s="733"/>
      <c r="AB60" s="732"/>
      <c r="AC60" s="733"/>
      <c r="AD60" s="733"/>
      <c r="AE60" s="733"/>
      <c r="AF60" s="733"/>
      <c r="AG60" s="733"/>
      <c r="AH60" s="732"/>
      <c r="AI60" s="732"/>
      <c r="AJ60" s="732"/>
      <c r="AK60" s="732"/>
      <c r="AL60" s="733"/>
      <c r="AM60" s="733"/>
      <c r="AN60" s="733"/>
      <c r="AO60" s="733"/>
      <c r="AP60" s="733"/>
      <c r="AQ60" s="733"/>
      <c r="AR60" s="733"/>
      <c r="AS60" s="733"/>
      <c r="AT60" s="733"/>
      <c r="AU60" s="733"/>
      <c r="AV60" s="733"/>
      <c r="AW60" s="733"/>
      <c r="AX60" s="732"/>
      <c r="AY60" s="732"/>
      <c r="AZ60" s="732"/>
      <c r="BA60" s="732"/>
      <c r="BB60" s="732"/>
      <c r="BC60" s="732"/>
      <c r="BD60" s="732"/>
      <c r="BE60" s="732"/>
      <c r="BG60" s="762"/>
      <c r="BW60" s="781" t="s">
        <v>253</v>
      </c>
      <c r="BX60" s="782">
        <v>238</v>
      </c>
      <c r="BY60" s="780">
        <f t="shared" si="36"/>
        <v>0</v>
      </c>
      <c r="BZ60" s="731">
        <f t="shared" si="34"/>
        <v>0</v>
      </c>
      <c r="CA60" s="731">
        <f t="shared" si="35"/>
        <v>0</v>
      </c>
      <c r="CB60" s="731">
        <f t="shared" si="29"/>
        <v>0</v>
      </c>
      <c r="CC60" s="731">
        <f t="shared" si="30"/>
        <v>0</v>
      </c>
      <c r="CD60" s="731">
        <f t="shared" si="31"/>
        <v>0</v>
      </c>
      <c r="CE60" s="731">
        <f t="shared" si="32"/>
        <v>0</v>
      </c>
      <c r="CF60" s="731">
        <f t="shared" si="33"/>
        <v>0</v>
      </c>
    </row>
    <row r="61" spans="1:84" ht="15.75" customHeight="1">
      <c r="A61" s="732"/>
      <c r="B61" s="733"/>
      <c r="C61" s="733"/>
      <c r="D61" s="733"/>
      <c r="E61" s="733"/>
      <c r="F61" s="733"/>
      <c r="G61" s="733"/>
      <c r="H61" s="733"/>
      <c r="I61" s="733"/>
      <c r="J61" s="733"/>
      <c r="K61" s="733"/>
      <c r="L61" s="733"/>
      <c r="M61" s="733"/>
      <c r="N61" s="733"/>
      <c r="O61" s="733"/>
      <c r="P61" s="733"/>
      <c r="Q61" s="733"/>
      <c r="R61" s="733"/>
      <c r="S61" s="733"/>
      <c r="T61" s="733"/>
      <c r="U61" s="733"/>
      <c r="V61" s="733"/>
      <c r="W61" s="733"/>
      <c r="X61" s="733"/>
      <c r="Y61" s="733"/>
      <c r="Z61" s="733"/>
      <c r="AA61" s="733"/>
      <c r="AB61" s="732"/>
      <c r="AC61" s="733"/>
      <c r="AD61" s="733"/>
      <c r="AE61" s="733"/>
      <c r="AF61" s="733"/>
      <c r="AG61" s="733"/>
      <c r="AH61" s="732"/>
      <c r="AI61" s="732"/>
      <c r="AJ61" s="732"/>
      <c r="AK61" s="732"/>
      <c r="AL61" s="733"/>
      <c r="AM61" s="733"/>
      <c r="AN61" s="733"/>
      <c r="AO61" s="733"/>
      <c r="AP61" s="733"/>
      <c r="AQ61" s="733"/>
      <c r="AR61" s="733"/>
      <c r="AS61" s="733"/>
      <c r="AT61" s="733"/>
      <c r="AU61" s="733"/>
      <c r="AV61" s="733"/>
      <c r="AW61" s="733"/>
      <c r="AX61" s="732"/>
      <c r="AY61" s="732"/>
      <c r="AZ61" s="732"/>
      <c r="BA61" s="732"/>
      <c r="BB61" s="732"/>
      <c r="BC61" s="732"/>
      <c r="BD61" s="732"/>
      <c r="BE61" s="732"/>
      <c r="BG61" s="762"/>
      <c r="BW61" s="781" t="s">
        <v>254</v>
      </c>
      <c r="BX61" s="782">
        <v>239</v>
      </c>
      <c r="BY61" s="780">
        <f t="shared" si="36"/>
        <v>0</v>
      </c>
      <c r="BZ61" s="731">
        <f t="shared" si="34"/>
        <v>0</v>
      </c>
      <c r="CA61" s="731">
        <f t="shared" si="35"/>
        <v>0</v>
      </c>
      <c r="CB61" s="731">
        <f t="shared" si="29"/>
        <v>0</v>
      </c>
      <c r="CC61" s="731">
        <f t="shared" si="30"/>
        <v>0</v>
      </c>
      <c r="CD61" s="731">
        <f t="shared" si="31"/>
        <v>0</v>
      </c>
      <c r="CE61" s="731">
        <f t="shared" si="32"/>
        <v>0</v>
      </c>
      <c r="CF61" s="731">
        <f t="shared" si="33"/>
        <v>0</v>
      </c>
    </row>
    <row r="62" spans="1:84" ht="15.75" customHeight="1">
      <c r="A62" s="732"/>
      <c r="B62" s="733"/>
      <c r="C62" s="733"/>
      <c r="D62" s="733"/>
      <c r="E62" s="733"/>
      <c r="F62" s="733"/>
      <c r="G62" s="733"/>
      <c r="H62" s="733"/>
      <c r="I62" s="733"/>
      <c r="J62" s="733"/>
      <c r="K62" s="733"/>
      <c r="L62" s="733"/>
      <c r="M62" s="733"/>
      <c r="N62" s="733"/>
      <c r="O62" s="733"/>
      <c r="P62" s="733"/>
      <c r="Q62" s="733"/>
      <c r="R62" s="733"/>
      <c r="S62" s="733"/>
      <c r="T62" s="733"/>
      <c r="U62" s="733"/>
      <c r="V62" s="733"/>
      <c r="W62" s="733"/>
      <c r="X62" s="733"/>
      <c r="Y62" s="733"/>
      <c r="Z62" s="733"/>
      <c r="AA62" s="733"/>
      <c r="AB62" s="732"/>
      <c r="AC62" s="733"/>
      <c r="AD62" s="733"/>
      <c r="AE62" s="733"/>
      <c r="AF62" s="733"/>
      <c r="AG62" s="733"/>
      <c r="AH62" s="732"/>
      <c r="AI62" s="732"/>
      <c r="AJ62" s="732"/>
      <c r="AK62" s="732"/>
      <c r="AL62" s="733"/>
      <c r="AM62" s="733"/>
      <c r="AN62" s="733"/>
      <c r="AO62" s="733"/>
      <c r="AP62" s="733"/>
      <c r="AQ62" s="733"/>
      <c r="AR62" s="733"/>
      <c r="AS62" s="733"/>
      <c r="AT62" s="733"/>
      <c r="AU62" s="733"/>
      <c r="AV62" s="733"/>
      <c r="AW62" s="733"/>
      <c r="AX62" s="732"/>
      <c r="AY62" s="732"/>
      <c r="AZ62" s="732"/>
      <c r="BA62" s="732"/>
      <c r="BB62" s="732"/>
      <c r="BC62" s="732"/>
      <c r="BD62" s="732"/>
      <c r="BE62" s="732"/>
      <c r="BG62" s="762"/>
      <c r="BW62" s="781" t="s">
        <v>255</v>
      </c>
      <c r="BX62" s="782">
        <v>240</v>
      </c>
      <c r="BY62" s="780">
        <f t="shared" si="36"/>
        <v>3.5500000000000327</v>
      </c>
      <c r="BZ62" s="731">
        <f t="shared" si="34"/>
        <v>2.3000000000000158</v>
      </c>
      <c r="CA62" s="731">
        <f t="shared" si="35"/>
        <v>0</v>
      </c>
      <c r="CB62" s="731">
        <f t="shared" si="29"/>
        <v>0</v>
      </c>
      <c r="CC62" s="731">
        <f t="shared" si="30"/>
        <v>0</v>
      </c>
      <c r="CD62" s="731">
        <f t="shared" si="31"/>
        <v>0</v>
      </c>
      <c r="CE62" s="731">
        <f t="shared" si="32"/>
        <v>1.2500000000000169</v>
      </c>
      <c r="CF62" s="731">
        <f t="shared" si="33"/>
        <v>0</v>
      </c>
    </row>
    <row r="63" spans="1:84" ht="15.75" customHeight="1">
      <c r="A63" s="732"/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733"/>
      <c r="AB63" s="732"/>
      <c r="AC63" s="733"/>
      <c r="AD63" s="733"/>
      <c r="AE63" s="733"/>
      <c r="AF63" s="733"/>
      <c r="AG63" s="733"/>
      <c r="AH63" s="732"/>
      <c r="AI63" s="732"/>
      <c r="AJ63" s="732"/>
      <c r="AK63" s="732"/>
      <c r="AL63" s="733"/>
      <c r="AM63" s="733"/>
      <c r="AN63" s="733"/>
      <c r="AO63" s="733"/>
      <c r="AP63" s="733"/>
      <c r="AQ63" s="733"/>
      <c r="AR63" s="733"/>
      <c r="AS63" s="733"/>
      <c r="AT63" s="733"/>
      <c r="AU63" s="733"/>
      <c r="AV63" s="733"/>
      <c r="AW63" s="733"/>
      <c r="AX63" s="732"/>
      <c r="AY63" s="732"/>
      <c r="AZ63" s="732"/>
      <c r="BA63" s="732"/>
      <c r="BB63" s="732"/>
      <c r="BC63" s="732"/>
      <c r="BD63" s="732"/>
      <c r="BE63" s="732"/>
      <c r="BG63" s="762"/>
      <c r="BW63" s="783"/>
      <c r="BX63" s="784"/>
      <c r="BY63" s="780">
        <f t="shared" si="36"/>
        <v>0</v>
      </c>
      <c r="BZ63" s="731">
        <f t="shared" si="34"/>
        <v>0</v>
      </c>
      <c r="CA63" s="731">
        <f t="shared" si="35"/>
        <v>0</v>
      </c>
      <c r="CB63" s="731">
        <f t="shared" si="29"/>
        <v>0</v>
      </c>
      <c r="CC63" s="731">
        <f t="shared" si="30"/>
        <v>0</v>
      </c>
      <c r="CD63" s="731">
        <f t="shared" si="31"/>
        <v>0</v>
      </c>
      <c r="CE63" s="731">
        <f t="shared" si="32"/>
        <v>0</v>
      </c>
      <c r="CF63" s="731">
        <f t="shared" si="33"/>
        <v>0</v>
      </c>
    </row>
    <row r="64" spans="1:84" ht="15.75" customHeight="1">
      <c r="A64" s="732"/>
      <c r="B64" s="733"/>
      <c r="C64" s="733"/>
      <c r="D64" s="733"/>
      <c r="E64" s="733"/>
      <c r="F64" s="733"/>
      <c r="G64" s="733"/>
      <c r="H64" s="733"/>
      <c r="I64" s="733"/>
      <c r="J64" s="733"/>
      <c r="K64" s="733"/>
      <c r="L64" s="733"/>
      <c r="M64" s="733"/>
      <c r="N64" s="733"/>
      <c r="O64" s="733"/>
      <c r="P64" s="733"/>
      <c r="Q64" s="733"/>
      <c r="R64" s="733"/>
      <c r="S64" s="733"/>
      <c r="T64" s="733"/>
      <c r="U64" s="733"/>
      <c r="V64" s="733"/>
      <c r="W64" s="733"/>
      <c r="X64" s="733"/>
      <c r="Y64" s="733"/>
      <c r="Z64" s="733"/>
      <c r="AA64" s="733"/>
      <c r="AB64" s="732"/>
      <c r="AC64" s="733"/>
      <c r="AD64" s="733"/>
      <c r="AE64" s="733"/>
      <c r="AF64" s="733"/>
      <c r="AG64" s="733"/>
      <c r="AH64" s="732"/>
      <c r="AI64" s="732"/>
      <c r="AJ64" s="732"/>
      <c r="AK64" s="732"/>
      <c r="AL64" s="733"/>
      <c r="AM64" s="733"/>
      <c r="AN64" s="733"/>
      <c r="AO64" s="733"/>
      <c r="AP64" s="733"/>
      <c r="AQ64" s="733"/>
      <c r="AR64" s="733"/>
      <c r="AS64" s="733"/>
      <c r="AT64" s="733"/>
      <c r="AU64" s="733"/>
      <c r="AV64" s="733"/>
      <c r="AW64" s="733"/>
      <c r="AX64" s="732"/>
      <c r="AY64" s="732"/>
      <c r="AZ64" s="732"/>
      <c r="BA64" s="732"/>
      <c r="BB64" s="732"/>
      <c r="BC64" s="732"/>
      <c r="BD64" s="732"/>
      <c r="BE64" s="732"/>
      <c r="BG64" s="762"/>
      <c r="BW64" s="790"/>
      <c r="BX64" s="715"/>
      <c r="BY64" s="715"/>
      <c r="BZ64" s="715"/>
      <c r="CA64" s="715"/>
      <c r="CB64" s="715"/>
      <c r="CC64" s="715"/>
      <c r="CD64" s="715"/>
      <c r="CE64" s="715"/>
      <c r="CF64" s="715"/>
    </row>
    <row r="65" spans="1:84" ht="15.75" customHeight="1">
      <c r="A65" s="732"/>
      <c r="B65" s="733"/>
      <c r="C65" s="733"/>
      <c r="D65" s="733"/>
      <c r="E65" s="733"/>
      <c r="F65" s="733"/>
      <c r="G65" s="733"/>
      <c r="H65" s="733"/>
      <c r="I65" s="733"/>
      <c r="J65" s="733"/>
      <c r="K65" s="733"/>
      <c r="L65" s="733"/>
      <c r="M65" s="733"/>
      <c r="N65" s="733"/>
      <c r="O65" s="733"/>
      <c r="P65" s="733"/>
      <c r="Q65" s="733"/>
      <c r="R65" s="733"/>
      <c r="S65" s="733"/>
      <c r="T65" s="733"/>
      <c r="U65" s="733"/>
      <c r="V65" s="733"/>
      <c r="W65" s="733"/>
      <c r="X65" s="733"/>
      <c r="Y65" s="733"/>
      <c r="Z65" s="733"/>
      <c r="AA65" s="733"/>
      <c r="AB65" s="732"/>
      <c r="AC65" s="733"/>
      <c r="AD65" s="733"/>
      <c r="AE65" s="733"/>
      <c r="AF65" s="733"/>
      <c r="AG65" s="733"/>
      <c r="AH65" s="732"/>
      <c r="AI65" s="732"/>
      <c r="AJ65" s="732"/>
      <c r="AK65" s="732"/>
      <c r="AL65" s="733"/>
      <c r="AM65" s="733"/>
      <c r="AN65" s="733"/>
      <c r="AO65" s="733"/>
      <c r="AP65" s="733"/>
      <c r="AQ65" s="733"/>
      <c r="AR65" s="733"/>
      <c r="AS65" s="733"/>
      <c r="AT65" s="733"/>
      <c r="AU65" s="733"/>
      <c r="AV65" s="733"/>
      <c r="AW65" s="733"/>
      <c r="AX65" s="732"/>
      <c r="AY65" s="732"/>
      <c r="AZ65" s="732"/>
      <c r="BA65" s="732"/>
      <c r="BB65" s="732"/>
      <c r="BC65" s="732"/>
      <c r="BD65" s="732"/>
      <c r="BE65" s="732"/>
      <c r="BG65" s="762"/>
      <c r="BW65" s="790"/>
      <c r="BX65" s="715"/>
      <c r="BY65" s="715"/>
      <c r="BZ65" s="715"/>
      <c r="CA65" s="715"/>
      <c r="CB65" s="715"/>
      <c r="CC65" s="715"/>
      <c r="CD65" s="715"/>
      <c r="CE65" s="715"/>
      <c r="CF65" s="715"/>
    </row>
    <row r="66" spans="1:84" ht="15.75" customHeight="1">
      <c r="A66" s="732"/>
      <c r="B66" s="733"/>
      <c r="C66" s="733"/>
      <c r="D66" s="733"/>
      <c r="E66" s="733"/>
      <c r="F66" s="733"/>
      <c r="G66" s="733"/>
      <c r="H66" s="733"/>
      <c r="I66" s="733"/>
      <c r="J66" s="733"/>
      <c r="K66" s="733"/>
      <c r="L66" s="733"/>
      <c r="M66" s="733"/>
      <c r="N66" s="733"/>
      <c r="O66" s="733"/>
      <c r="P66" s="733"/>
      <c r="Q66" s="733"/>
      <c r="R66" s="733"/>
      <c r="S66" s="733"/>
      <c r="T66" s="733"/>
      <c r="U66" s="733"/>
      <c r="V66" s="733"/>
      <c r="W66" s="733"/>
      <c r="X66" s="733"/>
      <c r="Y66" s="733"/>
      <c r="Z66" s="733"/>
      <c r="AA66" s="733"/>
      <c r="AB66" s="732"/>
      <c r="AC66" s="733"/>
      <c r="AD66" s="733"/>
      <c r="AE66" s="733"/>
      <c r="AF66" s="733"/>
      <c r="AG66" s="733"/>
      <c r="AH66" s="732"/>
      <c r="AI66" s="732"/>
      <c r="AJ66" s="732"/>
      <c r="AK66" s="732"/>
      <c r="AL66" s="733"/>
      <c r="AM66" s="733"/>
      <c r="AN66" s="733"/>
      <c r="AO66" s="733"/>
      <c r="AP66" s="733"/>
      <c r="AQ66" s="733"/>
      <c r="AR66" s="733"/>
      <c r="AS66" s="733"/>
      <c r="AT66" s="733"/>
      <c r="AU66" s="733"/>
      <c r="AV66" s="733"/>
      <c r="AW66" s="733"/>
      <c r="AX66" s="732"/>
      <c r="AY66" s="732"/>
      <c r="AZ66" s="732"/>
      <c r="BA66" s="732"/>
      <c r="BB66" s="732"/>
      <c r="BC66" s="732"/>
      <c r="BD66" s="732"/>
      <c r="BE66" s="732"/>
      <c r="BG66" s="762"/>
      <c r="BW66" s="790"/>
      <c r="BX66" s="715"/>
      <c r="BY66" s="715"/>
      <c r="BZ66" s="715"/>
      <c r="CA66" s="715"/>
      <c r="CB66" s="715"/>
      <c r="CC66" s="715"/>
      <c r="CD66" s="715"/>
      <c r="CE66" s="715"/>
      <c r="CF66" s="715"/>
    </row>
    <row r="67" spans="1:84" ht="15.75" customHeight="1">
      <c r="A67" s="732"/>
      <c r="B67" s="733"/>
      <c r="C67" s="733"/>
      <c r="D67" s="733"/>
      <c r="E67" s="733"/>
      <c r="F67" s="733"/>
      <c r="G67" s="733"/>
      <c r="H67" s="733"/>
      <c r="I67" s="733"/>
      <c r="J67" s="733"/>
      <c r="K67" s="733"/>
      <c r="L67" s="733"/>
      <c r="M67" s="733"/>
      <c r="N67" s="733"/>
      <c r="O67" s="733"/>
      <c r="P67" s="733"/>
      <c r="Q67" s="733"/>
      <c r="R67" s="733"/>
      <c r="S67" s="733"/>
      <c r="T67" s="733"/>
      <c r="U67" s="733"/>
      <c r="V67" s="733"/>
      <c r="W67" s="733"/>
      <c r="X67" s="733"/>
      <c r="Y67" s="733"/>
      <c r="Z67" s="733"/>
      <c r="AA67" s="733"/>
      <c r="AB67" s="732"/>
      <c r="AC67" s="733"/>
      <c r="AD67" s="733"/>
      <c r="AE67" s="733"/>
      <c r="AF67" s="733"/>
      <c r="AG67" s="733"/>
      <c r="AH67" s="732"/>
      <c r="AI67" s="732"/>
      <c r="AJ67" s="732"/>
      <c r="AK67" s="732"/>
      <c r="AL67" s="733"/>
      <c r="AM67" s="733"/>
      <c r="AN67" s="733"/>
      <c r="AO67" s="733"/>
      <c r="AP67" s="733"/>
      <c r="AQ67" s="733"/>
      <c r="AR67" s="733"/>
      <c r="AS67" s="733"/>
      <c r="AT67" s="733"/>
      <c r="AU67" s="733"/>
      <c r="AV67" s="733"/>
      <c r="AW67" s="733"/>
      <c r="AX67" s="732"/>
      <c r="AY67" s="732"/>
      <c r="AZ67" s="732"/>
      <c r="BA67" s="732"/>
      <c r="BB67" s="732"/>
      <c r="BC67" s="732"/>
      <c r="BD67" s="732"/>
      <c r="BE67" s="732"/>
      <c r="BF67" s="732"/>
      <c r="BG67" s="791"/>
      <c r="BH67" s="732"/>
      <c r="BI67" s="732"/>
      <c r="BJ67" s="732"/>
      <c r="BK67" s="732"/>
      <c r="BL67" s="732"/>
      <c r="BW67" s="790"/>
      <c r="BX67" s="715"/>
      <c r="BY67" s="715"/>
      <c r="BZ67" s="715"/>
      <c r="CA67" s="715"/>
      <c r="CB67" s="715"/>
      <c r="CC67" s="715"/>
      <c r="CD67" s="715"/>
      <c r="CE67" s="715"/>
      <c r="CF67" s="715"/>
    </row>
    <row r="68" spans="1:84" ht="15.75" customHeight="1">
      <c r="A68" s="732"/>
      <c r="B68" s="733"/>
      <c r="C68" s="733"/>
      <c r="D68" s="733"/>
      <c r="E68" s="733"/>
      <c r="F68" s="733"/>
      <c r="G68" s="733"/>
      <c r="H68" s="733"/>
      <c r="I68" s="733"/>
      <c r="J68" s="733"/>
      <c r="K68" s="733"/>
      <c r="L68" s="733"/>
      <c r="M68" s="733"/>
      <c r="N68" s="733"/>
      <c r="O68" s="733"/>
      <c r="P68" s="733"/>
      <c r="Q68" s="733"/>
      <c r="R68" s="733"/>
      <c r="S68" s="733"/>
      <c r="T68" s="733"/>
      <c r="U68" s="733"/>
      <c r="V68" s="733"/>
      <c r="W68" s="733"/>
      <c r="X68" s="733"/>
      <c r="Y68" s="733"/>
      <c r="Z68" s="733"/>
      <c r="AA68" s="733"/>
      <c r="AB68" s="732"/>
      <c r="AC68" s="733"/>
      <c r="AD68" s="733"/>
      <c r="AE68" s="733"/>
      <c r="AF68" s="733"/>
      <c r="AG68" s="733"/>
      <c r="AH68" s="732"/>
      <c r="AI68" s="732"/>
      <c r="AJ68" s="732"/>
      <c r="AK68" s="732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2"/>
      <c r="AY68" s="732"/>
      <c r="AZ68" s="732"/>
      <c r="BA68" s="732"/>
      <c r="BB68" s="732"/>
      <c r="BC68" s="732"/>
      <c r="BD68" s="732"/>
      <c r="BE68" s="732"/>
      <c r="BF68" s="732"/>
      <c r="BG68" s="791"/>
      <c r="BH68" s="732"/>
      <c r="BI68" s="732"/>
      <c r="BJ68" s="732"/>
      <c r="BK68" s="732"/>
      <c r="BL68" s="732"/>
      <c r="BW68" s="790"/>
      <c r="BX68" s="715"/>
      <c r="BY68" s="715"/>
      <c r="BZ68" s="715"/>
      <c r="CA68" s="715"/>
      <c r="CB68" s="715"/>
      <c r="CC68" s="715"/>
      <c r="CD68" s="715"/>
      <c r="CE68" s="715"/>
      <c r="CF68" s="715"/>
    </row>
    <row r="69" spans="1:84" ht="15.75" customHeight="1">
      <c r="A69" s="732"/>
      <c r="B69" s="733"/>
      <c r="C69" s="733"/>
      <c r="D69" s="733"/>
      <c r="E69" s="733"/>
      <c r="F69" s="733"/>
      <c r="G69" s="733"/>
      <c r="H69" s="733"/>
      <c r="I69" s="733"/>
      <c r="J69" s="733"/>
      <c r="K69" s="733"/>
      <c r="L69" s="733"/>
      <c r="M69" s="733"/>
      <c r="N69" s="733"/>
      <c r="O69" s="733"/>
      <c r="P69" s="733"/>
      <c r="Q69" s="733"/>
      <c r="R69" s="733"/>
      <c r="S69" s="733"/>
      <c r="T69" s="733"/>
      <c r="U69" s="733"/>
      <c r="V69" s="733"/>
      <c r="W69" s="733"/>
      <c r="X69" s="733"/>
      <c r="Y69" s="733"/>
      <c r="Z69" s="733"/>
      <c r="AA69" s="733"/>
      <c r="AB69" s="732"/>
      <c r="AC69" s="733"/>
      <c r="AD69" s="733"/>
      <c r="AE69" s="733"/>
      <c r="AF69" s="733"/>
      <c r="AG69" s="733"/>
      <c r="AH69" s="732"/>
      <c r="AI69" s="732"/>
      <c r="AJ69" s="732"/>
      <c r="AK69" s="732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2"/>
      <c r="AY69" s="732"/>
      <c r="AZ69" s="732"/>
      <c r="BA69" s="732"/>
      <c r="BB69" s="732"/>
      <c r="BC69" s="732"/>
      <c r="BD69" s="732"/>
      <c r="BE69" s="732"/>
      <c r="BF69" s="732"/>
      <c r="BG69" s="791"/>
      <c r="BH69" s="732"/>
      <c r="BI69" s="732"/>
      <c r="BJ69" s="732"/>
      <c r="BK69" s="732"/>
      <c r="BL69" s="732"/>
      <c r="BW69" s="790"/>
      <c r="BX69" s="715"/>
      <c r="BY69" s="715"/>
      <c r="BZ69" s="715"/>
      <c r="CA69" s="715"/>
      <c r="CB69" s="715"/>
      <c r="CC69" s="715"/>
      <c r="CD69" s="715"/>
      <c r="CE69" s="715"/>
      <c r="CF69" s="715"/>
    </row>
    <row r="70" spans="1:84" ht="15.75" customHeight="1">
      <c r="A70" s="732"/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733"/>
      <c r="AB70" s="732"/>
      <c r="AC70" s="733"/>
      <c r="AD70" s="733"/>
      <c r="AE70" s="733"/>
      <c r="AF70" s="733"/>
      <c r="AG70" s="733"/>
      <c r="AH70" s="732"/>
      <c r="AI70" s="732"/>
      <c r="AJ70" s="732"/>
      <c r="AK70" s="732"/>
      <c r="AL70" s="733"/>
      <c r="AM70" s="733"/>
      <c r="AN70" s="733"/>
      <c r="AO70" s="733"/>
      <c r="AP70" s="733"/>
      <c r="AQ70" s="733"/>
      <c r="AR70" s="733"/>
      <c r="AS70" s="733"/>
      <c r="AT70" s="733"/>
      <c r="AU70" s="733"/>
      <c r="AV70" s="733"/>
      <c r="AW70" s="733"/>
      <c r="AX70" s="732"/>
      <c r="AY70" s="732"/>
      <c r="AZ70" s="732"/>
      <c r="BA70" s="732"/>
      <c r="BB70" s="732"/>
      <c r="BC70" s="732"/>
      <c r="BD70" s="732"/>
      <c r="BE70" s="732"/>
      <c r="BF70" s="732"/>
      <c r="BG70" s="791"/>
      <c r="BH70" s="732"/>
      <c r="BI70" s="732"/>
      <c r="BJ70" s="732"/>
      <c r="BK70" s="732"/>
      <c r="BL70" s="732"/>
      <c r="BW70" s="790"/>
      <c r="BX70" s="715"/>
      <c r="BY70" s="715"/>
      <c r="BZ70" s="715"/>
      <c r="CA70" s="715"/>
      <c r="CB70" s="715"/>
      <c r="CC70" s="715"/>
      <c r="CD70" s="715"/>
      <c r="CE70" s="715"/>
      <c r="CF70" s="715"/>
    </row>
    <row r="71" spans="1:84" ht="15.75" customHeight="1">
      <c r="A71" s="732"/>
      <c r="B71" s="733"/>
      <c r="C71" s="733"/>
      <c r="D71" s="733"/>
      <c r="E71" s="733"/>
      <c r="F71" s="733"/>
      <c r="G71" s="733"/>
      <c r="H71" s="733"/>
      <c r="I71" s="733"/>
      <c r="J71" s="733"/>
      <c r="K71" s="733"/>
      <c r="L71" s="733"/>
      <c r="M71" s="733"/>
      <c r="N71" s="733"/>
      <c r="O71" s="733"/>
      <c r="P71" s="733"/>
      <c r="Q71" s="733"/>
      <c r="R71" s="733"/>
      <c r="S71" s="733"/>
      <c r="T71" s="733"/>
      <c r="U71" s="733"/>
      <c r="V71" s="733"/>
      <c r="W71" s="733"/>
      <c r="X71" s="733"/>
      <c r="Y71" s="733"/>
      <c r="Z71" s="733"/>
      <c r="AA71" s="733"/>
      <c r="AB71" s="732"/>
      <c r="AC71" s="733"/>
      <c r="AD71" s="733"/>
      <c r="AE71" s="733"/>
      <c r="AF71" s="733"/>
      <c r="AG71" s="733"/>
      <c r="AH71" s="732"/>
      <c r="AI71" s="732"/>
      <c r="AJ71" s="732"/>
      <c r="AK71" s="732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2"/>
      <c r="AY71" s="732"/>
      <c r="AZ71" s="732"/>
      <c r="BA71" s="732"/>
      <c r="BB71" s="732"/>
      <c r="BC71" s="732"/>
      <c r="BD71" s="732"/>
      <c r="BE71" s="732"/>
      <c r="BF71" s="732"/>
      <c r="BG71" s="791"/>
      <c r="BH71" s="732"/>
      <c r="BI71" s="732"/>
      <c r="BJ71" s="732"/>
      <c r="BK71" s="732"/>
      <c r="BL71" s="732"/>
      <c r="BW71" s="790"/>
      <c r="BX71" s="715"/>
      <c r="BY71" s="715"/>
      <c r="BZ71" s="715"/>
      <c r="CA71" s="715"/>
      <c r="CB71" s="715"/>
      <c r="CC71" s="715"/>
      <c r="CD71" s="715"/>
      <c r="CE71" s="715"/>
      <c r="CF71" s="715"/>
    </row>
    <row r="72" spans="1:84" ht="15.75" customHeight="1">
      <c r="A72" s="732"/>
      <c r="B72" s="733"/>
      <c r="C72" s="733"/>
      <c r="D72" s="733"/>
      <c r="E72" s="733"/>
      <c r="F72" s="733"/>
      <c r="G72" s="733"/>
      <c r="H72" s="733"/>
      <c r="I72" s="733"/>
      <c r="J72" s="733"/>
      <c r="K72" s="733"/>
      <c r="L72" s="733"/>
      <c r="M72" s="733"/>
      <c r="N72" s="733"/>
      <c r="O72" s="733"/>
      <c r="P72" s="733"/>
      <c r="Q72" s="733"/>
      <c r="R72" s="733"/>
      <c r="S72" s="733"/>
      <c r="T72" s="733"/>
      <c r="U72" s="733"/>
      <c r="V72" s="733"/>
      <c r="W72" s="733"/>
      <c r="X72" s="733"/>
      <c r="Y72" s="733"/>
      <c r="Z72" s="733"/>
      <c r="AA72" s="733"/>
      <c r="AB72" s="732"/>
      <c r="AC72" s="733"/>
      <c r="AD72" s="733"/>
      <c r="AE72" s="733"/>
      <c r="AF72" s="733"/>
      <c r="AG72" s="733"/>
      <c r="AH72" s="732"/>
      <c r="AI72" s="732"/>
      <c r="AJ72" s="732"/>
      <c r="AK72" s="732"/>
      <c r="AL72" s="733"/>
      <c r="AM72" s="733"/>
      <c r="AN72" s="733"/>
      <c r="AO72" s="733"/>
      <c r="AP72" s="733"/>
      <c r="AQ72" s="733"/>
      <c r="AR72" s="733"/>
      <c r="AS72" s="733"/>
      <c r="AT72" s="733"/>
      <c r="AU72" s="733"/>
      <c r="AV72" s="733"/>
      <c r="AW72" s="733"/>
      <c r="AX72" s="732"/>
      <c r="AY72" s="732"/>
      <c r="AZ72" s="732"/>
      <c r="BA72" s="732"/>
      <c r="BB72" s="732"/>
      <c r="BC72" s="732"/>
      <c r="BD72" s="732"/>
      <c r="BE72" s="732"/>
      <c r="BF72" s="732"/>
      <c r="BG72" s="791"/>
      <c r="BH72" s="732"/>
      <c r="BI72" s="732"/>
      <c r="BJ72" s="732"/>
      <c r="BK72" s="732"/>
      <c r="BL72" s="732"/>
      <c r="BW72" s="790"/>
      <c r="BX72" s="715"/>
      <c r="BY72" s="715"/>
      <c r="BZ72" s="715"/>
      <c r="CA72" s="715"/>
      <c r="CB72" s="715"/>
      <c r="CC72" s="715"/>
      <c r="CD72" s="715"/>
      <c r="CE72" s="715"/>
      <c r="CF72" s="715"/>
    </row>
    <row r="73" spans="1:84" ht="15.75" customHeight="1">
      <c r="A73" s="732"/>
      <c r="B73" s="733"/>
      <c r="C73" s="733"/>
      <c r="D73" s="733"/>
      <c r="E73" s="733"/>
      <c r="F73" s="733"/>
      <c r="G73" s="733"/>
      <c r="H73" s="733"/>
      <c r="I73" s="733"/>
      <c r="J73" s="733"/>
      <c r="K73" s="733"/>
      <c r="L73" s="733"/>
      <c r="M73" s="733"/>
      <c r="N73" s="733"/>
      <c r="O73" s="733"/>
      <c r="P73" s="733"/>
      <c r="Q73" s="733"/>
      <c r="R73" s="733"/>
      <c r="S73" s="733"/>
      <c r="T73" s="733"/>
      <c r="U73" s="733"/>
      <c r="V73" s="733"/>
      <c r="W73" s="733"/>
      <c r="X73" s="733"/>
      <c r="Y73" s="733"/>
      <c r="Z73" s="733"/>
      <c r="AA73" s="733"/>
      <c r="AB73" s="732"/>
      <c r="AC73" s="733"/>
      <c r="AD73" s="733"/>
      <c r="AE73" s="733"/>
      <c r="AF73" s="733"/>
      <c r="AG73" s="733"/>
      <c r="AH73" s="732"/>
      <c r="AI73" s="732"/>
      <c r="AJ73" s="732"/>
      <c r="AK73" s="732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2"/>
      <c r="AY73" s="732"/>
      <c r="AZ73" s="732"/>
      <c r="BA73" s="732"/>
      <c r="BB73" s="732"/>
      <c r="BC73" s="732"/>
      <c r="BD73" s="732"/>
      <c r="BE73" s="732"/>
      <c r="BF73" s="732"/>
      <c r="BG73" s="791"/>
      <c r="BH73" s="732"/>
      <c r="BI73" s="732"/>
      <c r="BJ73" s="732"/>
      <c r="BK73" s="732"/>
      <c r="BL73" s="732"/>
      <c r="BW73" s="790"/>
      <c r="BX73" s="715"/>
      <c r="BY73" s="715"/>
      <c r="BZ73" s="715"/>
      <c r="CA73" s="715"/>
      <c r="CB73" s="715"/>
      <c r="CC73" s="715"/>
      <c r="CD73" s="715"/>
      <c r="CE73" s="715"/>
      <c r="CF73" s="715"/>
    </row>
    <row r="74" spans="1:84" ht="15.75" customHeight="1">
      <c r="A74" s="732"/>
      <c r="B74" s="733"/>
      <c r="C74" s="733"/>
      <c r="D74" s="733"/>
      <c r="E74" s="733"/>
      <c r="F74" s="733"/>
      <c r="G74" s="733"/>
      <c r="H74" s="733"/>
      <c r="I74" s="733"/>
      <c r="J74" s="733"/>
      <c r="K74" s="733"/>
      <c r="L74" s="733"/>
      <c r="M74" s="733"/>
      <c r="N74" s="733"/>
      <c r="O74" s="733"/>
      <c r="P74" s="733"/>
      <c r="Q74" s="733"/>
      <c r="R74" s="733"/>
      <c r="S74" s="733"/>
      <c r="T74" s="733"/>
      <c r="U74" s="733"/>
      <c r="V74" s="733"/>
      <c r="W74" s="733"/>
      <c r="X74" s="733"/>
      <c r="Y74" s="733"/>
      <c r="Z74" s="733"/>
      <c r="AA74" s="733"/>
      <c r="AB74" s="732"/>
      <c r="AC74" s="733"/>
      <c r="AD74" s="733"/>
      <c r="AE74" s="733"/>
      <c r="AF74" s="733"/>
      <c r="AG74" s="733"/>
      <c r="AH74" s="732"/>
      <c r="AI74" s="732"/>
      <c r="AJ74" s="732"/>
      <c r="AK74" s="732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2"/>
      <c r="AY74" s="732"/>
      <c r="AZ74" s="732"/>
      <c r="BA74" s="732"/>
      <c r="BB74" s="732"/>
      <c r="BC74" s="732"/>
      <c r="BD74" s="732"/>
      <c r="BE74" s="732"/>
      <c r="BF74" s="732"/>
      <c r="BG74" s="791"/>
      <c r="BH74" s="732"/>
      <c r="BI74" s="732"/>
      <c r="BJ74" s="732"/>
      <c r="BK74" s="732"/>
      <c r="BL74" s="732"/>
      <c r="BW74" s="790"/>
      <c r="BX74" s="715"/>
      <c r="BY74" s="715"/>
      <c r="BZ74" s="715"/>
      <c r="CA74" s="715"/>
      <c r="CB74" s="715"/>
      <c r="CC74" s="715"/>
      <c r="CD74" s="715"/>
      <c r="CE74" s="715"/>
      <c r="CF74" s="715"/>
    </row>
    <row r="75" spans="1:84" ht="15.75" customHeight="1">
      <c r="A75" s="732"/>
      <c r="B75" s="733"/>
      <c r="C75" s="733"/>
      <c r="D75" s="733"/>
      <c r="E75" s="733"/>
      <c r="F75" s="733"/>
      <c r="G75" s="733"/>
      <c r="H75" s="733"/>
      <c r="I75" s="733"/>
      <c r="J75" s="733"/>
      <c r="K75" s="733"/>
      <c r="L75" s="733"/>
      <c r="M75" s="733"/>
      <c r="N75" s="733"/>
      <c r="O75" s="733"/>
      <c r="P75" s="733"/>
      <c r="Q75" s="733"/>
      <c r="R75" s="733"/>
      <c r="S75" s="733"/>
      <c r="T75" s="733"/>
      <c r="U75" s="733"/>
      <c r="V75" s="733"/>
      <c r="W75" s="733"/>
      <c r="X75" s="733"/>
      <c r="Y75" s="733"/>
      <c r="Z75" s="733"/>
      <c r="AA75" s="733"/>
      <c r="AB75" s="732"/>
      <c r="AC75" s="733"/>
      <c r="AD75" s="733"/>
      <c r="AE75" s="733"/>
      <c r="AF75" s="733"/>
      <c r="AG75" s="733"/>
      <c r="AH75" s="732"/>
      <c r="AI75" s="732"/>
      <c r="AJ75" s="732"/>
      <c r="AK75" s="732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2"/>
      <c r="AY75" s="732"/>
      <c r="AZ75" s="732"/>
      <c r="BA75" s="732"/>
      <c r="BB75" s="732"/>
      <c r="BC75" s="732"/>
      <c r="BD75" s="732"/>
      <c r="BE75" s="732"/>
      <c r="BF75" s="732"/>
      <c r="BG75" s="791"/>
      <c r="BH75" s="732"/>
      <c r="BI75" s="732"/>
      <c r="BJ75" s="732"/>
      <c r="BK75" s="732"/>
      <c r="BL75" s="732"/>
      <c r="BW75" s="790"/>
      <c r="BX75" s="715"/>
      <c r="BY75" s="715"/>
      <c r="BZ75" s="715"/>
      <c r="CA75" s="715"/>
      <c r="CB75" s="715"/>
      <c r="CC75" s="715"/>
      <c r="CD75" s="715"/>
      <c r="CE75" s="715"/>
      <c r="CF75" s="715"/>
    </row>
    <row r="76" spans="1:84" ht="15.75" customHeight="1">
      <c r="A76" s="732"/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733"/>
      <c r="AB76" s="732"/>
      <c r="AC76" s="733"/>
      <c r="AD76" s="733"/>
      <c r="AE76" s="733"/>
      <c r="AF76" s="733"/>
      <c r="AG76" s="733"/>
      <c r="AH76" s="732"/>
      <c r="AI76" s="732"/>
      <c r="AJ76" s="732"/>
      <c r="AK76" s="732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2"/>
      <c r="AY76" s="732"/>
      <c r="AZ76" s="732"/>
      <c r="BA76" s="732"/>
      <c r="BB76" s="732"/>
      <c r="BC76" s="732"/>
      <c r="BD76" s="732"/>
      <c r="BE76" s="732"/>
      <c r="BF76" s="732"/>
      <c r="BG76" s="791"/>
      <c r="BH76" s="732"/>
      <c r="BI76" s="732"/>
      <c r="BJ76" s="732"/>
      <c r="BK76" s="732"/>
      <c r="BL76" s="732"/>
      <c r="BW76" s="790"/>
      <c r="BX76" s="715"/>
      <c r="BY76" s="715"/>
      <c r="BZ76" s="715"/>
      <c r="CA76" s="715"/>
      <c r="CB76" s="715"/>
      <c r="CC76" s="715"/>
      <c r="CD76" s="715"/>
      <c r="CE76" s="715"/>
      <c r="CF76" s="715"/>
    </row>
    <row r="77" spans="1:84" ht="15.75" customHeight="1">
      <c r="A77" s="732"/>
      <c r="B77" s="733"/>
      <c r="C77" s="733"/>
      <c r="D77" s="733"/>
      <c r="E77" s="733"/>
      <c r="F77" s="733"/>
      <c r="G77" s="733"/>
      <c r="H77" s="733"/>
      <c r="I77" s="733"/>
      <c r="J77" s="733"/>
      <c r="K77" s="733"/>
      <c r="L77" s="733"/>
      <c r="M77" s="733"/>
      <c r="N77" s="733"/>
      <c r="O77" s="733"/>
      <c r="P77" s="733"/>
      <c r="Q77" s="733"/>
      <c r="R77" s="733"/>
      <c r="S77" s="733"/>
      <c r="T77" s="733"/>
      <c r="U77" s="733"/>
      <c r="V77" s="733"/>
      <c r="W77" s="733"/>
      <c r="X77" s="733"/>
      <c r="Y77" s="733"/>
      <c r="Z77" s="733"/>
      <c r="AA77" s="733"/>
      <c r="AB77" s="732"/>
      <c r="AC77" s="733"/>
      <c r="AD77" s="733"/>
      <c r="AE77" s="733"/>
      <c r="AF77" s="733"/>
      <c r="AG77" s="733"/>
      <c r="AH77" s="732"/>
      <c r="AI77" s="732"/>
      <c r="AJ77" s="732"/>
      <c r="AK77" s="732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2"/>
      <c r="AY77" s="732"/>
      <c r="AZ77" s="732"/>
      <c r="BA77" s="732"/>
      <c r="BB77" s="732"/>
      <c r="BC77" s="732"/>
      <c r="BD77" s="732"/>
      <c r="BE77" s="732"/>
      <c r="BF77" s="732"/>
      <c r="BG77" s="791"/>
      <c r="BH77" s="732"/>
      <c r="BI77" s="732"/>
      <c r="BJ77" s="732"/>
      <c r="BK77" s="732"/>
      <c r="BL77" s="732"/>
      <c r="BW77" s="790"/>
      <c r="BX77" s="790"/>
      <c r="BY77" s="792"/>
      <c r="BZ77" s="731"/>
      <c r="CA77" s="731"/>
      <c r="CB77" s="731"/>
      <c r="CC77" s="731"/>
      <c r="CD77" s="731"/>
      <c r="CE77" s="731"/>
      <c r="CF77" s="731"/>
    </row>
    <row r="78" spans="1:84" ht="15.75" customHeight="1">
      <c r="A78" s="732"/>
      <c r="B78" s="733"/>
      <c r="C78" s="733"/>
      <c r="D78" s="733"/>
      <c r="E78" s="733"/>
      <c r="F78" s="733"/>
      <c r="G78" s="733"/>
      <c r="H78" s="733"/>
      <c r="I78" s="733"/>
      <c r="J78" s="733"/>
      <c r="K78" s="733"/>
      <c r="L78" s="733"/>
      <c r="M78" s="733"/>
      <c r="N78" s="733"/>
      <c r="O78" s="733"/>
      <c r="P78" s="733"/>
      <c r="Q78" s="733"/>
      <c r="R78" s="733"/>
      <c r="S78" s="733"/>
      <c r="T78" s="733"/>
      <c r="U78" s="733"/>
      <c r="V78" s="733"/>
      <c r="W78" s="733"/>
      <c r="X78" s="733"/>
      <c r="Y78" s="733"/>
      <c r="Z78" s="733"/>
      <c r="AA78" s="733"/>
      <c r="AB78" s="732"/>
      <c r="AC78" s="733"/>
      <c r="AD78" s="733"/>
      <c r="AE78" s="733"/>
      <c r="AF78" s="733"/>
      <c r="AG78" s="733"/>
      <c r="AH78" s="732"/>
      <c r="AI78" s="732"/>
      <c r="AJ78" s="732"/>
      <c r="AK78" s="732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2"/>
      <c r="AY78" s="732"/>
      <c r="AZ78" s="732"/>
      <c r="BA78" s="732"/>
      <c r="BB78" s="732"/>
      <c r="BC78" s="732"/>
      <c r="BD78" s="732"/>
      <c r="BE78" s="732"/>
      <c r="BF78" s="732"/>
      <c r="BG78" s="791"/>
      <c r="BH78" s="732"/>
      <c r="BI78" s="732"/>
      <c r="BJ78" s="732"/>
      <c r="BK78" s="732"/>
      <c r="BL78" s="732"/>
      <c r="BW78" s="790"/>
      <c r="BX78" s="790"/>
      <c r="BY78" s="792"/>
      <c r="BZ78" s="731"/>
      <c r="CA78" s="731"/>
      <c r="CB78" s="731"/>
      <c r="CC78" s="731"/>
      <c r="CD78" s="731"/>
      <c r="CE78" s="731"/>
      <c r="CF78" s="731"/>
    </row>
    <row r="79" spans="1:84" ht="15.75" customHeight="1">
      <c r="A79" s="732"/>
      <c r="B79" s="733"/>
      <c r="C79" s="733"/>
      <c r="D79" s="733"/>
      <c r="E79" s="733"/>
      <c r="F79" s="733"/>
      <c r="G79" s="733"/>
      <c r="H79" s="733"/>
      <c r="I79" s="733"/>
      <c r="J79" s="733"/>
      <c r="K79" s="733"/>
      <c r="L79" s="733"/>
      <c r="M79" s="733"/>
      <c r="N79" s="733"/>
      <c r="O79" s="733"/>
      <c r="P79" s="733"/>
      <c r="Q79" s="733"/>
      <c r="R79" s="733"/>
      <c r="S79" s="733"/>
      <c r="T79" s="733"/>
      <c r="U79" s="733"/>
      <c r="V79" s="733"/>
      <c r="W79" s="733"/>
      <c r="X79" s="733"/>
      <c r="Y79" s="733"/>
      <c r="Z79" s="733"/>
      <c r="AA79" s="733"/>
      <c r="AB79" s="732"/>
      <c r="AC79" s="733"/>
      <c r="AD79" s="733"/>
      <c r="AE79" s="733"/>
      <c r="AF79" s="733"/>
      <c r="AG79" s="733"/>
      <c r="AH79" s="732"/>
      <c r="AI79" s="732"/>
      <c r="AJ79" s="732"/>
      <c r="AK79" s="732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2"/>
      <c r="AY79" s="732"/>
      <c r="AZ79" s="732"/>
      <c r="BA79" s="732"/>
      <c r="BB79" s="732"/>
      <c r="BC79" s="732"/>
      <c r="BD79" s="732"/>
      <c r="BE79" s="732"/>
      <c r="BF79" s="732"/>
      <c r="BG79" s="791"/>
      <c r="BH79" s="732"/>
      <c r="BI79" s="732"/>
      <c r="BJ79" s="732"/>
      <c r="BK79" s="732"/>
      <c r="BL79" s="732"/>
      <c r="BW79" s="790"/>
      <c r="BX79" s="790"/>
      <c r="BY79" s="792"/>
      <c r="BZ79" s="731"/>
      <c r="CA79" s="731"/>
      <c r="CB79" s="731"/>
      <c r="CC79" s="731"/>
      <c r="CD79" s="731"/>
      <c r="CE79" s="731"/>
      <c r="CF79" s="731"/>
    </row>
    <row r="80" spans="1:84" ht="15.75" customHeight="1">
      <c r="A80" s="732"/>
      <c r="B80" s="733"/>
      <c r="C80" s="733"/>
      <c r="D80" s="733"/>
      <c r="E80" s="733"/>
      <c r="F80" s="733"/>
      <c r="G80" s="733"/>
      <c r="H80" s="733"/>
      <c r="I80" s="733"/>
      <c r="J80" s="733"/>
      <c r="K80" s="733"/>
      <c r="L80" s="733"/>
      <c r="M80" s="733"/>
      <c r="N80" s="733"/>
      <c r="O80" s="733"/>
      <c r="P80" s="733"/>
      <c r="Q80" s="733"/>
      <c r="R80" s="733"/>
      <c r="S80" s="733"/>
      <c r="T80" s="733"/>
      <c r="U80" s="733"/>
      <c r="V80" s="733"/>
      <c r="W80" s="733"/>
      <c r="X80" s="733"/>
      <c r="Y80" s="733"/>
      <c r="Z80" s="733"/>
      <c r="AA80" s="733"/>
      <c r="AB80" s="732"/>
      <c r="AC80" s="733"/>
      <c r="AD80" s="733"/>
      <c r="AE80" s="733"/>
      <c r="AF80" s="733"/>
      <c r="AG80" s="733"/>
      <c r="AH80" s="732"/>
      <c r="AI80" s="732"/>
      <c r="AJ80" s="732"/>
      <c r="AK80" s="732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2"/>
      <c r="AY80" s="732"/>
      <c r="AZ80" s="732"/>
      <c r="BA80" s="732"/>
      <c r="BB80" s="732"/>
      <c r="BC80" s="732"/>
      <c r="BD80" s="732"/>
      <c r="BE80" s="732"/>
      <c r="BF80" s="732"/>
      <c r="BG80" s="791"/>
      <c r="BH80" s="732"/>
      <c r="BI80" s="732"/>
      <c r="BJ80" s="732"/>
      <c r="BK80" s="732"/>
      <c r="BL80" s="732"/>
      <c r="BW80" s="790"/>
      <c r="BX80" s="790"/>
      <c r="BY80" s="792"/>
      <c r="BZ80" s="731"/>
      <c r="CA80" s="731"/>
      <c r="CB80" s="731"/>
      <c r="CC80" s="731"/>
      <c r="CD80" s="731"/>
      <c r="CE80" s="731"/>
      <c r="CF80" s="731"/>
    </row>
    <row r="81" spans="1:84" ht="15.75" customHeight="1">
      <c r="A81" s="732"/>
      <c r="B81" s="733"/>
      <c r="C81" s="733"/>
      <c r="D81" s="733"/>
      <c r="E81" s="733"/>
      <c r="F81" s="733"/>
      <c r="G81" s="733"/>
      <c r="H81" s="733"/>
      <c r="I81" s="733"/>
      <c r="J81" s="733"/>
      <c r="K81" s="733"/>
      <c r="L81" s="733"/>
      <c r="M81" s="733"/>
      <c r="N81" s="733"/>
      <c r="O81" s="733"/>
      <c r="P81" s="733"/>
      <c r="Q81" s="733"/>
      <c r="R81" s="733"/>
      <c r="S81" s="733"/>
      <c r="T81" s="733"/>
      <c r="U81" s="733"/>
      <c r="V81" s="733"/>
      <c r="W81" s="733"/>
      <c r="X81" s="733"/>
      <c r="Y81" s="733"/>
      <c r="Z81" s="733"/>
      <c r="AA81" s="733"/>
      <c r="AB81" s="732"/>
      <c r="AC81" s="733"/>
      <c r="AD81" s="733"/>
      <c r="AE81" s="733"/>
      <c r="AF81" s="733"/>
      <c r="AG81" s="733"/>
      <c r="AH81" s="732"/>
      <c r="AI81" s="732"/>
      <c r="AJ81" s="732"/>
      <c r="AK81" s="732"/>
      <c r="AL81" s="733"/>
      <c r="AM81" s="733"/>
      <c r="AN81" s="733"/>
      <c r="AO81" s="733"/>
      <c r="AP81" s="733"/>
      <c r="AQ81" s="733"/>
      <c r="AR81" s="733"/>
      <c r="AS81" s="733"/>
      <c r="AT81" s="733"/>
      <c r="AU81" s="733"/>
      <c r="AV81" s="733"/>
      <c r="AW81" s="733"/>
      <c r="AX81" s="732"/>
      <c r="AY81" s="732"/>
      <c r="AZ81" s="732"/>
      <c r="BA81" s="732"/>
      <c r="BB81" s="732"/>
      <c r="BC81" s="732"/>
      <c r="BD81" s="732"/>
      <c r="BE81" s="732"/>
      <c r="BF81" s="732"/>
      <c r="BG81" s="791"/>
      <c r="BH81" s="732"/>
      <c r="BI81" s="732"/>
      <c r="BJ81" s="732"/>
      <c r="BK81" s="732"/>
      <c r="BL81" s="732"/>
      <c r="BW81" s="790"/>
      <c r="BX81" s="790"/>
      <c r="BY81" s="792"/>
      <c r="BZ81" s="731"/>
      <c r="CA81" s="731"/>
      <c r="CB81" s="731"/>
      <c r="CC81" s="731"/>
      <c r="CD81" s="731"/>
      <c r="CE81" s="731"/>
      <c r="CF81" s="731"/>
    </row>
    <row r="82" spans="1:84" ht="15.75" customHeight="1">
      <c r="A82" s="732"/>
      <c r="B82" s="733"/>
      <c r="C82" s="733"/>
      <c r="D82" s="733"/>
      <c r="E82" s="733"/>
      <c r="F82" s="733"/>
      <c r="G82" s="733"/>
      <c r="H82" s="733"/>
      <c r="I82" s="733"/>
      <c r="J82" s="733"/>
      <c r="K82" s="733"/>
      <c r="L82" s="733"/>
      <c r="M82" s="733"/>
      <c r="N82" s="733"/>
      <c r="O82" s="733"/>
      <c r="P82" s="733"/>
      <c r="Q82" s="733"/>
      <c r="R82" s="733"/>
      <c r="S82" s="733"/>
      <c r="T82" s="733"/>
      <c r="U82" s="733"/>
      <c r="V82" s="733"/>
      <c r="W82" s="733"/>
      <c r="X82" s="733"/>
      <c r="Y82" s="733"/>
      <c r="Z82" s="733"/>
      <c r="AA82" s="733"/>
      <c r="AB82" s="732"/>
      <c r="AC82" s="733"/>
      <c r="AD82" s="733"/>
      <c r="AE82" s="733"/>
      <c r="AF82" s="733"/>
      <c r="AG82" s="733"/>
      <c r="AH82" s="732"/>
      <c r="AI82" s="732"/>
      <c r="AJ82" s="732"/>
      <c r="AK82" s="732"/>
      <c r="AL82" s="733"/>
      <c r="AM82" s="733"/>
      <c r="AN82" s="733"/>
      <c r="AO82" s="733"/>
      <c r="AP82" s="733"/>
      <c r="AQ82" s="733"/>
      <c r="AR82" s="733"/>
      <c r="AS82" s="733"/>
      <c r="AT82" s="733"/>
      <c r="AU82" s="733"/>
      <c r="AV82" s="733"/>
      <c r="AW82" s="733"/>
      <c r="AX82" s="732"/>
      <c r="AY82" s="732"/>
      <c r="AZ82" s="732"/>
      <c r="BA82" s="732"/>
      <c r="BB82" s="732"/>
      <c r="BC82" s="732"/>
      <c r="BD82" s="732"/>
      <c r="BE82" s="732"/>
      <c r="BF82" s="732"/>
      <c r="BG82" s="791"/>
      <c r="BH82" s="732"/>
      <c r="BI82" s="732"/>
      <c r="BJ82" s="732"/>
      <c r="BK82" s="732"/>
      <c r="BL82" s="732"/>
      <c r="BW82" s="790"/>
      <c r="BX82" s="790"/>
      <c r="BY82" s="792"/>
      <c r="BZ82" s="731"/>
      <c r="CA82" s="731"/>
      <c r="CB82" s="731"/>
      <c r="CC82" s="731"/>
      <c r="CD82" s="731"/>
      <c r="CE82" s="731"/>
      <c r="CF82" s="731"/>
    </row>
    <row r="83" spans="1:84" ht="15.75" customHeight="1">
      <c r="A83" s="732"/>
      <c r="B83" s="733"/>
      <c r="C83" s="733"/>
      <c r="D83" s="733"/>
      <c r="E83" s="733"/>
      <c r="F83" s="733"/>
      <c r="G83" s="733"/>
      <c r="H83" s="733"/>
      <c r="I83" s="733"/>
      <c r="J83" s="733"/>
      <c r="K83" s="733"/>
      <c r="L83" s="733"/>
      <c r="M83" s="733"/>
      <c r="N83" s="733"/>
      <c r="O83" s="733"/>
      <c r="P83" s="733"/>
      <c r="Q83" s="733"/>
      <c r="R83" s="733"/>
      <c r="S83" s="733"/>
      <c r="T83" s="733"/>
      <c r="U83" s="733"/>
      <c r="V83" s="733"/>
      <c r="W83" s="733"/>
      <c r="X83" s="733"/>
      <c r="Y83" s="733"/>
      <c r="Z83" s="733"/>
      <c r="AA83" s="733"/>
      <c r="AB83" s="732"/>
      <c r="AC83" s="733"/>
      <c r="AD83" s="733"/>
      <c r="AE83" s="733"/>
      <c r="AF83" s="733"/>
      <c r="AG83" s="733"/>
      <c r="AH83" s="732"/>
      <c r="AI83" s="732"/>
      <c r="AJ83" s="732"/>
      <c r="AK83" s="732"/>
      <c r="AL83" s="733"/>
      <c r="AM83" s="733"/>
      <c r="AN83" s="733"/>
      <c r="AO83" s="733"/>
      <c r="AP83" s="733"/>
      <c r="AQ83" s="733"/>
      <c r="AR83" s="733"/>
      <c r="AS83" s="733"/>
      <c r="AT83" s="733"/>
      <c r="AU83" s="733"/>
      <c r="AV83" s="733"/>
      <c r="AW83" s="733"/>
      <c r="AX83" s="732"/>
      <c r="AY83" s="732"/>
      <c r="AZ83" s="732"/>
      <c r="BA83" s="732"/>
      <c r="BB83" s="732"/>
      <c r="BC83" s="732"/>
      <c r="BD83" s="732"/>
      <c r="BE83" s="732"/>
      <c r="BF83" s="732"/>
      <c r="BG83" s="791"/>
      <c r="BH83" s="732"/>
      <c r="BI83" s="732"/>
      <c r="BJ83" s="732"/>
      <c r="BK83" s="732"/>
      <c r="BL83" s="732"/>
      <c r="BW83" s="790"/>
      <c r="BX83" s="790"/>
      <c r="BY83" s="792"/>
      <c r="BZ83" s="731"/>
      <c r="CA83" s="731"/>
      <c r="CB83" s="731"/>
      <c r="CC83" s="731"/>
      <c r="CD83" s="731"/>
      <c r="CE83" s="731"/>
      <c r="CF83" s="731"/>
    </row>
    <row r="84" spans="1:84" ht="15.75" customHeight="1">
      <c r="A84" s="732"/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733"/>
      <c r="AB84" s="732"/>
      <c r="AC84" s="733"/>
      <c r="AD84" s="733"/>
      <c r="AE84" s="733"/>
      <c r="AF84" s="733"/>
      <c r="AG84" s="733"/>
      <c r="AH84" s="732"/>
      <c r="AI84" s="732"/>
      <c r="AJ84" s="732"/>
      <c r="AK84" s="732"/>
      <c r="AL84" s="733"/>
      <c r="AM84" s="733"/>
      <c r="AN84" s="733"/>
      <c r="AO84" s="733"/>
      <c r="AP84" s="733"/>
      <c r="AQ84" s="733"/>
      <c r="AR84" s="733"/>
      <c r="AS84" s="733"/>
      <c r="AT84" s="733"/>
      <c r="AU84" s="733"/>
      <c r="AV84" s="733"/>
      <c r="AW84" s="733"/>
      <c r="AX84" s="732"/>
      <c r="AY84" s="732"/>
      <c r="AZ84" s="732"/>
      <c r="BA84" s="732"/>
      <c r="BB84" s="732"/>
      <c r="BC84" s="732"/>
      <c r="BD84" s="732"/>
      <c r="BE84" s="732"/>
      <c r="BF84" s="732"/>
      <c r="BG84" s="791"/>
      <c r="BH84" s="732"/>
      <c r="BI84" s="732"/>
      <c r="BJ84" s="732"/>
      <c r="BK84" s="732"/>
      <c r="BL84" s="732"/>
      <c r="BW84" s="790"/>
      <c r="BX84" s="790"/>
      <c r="BY84" s="792"/>
      <c r="BZ84" s="731"/>
      <c r="CA84" s="731"/>
      <c r="CB84" s="731"/>
      <c r="CC84" s="731"/>
      <c r="CD84" s="731"/>
      <c r="CE84" s="731"/>
      <c r="CF84" s="731"/>
    </row>
    <row r="85" spans="1:84" ht="15.75" customHeight="1">
      <c r="A85" s="732"/>
      <c r="B85" s="733"/>
      <c r="C85" s="733"/>
      <c r="D85" s="733"/>
      <c r="E85" s="733"/>
      <c r="F85" s="733"/>
      <c r="G85" s="733"/>
      <c r="H85" s="733"/>
      <c r="I85" s="733"/>
      <c r="J85" s="733"/>
      <c r="K85" s="733"/>
      <c r="L85" s="733"/>
      <c r="M85" s="733"/>
      <c r="N85" s="733"/>
      <c r="O85" s="733"/>
      <c r="P85" s="733"/>
      <c r="Q85" s="733"/>
      <c r="R85" s="733"/>
      <c r="S85" s="733"/>
      <c r="T85" s="733"/>
      <c r="U85" s="733"/>
      <c r="V85" s="733"/>
      <c r="W85" s="733"/>
      <c r="X85" s="733"/>
      <c r="Y85" s="733"/>
      <c r="Z85" s="733"/>
      <c r="AA85" s="733"/>
      <c r="AB85" s="732"/>
      <c r="AC85" s="733"/>
      <c r="AD85" s="733"/>
      <c r="AE85" s="733"/>
      <c r="AF85" s="733"/>
      <c r="AG85" s="733"/>
      <c r="AH85" s="732"/>
      <c r="AI85" s="732"/>
      <c r="AJ85" s="732"/>
      <c r="AK85" s="732"/>
      <c r="AL85" s="733"/>
      <c r="AM85" s="733"/>
      <c r="AN85" s="733"/>
      <c r="AO85" s="733"/>
      <c r="AP85" s="733"/>
      <c r="AQ85" s="733"/>
      <c r="AR85" s="733"/>
      <c r="AS85" s="733"/>
      <c r="AT85" s="733"/>
      <c r="AU85" s="733"/>
      <c r="AV85" s="733"/>
      <c r="AW85" s="733"/>
      <c r="AX85" s="732"/>
      <c r="AY85" s="732"/>
      <c r="AZ85" s="732"/>
      <c r="BA85" s="732"/>
      <c r="BB85" s="732"/>
      <c r="BC85" s="732"/>
      <c r="BD85" s="732"/>
      <c r="BE85" s="732"/>
      <c r="BF85" s="732"/>
      <c r="BG85" s="791"/>
      <c r="BH85" s="732"/>
      <c r="BI85" s="732"/>
      <c r="BJ85" s="732"/>
      <c r="BK85" s="732"/>
      <c r="BL85" s="732"/>
      <c r="BW85" s="790"/>
      <c r="BX85" s="790"/>
      <c r="BY85" s="792"/>
      <c r="BZ85" s="731"/>
      <c r="CA85" s="731"/>
      <c r="CB85" s="731"/>
      <c r="CC85" s="731"/>
      <c r="CD85" s="731"/>
      <c r="CE85" s="731"/>
      <c r="CF85" s="731"/>
    </row>
    <row r="86" spans="1:84" ht="15.75" customHeight="1">
      <c r="A86" s="732"/>
      <c r="B86" s="733"/>
      <c r="C86" s="733"/>
      <c r="D86" s="733"/>
      <c r="E86" s="733"/>
      <c r="F86" s="733"/>
      <c r="G86" s="733"/>
      <c r="H86" s="733"/>
      <c r="I86" s="733"/>
      <c r="J86" s="733"/>
      <c r="K86" s="733"/>
      <c r="L86" s="733"/>
      <c r="M86" s="733"/>
      <c r="N86" s="733"/>
      <c r="O86" s="733"/>
      <c r="P86" s="733"/>
      <c r="Q86" s="733"/>
      <c r="R86" s="733"/>
      <c r="S86" s="733"/>
      <c r="T86" s="733"/>
      <c r="U86" s="733"/>
      <c r="V86" s="733"/>
      <c r="W86" s="733"/>
      <c r="X86" s="733"/>
      <c r="Y86" s="733"/>
      <c r="Z86" s="733"/>
      <c r="AA86" s="733"/>
      <c r="AB86" s="732"/>
      <c r="AC86" s="733"/>
      <c r="AD86" s="733"/>
      <c r="AE86" s="733"/>
      <c r="AF86" s="733"/>
      <c r="AG86" s="733"/>
      <c r="AH86" s="732"/>
      <c r="AI86" s="732"/>
      <c r="AJ86" s="732"/>
      <c r="AK86" s="732"/>
      <c r="AL86" s="733"/>
      <c r="AM86" s="733"/>
      <c r="AN86" s="733"/>
      <c r="AO86" s="733"/>
      <c r="AP86" s="733"/>
      <c r="AQ86" s="733"/>
      <c r="AR86" s="733"/>
      <c r="AS86" s="733"/>
      <c r="AT86" s="733"/>
      <c r="AU86" s="733"/>
      <c r="AV86" s="733"/>
      <c r="AW86" s="733"/>
      <c r="AX86" s="732"/>
      <c r="AY86" s="732"/>
      <c r="AZ86" s="732"/>
      <c r="BA86" s="732"/>
      <c r="BB86" s="732"/>
      <c r="BC86" s="732"/>
      <c r="BD86" s="732"/>
      <c r="BE86" s="732"/>
      <c r="BF86" s="732"/>
      <c r="BG86" s="791"/>
      <c r="BH86" s="732"/>
      <c r="BI86" s="732"/>
      <c r="BJ86" s="732"/>
      <c r="BK86" s="732"/>
      <c r="BL86" s="732"/>
      <c r="BW86" s="790"/>
      <c r="BX86" s="790"/>
      <c r="BY86" s="792"/>
      <c r="BZ86" s="731"/>
      <c r="CA86" s="731"/>
      <c r="CB86" s="731"/>
      <c r="CC86" s="731"/>
      <c r="CD86" s="731"/>
      <c r="CE86" s="731"/>
      <c r="CF86" s="731"/>
    </row>
    <row r="87" spans="1:84" ht="15.75" customHeight="1">
      <c r="A87" s="732"/>
      <c r="B87" s="733"/>
      <c r="C87" s="733"/>
      <c r="D87" s="733"/>
      <c r="E87" s="733"/>
      <c r="F87" s="733"/>
      <c r="G87" s="733"/>
      <c r="H87" s="733"/>
      <c r="I87" s="733"/>
      <c r="J87" s="733"/>
      <c r="K87" s="733"/>
      <c r="L87" s="733"/>
      <c r="M87" s="733"/>
      <c r="N87" s="733"/>
      <c r="O87" s="733"/>
      <c r="P87" s="733"/>
      <c r="Q87" s="733"/>
      <c r="R87" s="733"/>
      <c r="S87" s="733"/>
      <c r="T87" s="733"/>
      <c r="U87" s="733"/>
      <c r="V87" s="733"/>
      <c r="W87" s="733"/>
      <c r="X87" s="733"/>
      <c r="Y87" s="733"/>
      <c r="Z87" s="733"/>
      <c r="AA87" s="733"/>
      <c r="AB87" s="732"/>
      <c r="AC87" s="733"/>
      <c r="AD87" s="733"/>
      <c r="AE87" s="733"/>
      <c r="AF87" s="733"/>
      <c r="AG87" s="733"/>
      <c r="AH87" s="732"/>
      <c r="AI87" s="732"/>
      <c r="AJ87" s="732"/>
      <c r="AK87" s="732"/>
      <c r="AL87" s="733"/>
      <c r="AM87" s="733"/>
      <c r="AN87" s="733"/>
      <c r="AO87" s="733"/>
      <c r="AP87" s="733"/>
      <c r="AQ87" s="733"/>
      <c r="AR87" s="733"/>
      <c r="AS87" s="733"/>
      <c r="AT87" s="733"/>
      <c r="AU87" s="733"/>
      <c r="AV87" s="733"/>
      <c r="AW87" s="733"/>
      <c r="AX87" s="732"/>
      <c r="AY87" s="732"/>
      <c r="AZ87" s="732"/>
      <c r="BA87" s="732"/>
      <c r="BB87" s="732"/>
      <c r="BC87" s="732"/>
      <c r="BD87" s="732"/>
      <c r="BE87" s="732"/>
      <c r="BF87" s="732"/>
      <c r="BG87" s="791"/>
      <c r="BH87" s="732"/>
      <c r="BI87" s="732"/>
      <c r="BJ87" s="732"/>
      <c r="BK87" s="732"/>
      <c r="BL87" s="732"/>
      <c r="BW87" s="790"/>
      <c r="BX87" s="790"/>
      <c r="BY87" s="792"/>
      <c r="BZ87" s="731"/>
      <c r="CA87" s="731"/>
      <c r="CB87" s="731"/>
      <c r="CC87" s="731"/>
      <c r="CD87" s="731"/>
      <c r="CE87" s="731"/>
      <c r="CF87" s="731"/>
    </row>
    <row r="88" spans="1:84" ht="15.75" customHeight="1">
      <c r="A88" s="732"/>
      <c r="B88" s="733"/>
      <c r="C88" s="733"/>
      <c r="D88" s="733"/>
      <c r="E88" s="733"/>
      <c r="F88" s="733"/>
      <c r="G88" s="733"/>
      <c r="H88" s="733"/>
      <c r="I88" s="733"/>
      <c r="J88" s="733"/>
      <c r="K88" s="733"/>
      <c r="L88" s="733"/>
      <c r="M88" s="733"/>
      <c r="N88" s="733"/>
      <c r="O88" s="733"/>
      <c r="P88" s="733"/>
      <c r="Q88" s="733"/>
      <c r="R88" s="733"/>
      <c r="S88" s="733"/>
      <c r="T88" s="733"/>
      <c r="U88" s="733"/>
      <c r="V88" s="733"/>
      <c r="W88" s="733"/>
      <c r="X88" s="733"/>
      <c r="Y88" s="733"/>
      <c r="Z88" s="733"/>
      <c r="AA88" s="733"/>
      <c r="AB88" s="732"/>
      <c r="AC88" s="733"/>
      <c r="AD88" s="733"/>
      <c r="AE88" s="733"/>
      <c r="AF88" s="733"/>
      <c r="AG88" s="733"/>
      <c r="AH88" s="732"/>
      <c r="AI88" s="732"/>
      <c r="AJ88" s="732"/>
      <c r="AK88" s="732"/>
      <c r="AL88" s="733"/>
      <c r="AM88" s="733"/>
      <c r="AN88" s="733"/>
      <c r="AO88" s="733"/>
      <c r="AP88" s="733"/>
      <c r="AQ88" s="733"/>
      <c r="AR88" s="733"/>
      <c r="AS88" s="733"/>
      <c r="AT88" s="733"/>
      <c r="AU88" s="733"/>
      <c r="AV88" s="733"/>
      <c r="AW88" s="733"/>
      <c r="AX88" s="732"/>
      <c r="AY88" s="732"/>
      <c r="AZ88" s="732"/>
      <c r="BA88" s="732"/>
      <c r="BB88" s="732"/>
      <c r="BC88" s="732"/>
      <c r="BD88" s="732"/>
      <c r="BE88" s="732"/>
      <c r="BF88" s="732"/>
      <c r="BG88" s="791"/>
      <c r="BH88" s="732"/>
      <c r="BI88" s="732"/>
      <c r="BJ88" s="732"/>
      <c r="BK88" s="732"/>
      <c r="BL88" s="732"/>
      <c r="BW88" s="790"/>
      <c r="BX88" s="790"/>
      <c r="BY88" s="792"/>
      <c r="BZ88" s="731"/>
      <c r="CA88" s="731"/>
      <c r="CB88" s="731"/>
      <c r="CC88" s="731"/>
      <c r="CD88" s="731"/>
      <c r="CE88" s="731"/>
      <c r="CF88" s="731"/>
    </row>
    <row r="89" spans="1:84" ht="15.75" customHeight="1">
      <c r="A89" s="732"/>
      <c r="B89" s="733"/>
      <c r="C89" s="733"/>
      <c r="D89" s="733"/>
      <c r="E89" s="733"/>
      <c r="F89" s="733"/>
      <c r="G89" s="733"/>
      <c r="H89" s="733"/>
      <c r="I89" s="733"/>
      <c r="J89" s="733"/>
      <c r="K89" s="733"/>
      <c r="L89" s="733"/>
      <c r="M89" s="733"/>
      <c r="N89" s="733"/>
      <c r="O89" s="733"/>
      <c r="P89" s="733"/>
      <c r="Q89" s="733"/>
      <c r="R89" s="733"/>
      <c r="S89" s="733"/>
      <c r="T89" s="733"/>
      <c r="U89" s="733"/>
      <c r="V89" s="733"/>
      <c r="W89" s="733"/>
      <c r="X89" s="733"/>
      <c r="Y89" s="733"/>
      <c r="Z89" s="733"/>
      <c r="AA89" s="733"/>
      <c r="AB89" s="732"/>
      <c r="AC89" s="733"/>
      <c r="AD89" s="733"/>
      <c r="AE89" s="733"/>
      <c r="AF89" s="733"/>
      <c r="AG89" s="733"/>
      <c r="AH89" s="732"/>
      <c r="AI89" s="732"/>
      <c r="AJ89" s="732"/>
      <c r="AK89" s="732"/>
      <c r="AL89" s="733"/>
      <c r="AM89" s="733"/>
      <c r="AN89" s="733"/>
      <c r="AO89" s="733"/>
      <c r="AP89" s="733"/>
      <c r="AQ89" s="733"/>
      <c r="AR89" s="733"/>
      <c r="AS89" s="733"/>
      <c r="AT89" s="733"/>
      <c r="AU89" s="733"/>
      <c r="AV89" s="733"/>
      <c r="AW89" s="733"/>
      <c r="AX89" s="732"/>
      <c r="AY89" s="732"/>
      <c r="AZ89" s="732"/>
      <c r="BA89" s="732"/>
      <c r="BB89" s="732"/>
      <c r="BC89" s="732"/>
      <c r="BD89" s="732"/>
      <c r="BE89" s="732"/>
      <c r="BF89" s="732"/>
      <c r="BG89" s="791"/>
      <c r="BH89" s="732"/>
      <c r="BI89" s="732"/>
      <c r="BJ89" s="732"/>
      <c r="BK89" s="732"/>
      <c r="BL89" s="732"/>
      <c r="BW89" s="790"/>
      <c r="BX89" s="790"/>
      <c r="BY89" s="792"/>
      <c r="BZ89" s="731"/>
      <c r="CA89" s="731"/>
      <c r="CB89" s="731"/>
      <c r="CC89" s="731"/>
      <c r="CD89" s="731"/>
      <c r="CE89" s="731"/>
      <c r="CF89" s="731"/>
    </row>
    <row r="90" spans="1:84" ht="15.75" customHeight="1">
      <c r="A90" s="732"/>
      <c r="B90" s="733"/>
      <c r="C90" s="733"/>
      <c r="D90" s="733"/>
      <c r="E90" s="733"/>
      <c r="F90" s="733"/>
      <c r="G90" s="733"/>
      <c r="H90" s="733"/>
      <c r="I90" s="733"/>
      <c r="J90" s="733"/>
      <c r="K90" s="733"/>
      <c r="L90" s="733"/>
      <c r="M90" s="733"/>
      <c r="N90" s="733"/>
      <c r="O90" s="733"/>
      <c r="P90" s="733"/>
      <c r="Q90" s="733"/>
      <c r="R90" s="733"/>
      <c r="S90" s="733"/>
      <c r="T90" s="733"/>
      <c r="U90" s="733"/>
      <c r="V90" s="733"/>
      <c r="W90" s="733"/>
      <c r="X90" s="733"/>
      <c r="Y90" s="733"/>
      <c r="Z90" s="733"/>
      <c r="AA90" s="733"/>
      <c r="AB90" s="732"/>
      <c r="AC90" s="733"/>
      <c r="AD90" s="733"/>
      <c r="AE90" s="733"/>
      <c r="AF90" s="733"/>
      <c r="AG90" s="733"/>
      <c r="AH90" s="732"/>
      <c r="AI90" s="732"/>
      <c r="AJ90" s="732"/>
      <c r="AK90" s="732"/>
      <c r="AL90" s="733"/>
      <c r="AM90" s="733"/>
      <c r="AN90" s="733"/>
      <c r="AO90" s="733"/>
      <c r="AP90" s="733"/>
      <c r="AQ90" s="733"/>
      <c r="AR90" s="733"/>
      <c r="AS90" s="733"/>
      <c r="AT90" s="733"/>
      <c r="AU90" s="733"/>
      <c r="AV90" s="733"/>
      <c r="AW90" s="733"/>
      <c r="AX90" s="732"/>
      <c r="AY90" s="732"/>
      <c r="AZ90" s="732"/>
      <c r="BA90" s="732"/>
      <c r="BB90" s="732"/>
      <c r="BC90" s="732"/>
      <c r="BD90" s="732"/>
      <c r="BE90" s="732"/>
      <c r="BF90" s="732"/>
      <c r="BG90" s="791"/>
      <c r="BH90" s="732"/>
      <c r="BI90" s="732"/>
      <c r="BJ90" s="732"/>
      <c r="BK90" s="732"/>
      <c r="BL90" s="732"/>
      <c r="BW90" s="790"/>
      <c r="BX90" s="790"/>
      <c r="BY90" s="792"/>
      <c r="BZ90" s="731"/>
      <c r="CA90" s="731"/>
      <c r="CB90" s="731"/>
      <c r="CC90" s="731"/>
      <c r="CD90" s="731"/>
      <c r="CE90" s="731"/>
      <c r="CF90" s="731"/>
    </row>
    <row r="91" spans="1:84" ht="15.75" customHeight="1">
      <c r="A91" s="732"/>
      <c r="B91" s="733"/>
      <c r="C91" s="733"/>
      <c r="D91" s="733"/>
      <c r="E91" s="733"/>
      <c r="F91" s="733"/>
      <c r="G91" s="733"/>
      <c r="H91" s="733"/>
      <c r="I91" s="733"/>
      <c r="J91" s="733"/>
      <c r="K91" s="733"/>
      <c r="L91" s="733"/>
      <c r="M91" s="733"/>
      <c r="N91" s="733"/>
      <c r="O91" s="733"/>
      <c r="P91" s="733"/>
      <c r="Q91" s="733"/>
      <c r="R91" s="733"/>
      <c r="S91" s="733"/>
      <c r="T91" s="733"/>
      <c r="U91" s="733"/>
      <c r="V91" s="733"/>
      <c r="W91" s="733"/>
      <c r="X91" s="733"/>
      <c r="Y91" s="733"/>
      <c r="Z91" s="733"/>
      <c r="AA91" s="733"/>
      <c r="AB91" s="732"/>
      <c r="AC91" s="733"/>
      <c r="AD91" s="733"/>
      <c r="AE91" s="733"/>
      <c r="AF91" s="733"/>
      <c r="AG91" s="733"/>
      <c r="AH91" s="732"/>
      <c r="AI91" s="732"/>
      <c r="AJ91" s="732"/>
      <c r="AK91" s="732"/>
      <c r="AL91" s="733"/>
      <c r="AM91" s="733"/>
      <c r="AN91" s="733"/>
      <c r="AO91" s="733"/>
      <c r="AP91" s="733"/>
      <c r="AQ91" s="733"/>
      <c r="AR91" s="733"/>
      <c r="AS91" s="733"/>
      <c r="AT91" s="733"/>
      <c r="AU91" s="733"/>
      <c r="AV91" s="733"/>
      <c r="AW91" s="733"/>
      <c r="AX91" s="732"/>
      <c r="AY91" s="732"/>
      <c r="AZ91" s="732"/>
      <c r="BA91" s="732"/>
      <c r="BB91" s="732"/>
      <c r="BC91" s="732"/>
      <c r="BD91" s="732"/>
      <c r="BE91" s="732"/>
      <c r="BF91" s="732"/>
      <c r="BG91" s="791"/>
      <c r="BH91" s="732"/>
      <c r="BI91" s="732"/>
      <c r="BJ91" s="732"/>
      <c r="BK91" s="732"/>
      <c r="BL91" s="732"/>
      <c r="BW91" s="790"/>
      <c r="BX91" s="790"/>
      <c r="BY91" s="792"/>
      <c r="BZ91" s="731"/>
      <c r="CA91" s="731"/>
      <c r="CB91" s="731"/>
      <c r="CC91" s="731"/>
      <c r="CD91" s="731"/>
      <c r="CE91" s="731"/>
      <c r="CF91" s="731"/>
    </row>
    <row r="92" spans="1:84" ht="15.75" customHeight="1">
      <c r="A92" s="732"/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733"/>
      <c r="AB92" s="732"/>
      <c r="AC92" s="733"/>
      <c r="AD92" s="733"/>
      <c r="AE92" s="733"/>
      <c r="AF92" s="733"/>
      <c r="AG92" s="733"/>
      <c r="AH92" s="732"/>
      <c r="AI92" s="732"/>
      <c r="AJ92" s="732"/>
      <c r="AK92" s="732"/>
      <c r="AL92" s="733"/>
      <c r="AM92" s="733"/>
      <c r="AN92" s="733"/>
      <c r="AO92" s="733"/>
      <c r="AP92" s="733"/>
      <c r="AQ92" s="733"/>
      <c r="AR92" s="733"/>
      <c r="AS92" s="733"/>
      <c r="AT92" s="733"/>
      <c r="AU92" s="733"/>
      <c r="AV92" s="733"/>
      <c r="AW92" s="733"/>
      <c r="AX92" s="732"/>
      <c r="AY92" s="732"/>
      <c r="AZ92" s="732"/>
      <c r="BA92" s="732"/>
      <c r="BB92" s="732"/>
      <c r="BC92" s="732"/>
      <c r="BD92" s="732"/>
      <c r="BE92" s="732"/>
      <c r="BF92" s="732"/>
      <c r="BG92" s="791"/>
      <c r="BH92" s="732"/>
      <c r="BI92" s="732"/>
      <c r="BJ92" s="732"/>
      <c r="BK92" s="732"/>
      <c r="BL92" s="732"/>
      <c r="BW92" s="790"/>
      <c r="BX92" s="790"/>
      <c r="BY92" s="792"/>
      <c r="BZ92" s="731"/>
      <c r="CA92" s="731"/>
      <c r="CB92" s="731"/>
      <c r="CC92" s="731"/>
      <c r="CD92" s="731"/>
      <c r="CE92" s="731"/>
      <c r="CF92" s="731"/>
    </row>
    <row r="93" spans="1:84" ht="15.75" customHeight="1">
      <c r="A93" s="732"/>
      <c r="B93" s="733"/>
      <c r="C93" s="733"/>
      <c r="D93" s="733"/>
      <c r="E93" s="733"/>
      <c r="F93" s="733"/>
      <c r="G93" s="733"/>
      <c r="H93" s="733"/>
      <c r="I93" s="733"/>
      <c r="J93" s="733"/>
      <c r="K93" s="733"/>
      <c r="L93" s="733"/>
      <c r="M93" s="733"/>
      <c r="N93" s="733"/>
      <c r="O93" s="733"/>
      <c r="P93" s="733"/>
      <c r="Q93" s="733"/>
      <c r="R93" s="733"/>
      <c r="S93" s="733"/>
      <c r="T93" s="733"/>
      <c r="U93" s="733"/>
      <c r="V93" s="733"/>
      <c r="W93" s="733"/>
      <c r="X93" s="733"/>
      <c r="Y93" s="733"/>
      <c r="Z93" s="733"/>
      <c r="AA93" s="733"/>
      <c r="AB93" s="732"/>
      <c r="AC93" s="733"/>
      <c r="AD93" s="733"/>
      <c r="AE93" s="733"/>
      <c r="AF93" s="733"/>
      <c r="AG93" s="733"/>
      <c r="AH93" s="732"/>
      <c r="AI93" s="732"/>
      <c r="AJ93" s="732"/>
      <c r="AK93" s="732"/>
      <c r="AL93" s="733"/>
      <c r="AM93" s="733"/>
      <c r="AN93" s="733"/>
      <c r="AO93" s="733"/>
      <c r="AP93" s="733"/>
      <c r="AQ93" s="733"/>
      <c r="AR93" s="733"/>
      <c r="AS93" s="733"/>
      <c r="AT93" s="733"/>
      <c r="AU93" s="733"/>
      <c r="AV93" s="733"/>
      <c r="AW93" s="733"/>
      <c r="AX93" s="732"/>
      <c r="AY93" s="732"/>
      <c r="AZ93" s="732"/>
      <c r="BA93" s="732"/>
      <c r="BB93" s="732"/>
      <c r="BC93" s="732"/>
      <c r="BD93" s="732"/>
      <c r="BE93" s="732"/>
      <c r="BF93" s="732"/>
      <c r="BG93" s="791"/>
      <c r="BH93" s="732"/>
      <c r="BI93" s="732"/>
      <c r="BJ93" s="732"/>
      <c r="BK93" s="732"/>
      <c r="BL93" s="732"/>
      <c r="BW93" s="790"/>
      <c r="BX93" s="790"/>
      <c r="BY93" s="792"/>
      <c r="BZ93" s="731"/>
      <c r="CA93" s="731"/>
      <c r="CB93" s="731"/>
      <c r="CC93" s="731"/>
      <c r="CD93" s="731"/>
      <c r="CE93" s="731"/>
      <c r="CF93" s="731"/>
    </row>
    <row r="94" spans="1:84" ht="15.75" customHeight="1">
      <c r="A94" s="732"/>
      <c r="B94" s="733"/>
      <c r="C94" s="733"/>
      <c r="D94" s="733"/>
      <c r="E94" s="733"/>
      <c r="F94" s="733"/>
      <c r="G94" s="733"/>
      <c r="H94" s="733"/>
      <c r="I94" s="733"/>
      <c r="J94" s="733"/>
      <c r="K94" s="733"/>
      <c r="L94" s="733"/>
      <c r="M94" s="733"/>
      <c r="N94" s="733"/>
      <c r="O94" s="733"/>
      <c r="P94" s="733"/>
      <c r="Q94" s="733"/>
      <c r="R94" s="733"/>
      <c r="S94" s="733"/>
      <c r="T94" s="733"/>
      <c r="U94" s="733"/>
      <c r="V94" s="733"/>
      <c r="W94" s="733"/>
      <c r="X94" s="733"/>
      <c r="Y94" s="733"/>
      <c r="Z94" s="733"/>
      <c r="AA94" s="733"/>
      <c r="AB94" s="732"/>
      <c r="AC94" s="733"/>
      <c r="AD94" s="733"/>
      <c r="AE94" s="733"/>
      <c r="AF94" s="733"/>
      <c r="AG94" s="733"/>
      <c r="AH94" s="732"/>
      <c r="AI94" s="732"/>
      <c r="AJ94" s="732"/>
      <c r="AK94" s="732"/>
      <c r="AL94" s="733"/>
      <c r="AM94" s="733"/>
      <c r="AN94" s="733"/>
      <c r="AO94" s="733"/>
      <c r="AP94" s="733"/>
      <c r="AQ94" s="733"/>
      <c r="AR94" s="733"/>
      <c r="AS94" s="733"/>
      <c r="AT94" s="733"/>
      <c r="AU94" s="733"/>
      <c r="AV94" s="733"/>
      <c r="AW94" s="733"/>
      <c r="AX94" s="732"/>
      <c r="AY94" s="732"/>
      <c r="AZ94" s="732"/>
      <c r="BA94" s="732"/>
      <c r="BB94" s="732"/>
      <c r="BC94" s="732"/>
      <c r="BD94" s="732"/>
      <c r="BE94" s="732"/>
      <c r="BF94" s="732"/>
      <c r="BG94" s="791"/>
      <c r="BH94" s="732"/>
      <c r="BI94" s="732"/>
      <c r="BJ94" s="732"/>
      <c r="BK94" s="732"/>
      <c r="BL94" s="732"/>
      <c r="BW94" s="790"/>
      <c r="BX94" s="790"/>
      <c r="BY94" s="792"/>
      <c r="BZ94" s="731"/>
      <c r="CA94" s="731"/>
      <c r="CB94" s="731"/>
      <c r="CC94" s="731"/>
      <c r="CD94" s="731"/>
      <c r="CE94" s="731"/>
      <c r="CF94" s="731"/>
    </row>
    <row r="95" spans="1:84" ht="15.75" customHeight="1">
      <c r="A95" s="732"/>
      <c r="B95" s="733"/>
      <c r="C95" s="733"/>
      <c r="D95" s="733"/>
      <c r="E95" s="733"/>
      <c r="F95" s="733"/>
      <c r="G95" s="733"/>
      <c r="H95" s="733"/>
      <c r="I95" s="733"/>
      <c r="J95" s="733"/>
      <c r="K95" s="733"/>
      <c r="L95" s="733"/>
      <c r="M95" s="733"/>
      <c r="N95" s="733"/>
      <c r="O95" s="733"/>
      <c r="P95" s="733"/>
      <c r="Q95" s="733"/>
      <c r="R95" s="733"/>
      <c r="S95" s="733"/>
      <c r="T95" s="733"/>
      <c r="U95" s="733"/>
      <c r="V95" s="733"/>
      <c r="W95" s="733"/>
      <c r="X95" s="733"/>
      <c r="Y95" s="733"/>
      <c r="Z95" s="733"/>
      <c r="AA95" s="733"/>
      <c r="AB95" s="732"/>
      <c r="AC95" s="733"/>
      <c r="AD95" s="733"/>
      <c r="AE95" s="733"/>
      <c r="AF95" s="733"/>
      <c r="AG95" s="733"/>
      <c r="AH95" s="732"/>
      <c r="AI95" s="732"/>
      <c r="AJ95" s="732"/>
      <c r="AK95" s="732"/>
      <c r="AL95" s="733"/>
      <c r="AM95" s="733"/>
      <c r="AN95" s="733"/>
      <c r="AO95" s="733"/>
      <c r="AP95" s="733"/>
      <c r="AQ95" s="733"/>
      <c r="AR95" s="733"/>
      <c r="AS95" s="733"/>
      <c r="AT95" s="733"/>
      <c r="AU95" s="733"/>
      <c r="AV95" s="733"/>
      <c r="AW95" s="733"/>
      <c r="AX95" s="732"/>
      <c r="AY95" s="732"/>
      <c r="AZ95" s="732"/>
      <c r="BA95" s="732"/>
      <c r="BB95" s="732"/>
      <c r="BC95" s="732"/>
      <c r="BD95" s="732"/>
      <c r="BE95" s="732"/>
      <c r="BF95" s="732"/>
      <c r="BG95" s="791"/>
      <c r="BH95" s="732"/>
      <c r="BI95" s="732"/>
      <c r="BJ95" s="732"/>
      <c r="BK95" s="732"/>
      <c r="BL95" s="732"/>
      <c r="BW95" s="790"/>
      <c r="BX95" s="790"/>
      <c r="BY95" s="792"/>
      <c r="BZ95" s="731"/>
      <c r="CA95" s="731"/>
      <c r="CB95" s="731"/>
      <c r="CC95" s="731"/>
      <c r="CD95" s="731"/>
      <c r="CE95" s="731"/>
      <c r="CF95" s="731"/>
    </row>
    <row r="96" spans="1:84" ht="15.75" customHeight="1">
      <c r="A96" s="732"/>
      <c r="B96" s="733"/>
      <c r="C96" s="733"/>
      <c r="D96" s="733"/>
      <c r="E96" s="733"/>
      <c r="F96" s="733"/>
      <c r="G96" s="733"/>
      <c r="H96" s="733"/>
      <c r="I96" s="733"/>
      <c r="J96" s="733"/>
      <c r="K96" s="733"/>
      <c r="L96" s="733"/>
      <c r="M96" s="733"/>
      <c r="N96" s="733"/>
      <c r="O96" s="733"/>
      <c r="P96" s="733"/>
      <c r="Q96" s="733"/>
      <c r="R96" s="733"/>
      <c r="S96" s="733"/>
      <c r="T96" s="733"/>
      <c r="U96" s="733"/>
      <c r="V96" s="733"/>
      <c r="W96" s="733"/>
      <c r="X96" s="733"/>
      <c r="Y96" s="733"/>
      <c r="Z96" s="733"/>
      <c r="AA96" s="733"/>
      <c r="AB96" s="732"/>
      <c r="AC96" s="733"/>
      <c r="AD96" s="733"/>
      <c r="AE96" s="733"/>
      <c r="AF96" s="733"/>
      <c r="AG96" s="733"/>
      <c r="AH96" s="732"/>
      <c r="AI96" s="732"/>
      <c r="AJ96" s="732"/>
      <c r="AK96" s="732"/>
      <c r="AL96" s="733"/>
      <c r="AM96" s="733"/>
      <c r="AN96" s="733"/>
      <c r="AO96" s="733"/>
      <c r="AP96" s="733"/>
      <c r="AQ96" s="733"/>
      <c r="AR96" s="733"/>
      <c r="AS96" s="733"/>
      <c r="AT96" s="733"/>
      <c r="AU96" s="733"/>
      <c r="AV96" s="733"/>
      <c r="AW96" s="733"/>
      <c r="AX96" s="732"/>
      <c r="AY96" s="732"/>
      <c r="AZ96" s="732"/>
      <c r="BA96" s="732"/>
      <c r="BB96" s="732"/>
      <c r="BC96" s="732"/>
      <c r="BD96" s="732"/>
      <c r="BE96" s="732"/>
      <c r="BF96" s="732"/>
      <c r="BG96" s="791"/>
      <c r="BH96" s="732"/>
      <c r="BI96" s="732"/>
      <c r="BJ96" s="732"/>
      <c r="BK96" s="732"/>
      <c r="BL96" s="732"/>
      <c r="BW96" s="790"/>
      <c r="BX96" s="790"/>
      <c r="BY96" s="792"/>
      <c r="BZ96" s="731"/>
      <c r="CA96" s="731"/>
      <c r="CB96" s="731"/>
      <c r="CC96" s="731"/>
      <c r="CD96" s="731"/>
      <c r="CE96" s="731"/>
      <c r="CF96" s="731"/>
    </row>
    <row r="97" spans="1:84" ht="15.75" customHeight="1">
      <c r="A97" s="732"/>
      <c r="B97" s="733"/>
      <c r="C97" s="733"/>
      <c r="D97" s="733"/>
      <c r="E97" s="733"/>
      <c r="F97" s="733"/>
      <c r="G97" s="733"/>
      <c r="H97" s="733"/>
      <c r="I97" s="733"/>
      <c r="J97" s="733"/>
      <c r="K97" s="733"/>
      <c r="L97" s="733"/>
      <c r="M97" s="733"/>
      <c r="N97" s="733"/>
      <c r="O97" s="733"/>
      <c r="P97" s="733"/>
      <c r="Q97" s="733"/>
      <c r="R97" s="733"/>
      <c r="S97" s="733"/>
      <c r="T97" s="733"/>
      <c r="U97" s="733"/>
      <c r="V97" s="733"/>
      <c r="W97" s="733"/>
      <c r="X97" s="733"/>
      <c r="Y97" s="733"/>
      <c r="Z97" s="733"/>
      <c r="AA97" s="733"/>
      <c r="AB97" s="732"/>
      <c r="AC97" s="733"/>
      <c r="AD97" s="733"/>
      <c r="AE97" s="733"/>
      <c r="AF97" s="733"/>
      <c r="AG97" s="733"/>
      <c r="AH97" s="732"/>
      <c r="AI97" s="732"/>
      <c r="AJ97" s="732"/>
      <c r="AK97" s="732"/>
      <c r="AL97" s="733"/>
      <c r="AM97" s="733"/>
      <c r="AN97" s="733"/>
      <c r="AO97" s="733"/>
      <c r="AP97" s="733"/>
      <c r="AQ97" s="733"/>
      <c r="AR97" s="733"/>
      <c r="AS97" s="733"/>
      <c r="AT97" s="733"/>
      <c r="AU97" s="733"/>
      <c r="AV97" s="733"/>
      <c r="AW97" s="733"/>
      <c r="AX97" s="732"/>
      <c r="AY97" s="732"/>
      <c r="AZ97" s="732"/>
      <c r="BA97" s="732"/>
      <c r="BB97" s="732"/>
      <c r="BC97" s="732"/>
      <c r="BD97" s="732"/>
      <c r="BE97" s="732"/>
      <c r="BF97" s="732"/>
      <c r="BG97" s="791"/>
      <c r="BH97" s="732"/>
      <c r="BI97" s="732"/>
      <c r="BJ97" s="732"/>
      <c r="BK97" s="732"/>
      <c r="BL97" s="732"/>
      <c r="BW97" s="790"/>
      <c r="BX97" s="790"/>
      <c r="BY97" s="792"/>
      <c r="BZ97" s="731"/>
      <c r="CA97" s="731"/>
      <c r="CB97" s="731"/>
      <c r="CC97" s="731"/>
      <c r="CD97" s="731"/>
      <c r="CE97" s="731"/>
      <c r="CF97" s="731"/>
    </row>
    <row r="98" spans="1:84" ht="15.75" customHeight="1">
      <c r="A98" s="732"/>
      <c r="B98" s="733"/>
      <c r="C98" s="733"/>
      <c r="D98" s="733"/>
      <c r="E98" s="733"/>
      <c r="F98" s="733"/>
      <c r="G98" s="733"/>
      <c r="H98" s="733"/>
      <c r="I98" s="733"/>
      <c r="J98" s="733"/>
      <c r="K98" s="733"/>
      <c r="L98" s="733"/>
      <c r="M98" s="733"/>
      <c r="N98" s="733"/>
      <c r="O98" s="733"/>
      <c r="P98" s="733"/>
      <c r="Q98" s="733"/>
      <c r="R98" s="733"/>
      <c r="S98" s="733"/>
      <c r="T98" s="733"/>
      <c r="U98" s="733"/>
      <c r="V98" s="733"/>
      <c r="W98" s="733"/>
      <c r="X98" s="733"/>
      <c r="Y98" s="733"/>
      <c r="Z98" s="733"/>
      <c r="AA98" s="733"/>
      <c r="AB98" s="732"/>
      <c r="AC98" s="733"/>
      <c r="AD98" s="733"/>
      <c r="AE98" s="733"/>
      <c r="AF98" s="733"/>
      <c r="AG98" s="733"/>
      <c r="AH98" s="732"/>
      <c r="AI98" s="732"/>
      <c r="AJ98" s="732"/>
      <c r="AK98" s="732"/>
      <c r="AL98" s="733"/>
      <c r="AM98" s="733"/>
      <c r="AN98" s="733"/>
      <c r="AO98" s="733"/>
      <c r="AP98" s="733"/>
      <c r="AQ98" s="733"/>
      <c r="AR98" s="733"/>
      <c r="AS98" s="733"/>
      <c r="AT98" s="733"/>
      <c r="AU98" s="733"/>
      <c r="AV98" s="733"/>
      <c r="AW98" s="733"/>
      <c r="AX98" s="732"/>
      <c r="AY98" s="732"/>
      <c r="AZ98" s="732"/>
      <c r="BA98" s="732"/>
      <c r="BB98" s="732"/>
      <c r="BC98" s="732"/>
      <c r="BD98" s="732"/>
      <c r="BE98" s="732"/>
      <c r="BF98" s="732"/>
      <c r="BG98" s="791"/>
      <c r="BH98" s="732"/>
      <c r="BI98" s="732"/>
      <c r="BJ98" s="732"/>
      <c r="BK98" s="732"/>
      <c r="BL98" s="732"/>
      <c r="BW98" s="790"/>
      <c r="BX98" s="790"/>
      <c r="BY98" s="792"/>
      <c r="BZ98" s="731"/>
      <c r="CA98" s="731"/>
      <c r="CB98" s="731"/>
      <c r="CC98" s="731"/>
      <c r="CD98" s="731"/>
      <c r="CE98" s="731"/>
      <c r="CF98" s="731"/>
    </row>
    <row r="99" spans="1:84" ht="15.75" customHeight="1">
      <c r="A99" s="732"/>
      <c r="B99" s="733"/>
      <c r="C99" s="733"/>
      <c r="D99" s="733"/>
      <c r="E99" s="733"/>
      <c r="F99" s="733"/>
      <c r="G99" s="733"/>
      <c r="H99" s="733"/>
      <c r="I99" s="733"/>
      <c r="J99" s="733"/>
      <c r="K99" s="733"/>
      <c r="L99" s="733"/>
      <c r="M99" s="733"/>
      <c r="N99" s="733"/>
      <c r="O99" s="733"/>
      <c r="P99" s="733"/>
      <c r="Q99" s="733"/>
      <c r="R99" s="733"/>
      <c r="S99" s="733"/>
      <c r="T99" s="733"/>
      <c r="U99" s="733"/>
      <c r="V99" s="733"/>
      <c r="W99" s="733"/>
      <c r="X99" s="733"/>
      <c r="Y99" s="733"/>
      <c r="Z99" s="733"/>
      <c r="AA99" s="733"/>
      <c r="AB99" s="732"/>
      <c r="AC99" s="733"/>
      <c r="AD99" s="733"/>
      <c r="AE99" s="733"/>
      <c r="AF99" s="733"/>
      <c r="AG99" s="733"/>
      <c r="AH99" s="732"/>
      <c r="AI99" s="732"/>
      <c r="AJ99" s="732"/>
      <c r="AK99" s="732"/>
      <c r="AL99" s="733"/>
      <c r="AM99" s="733"/>
      <c r="AN99" s="733"/>
      <c r="AO99" s="733"/>
      <c r="AP99" s="733"/>
      <c r="AQ99" s="733"/>
      <c r="AR99" s="733"/>
      <c r="AS99" s="733"/>
      <c r="AT99" s="733"/>
      <c r="AU99" s="733"/>
      <c r="AV99" s="733"/>
      <c r="AW99" s="733"/>
      <c r="AX99" s="732"/>
      <c r="AY99" s="732"/>
      <c r="AZ99" s="732"/>
      <c r="BA99" s="732"/>
      <c r="BB99" s="732"/>
      <c r="BC99" s="732"/>
      <c r="BD99" s="732"/>
      <c r="BE99" s="732"/>
      <c r="BF99" s="732"/>
      <c r="BG99" s="791"/>
      <c r="BH99" s="732"/>
      <c r="BI99" s="732"/>
      <c r="BJ99" s="732"/>
      <c r="BK99" s="732"/>
      <c r="BL99" s="732"/>
      <c r="BW99" s="790"/>
      <c r="BX99" s="790"/>
      <c r="BY99" s="792"/>
      <c r="BZ99" s="731"/>
      <c r="CA99" s="731"/>
      <c r="CB99" s="731"/>
      <c r="CC99" s="731"/>
      <c r="CD99" s="731"/>
      <c r="CE99" s="731"/>
      <c r="CF99" s="731"/>
    </row>
    <row r="100" spans="1:84" ht="15.75" customHeight="1">
      <c r="A100" s="732"/>
      <c r="B100" s="733"/>
      <c r="C100" s="733"/>
      <c r="D100" s="733"/>
      <c r="E100" s="733"/>
      <c r="F100" s="733"/>
      <c r="G100" s="733"/>
      <c r="H100" s="733"/>
      <c r="I100" s="733"/>
      <c r="J100" s="733"/>
      <c r="K100" s="733"/>
      <c r="L100" s="733"/>
      <c r="M100" s="733"/>
      <c r="N100" s="733"/>
      <c r="O100" s="733"/>
      <c r="P100" s="733"/>
      <c r="Q100" s="733"/>
      <c r="R100" s="733"/>
      <c r="S100" s="733"/>
      <c r="T100" s="733"/>
      <c r="U100" s="733"/>
      <c r="V100" s="733"/>
      <c r="W100" s="733"/>
      <c r="X100" s="733"/>
      <c r="Y100" s="733"/>
      <c r="Z100" s="733"/>
      <c r="AA100" s="733"/>
      <c r="AB100" s="732"/>
      <c r="AC100" s="733"/>
      <c r="AD100" s="733"/>
      <c r="AE100" s="733"/>
      <c r="AF100" s="733"/>
      <c r="AG100" s="733"/>
      <c r="AH100" s="732"/>
      <c r="AI100" s="732"/>
      <c r="AJ100" s="732"/>
      <c r="AK100" s="732"/>
      <c r="AL100" s="733"/>
      <c r="AM100" s="733"/>
      <c r="AN100" s="733"/>
      <c r="AO100" s="733"/>
      <c r="AP100" s="733"/>
      <c r="AQ100" s="733"/>
      <c r="AR100" s="733"/>
      <c r="AS100" s="733"/>
      <c r="AT100" s="733"/>
      <c r="AU100" s="733"/>
      <c r="AV100" s="733"/>
      <c r="AW100" s="733"/>
      <c r="AX100" s="732"/>
      <c r="AY100" s="732"/>
      <c r="AZ100" s="732"/>
      <c r="BA100" s="732"/>
      <c r="BB100" s="732"/>
      <c r="BC100" s="732"/>
      <c r="BD100" s="732"/>
      <c r="BE100" s="732"/>
      <c r="BF100" s="732"/>
      <c r="BG100" s="791"/>
      <c r="BH100" s="732"/>
      <c r="BI100" s="732"/>
      <c r="BJ100" s="732"/>
      <c r="BK100" s="732"/>
      <c r="BL100" s="732"/>
      <c r="BW100" s="790"/>
      <c r="BX100" s="790"/>
      <c r="BY100" s="792"/>
      <c r="BZ100" s="731"/>
      <c r="CA100" s="731"/>
      <c r="CB100" s="731"/>
      <c r="CC100" s="731"/>
      <c r="CD100" s="731"/>
      <c r="CE100" s="731"/>
      <c r="CF100" s="731"/>
    </row>
    <row r="101" spans="1:84" ht="15.75" customHeight="1">
      <c r="A101" s="732"/>
      <c r="B101" s="733"/>
      <c r="C101" s="733"/>
      <c r="D101" s="733"/>
      <c r="E101" s="733"/>
      <c r="F101" s="733"/>
      <c r="G101" s="733"/>
      <c r="H101" s="733"/>
      <c r="I101" s="733"/>
      <c r="J101" s="733"/>
      <c r="K101" s="733"/>
      <c r="L101" s="733"/>
      <c r="M101" s="733"/>
      <c r="N101" s="733"/>
      <c r="O101" s="733"/>
      <c r="P101" s="733"/>
      <c r="Q101" s="733"/>
      <c r="R101" s="733"/>
      <c r="S101" s="733"/>
      <c r="T101" s="733"/>
      <c r="U101" s="733"/>
      <c r="V101" s="733"/>
      <c r="W101" s="733"/>
      <c r="X101" s="733"/>
      <c r="Y101" s="733"/>
      <c r="Z101" s="733"/>
      <c r="AA101" s="733"/>
      <c r="AB101" s="732"/>
      <c r="AC101" s="733"/>
      <c r="AD101" s="733"/>
      <c r="AE101" s="733"/>
      <c r="AF101" s="733"/>
      <c r="AG101" s="733"/>
      <c r="AH101" s="732"/>
      <c r="AI101" s="732"/>
      <c r="AJ101" s="732"/>
      <c r="AK101" s="732"/>
      <c r="AL101" s="733"/>
      <c r="AM101" s="733"/>
      <c r="AN101" s="733"/>
      <c r="AO101" s="733"/>
      <c r="AP101" s="733"/>
      <c r="AQ101" s="733"/>
      <c r="AR101" s="733"/>
      <c r="AS101" s="733"/>
      <c r="AT101" s="733"/>
      <c r="AU101" s="733"/>
      <c r="AV101" s="733"/>
      <c r="AW101" s="733"/>
      <c r="AX101" s="732"/>
      <c r="AY101" s="732"/>
      <c r="AZ101" s="732"/>
      <c r="BA101" s="732"/>
      <c r="BB101" s="732"/>
      <c r="BC101" s="732"/>
      <c r="BD101" s="732"/>
      <c r="BE101" s="732"/>
      <c r="BF101" s="732"/>
      <c r="BG101" s="791"/>
      <c r="BH101" s="732"/>
      <c r="BI101" s="732"/>
      <c r="BJ101" s="732"/>
      <c r="BK101" s="732"/>
      <c r="BL101" s="732"/>
      <c r="BW101" s="790"/>
      <c r="BX101" s="790"/>
      <c r="BY101" s="792"/>
      <c r="BZ101" s="731"/>
      <c r="CA101" s="731"/>
      <c r="CB101" s="731"/>
      <c r="CC101" s="731"/>
      <c r="CD101" s="731"/>
      <c r="CE101" s="731"/>
      <c r="CF101" s="731"/>
    </row>
    <row r="102" spans="1:84" ht="15.75" customHeight="1">
      <c r="A102" s="732"/>
      <c r="B102" s="733"/>
      <c r="C102" s="733"/>
      <c r="D102" s="733"/>
      <c r="E102" s="733"/>
      <c r="F102" s="733"/>
      <c r="G102" s="733"/>
      <c r="H102" s="733"/>
      <c r="I102" s="733"/>
      <c r="J102" s="733"/>
      <c r="K102" s="733"/>
      <c r="L102" s="733"/>
      <c r="M102" s="733"/>
      <c r="N102" s="733"/>
      <c r="O102" s="733"/>
      <c r="P102" s="733"/>
      <c r="Q102" s="733"/>
      <c r="R102" s="733"/>
      <c r="S102" s="733"/>
      <c r="T102" s="733"/>
      <c r="U102" s="733"/>
      <c r="V102" s="733"/>
      <c r="W102" s="733"/>
      <c r="X102" s="733"/>
      <c r="Y102" s="733"/>
      <c r="Z102" s="733"/>
      <c r="AA102" s="733"/>
      <c r="AB102" s="732"/>
      <c r="AC102" s="733"/>
      <c r="AD102" s="733"/>
      <c r="AE102" s="733"/>
      <c r="AF102" s="733"/>
      <c r="AG102" s="733"/>
      <c r="AH102" s="732"/>
      <c r="AI102" s="732"/>
      <c r="AJ102" s="732"/>
      <c r="AK102" s="732"/>
      <c r="AL102" s="733"/>
      <c r="AM102" s="733"/>
      <c r="AN102" s="733"/>
      <c r="AO102" s="733"/>
      <c r="AP102" s="733"/>
      <c r="AQ102" s="733"/>
      <c r="AR102" s="733"/>
      <c r="AS102" s="733"/>
      <c r="AT102" s="733"/>
      <c r="AU102" s="733"/>
      <c r="AV102" s="733"/>
      <c r="AW102" s="733"/>
      <c r="AX102" s="732"/>
      <c r="AY102" s="732"/>
      <c r="AZ102" s="732"/>
      <c r="BA102" s="732"/>
      <c r="BB102" s="732"/>
      <c r="BC102" s="732"/>
      <c r="BD102" s="732"/>
      <c r="BE102" s="732"/>
      <c r="BF102" s="732"/>
      <c r="BG102" s="791"/>
      <c r="BH102" s="732"/>
      <c r="BI102" s="732"/>
      <c r="BJ102" s="732"/>
      <c r="BK102" s="732"/>
      <c r="BL102" s="732"/>
      <c r="BW102" s="790"/>
      <c r="BX102" s="790"/>
      <c r="BY102" s="792"/>
      <c r="BZ102" s="731"/>
      <c r="CA102" s="731"/>
      <c r="CB102" s="731"/>
      <c r="CC102" s="731"/>
      <c r="CD102" s="731"/>
      <c r="CE102" s="731"/>
      <c r="CF102" s="731"/>
    </row>
    <row r="103" spans="1:84" ht="15.75" customHeight="1">
      <c r="A103" s="732"/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733"/>
      <c r="AB103" s="732"/>
      <c r="AC103" s="733"/>
      <c r="AD103" s="733"/>
      <c r="AE103" s="733"/>
      <c r="AF103" s="733"/>
      <c r="AG103" s="733"/>
      <c r="AH103" s="732"/>
      <c r="AI103" s="732"/>
      <c r="AJ103" s="732"/>
      <c r="AK103" s="732"/>
      <c r="AL103" s="733"/>
      <c r="AM103" s="733"/>
      <c r="AN103" s="733"/>
      <c r="AO103" s="733"/>
      <c r="AP103" s="733"/>
      <c r="AQ103" s="733"/>
      <c r="AR103" s="733"/>
      <c r="AS103" s="733"/>
      <c r="AT103" s="733"/>
      <c r="AU103" s="733"/>
      <c r="AV103" s="733"/>
      <c r="AW103" s="733"/>
      <c r="AX103" s="732"/>
      <c r="AY103" s="732"/>
      <c r="AZ103" s="732"/>
      <c r="BA103" s="732"/>
      <c r="BB103" s="732"/>
      <c r="BC103" s="732"/>
      <c r="BD103" s="732"/>
      <c r="BE103" s="732"/>
      <c r="BF103" s="732"/>
      <c r="BG103" s="791"/>
      <c r="BH103" s="732"/>
      <c r="BI103" s="732"/>
      <c r="BJ103" s="732"/>
      <c r="BK103" s="732"/>
      <c r="BL103" s="732"/>
      <c r="BW103" s="790"/>
      <c r="BX103" s="790"/>
      <c r="BY103" s="792"/>
      <c r="BZ103" s="731"/>
      <c r="CA103" s="731"/>
      <c r="CB103" s="731"/>
      <c r="CC103" s="731"/>
      <c r="CD103" s="731"/>
      <c r="CE103" s="731"/>
      <c r="CF103" s="731"/>
    </row>
    <row r="104" spans="1:84" ht="15.75" customHeight="1">
      <c r="A104" s="732"/>
      <c r="B104" s="733"/>
      <c r="C104" s="733"/>
      <c r="D104" s="733"/>
      <c r="E104" s="733"/>
      <c r="F104" s="733"/>
      <c r="G104" s="733"/>
      <c r="H104" s="733"/>
      <c r="I104" s="733"/>
      <c r="J104" s="733"/>
      <c r="K104" s="733"/>
      <c r="L104" s="733"/>
      <c r="M104" s="733"/>
      <c r="N104" s="733"/>
      <c r="O104" s="733"/>
      <c r="P104" s="733"/>
      <c r="Q104" s="733"/>
      <c r="R104" s="733"/>
      <c r="S104" s="733"/>
      <c r="T104" s="733"/>
      <c r="U104" s="733"/>
      <c r="V104" s="733"/>
      <c r="W104" s="733"/>
      <c r="X104" s="733"/>
      <c r="Y104" s="733"/>
      <c r="Z104" s="733"/>
      <c r="AA104" s="733"/>
      <c r="AB104" s="732"/>
      <c r="AC104" s="733"/>
      <c r="AD104" s="733"/>
      <c r="AE104" s="733"/>
      <c r="AF104" s="733"/>
      <c r="AG104" s="733"/>
      <c r="AH104" s="732"/>
      <c r="AI104" s="732"/>
      <c r="AJ104" s="732"/>
      <c r="AK104" s="732"/>
      <c r="AL104" s="733"/>
      <c r="AM104" s="733"/>
      <c r="AN104" s="733"/>
      <c r="AO104" s="733"/>
      <c r="AP104" s="733"/>
      <c r="AQ104" s="733"/>
      <c r="AR104" s="733"/>
      <c r="AS104" s="733"/>
      <c r="AT104" s="733"/>
      <c r="AU104" s="733"/>
      <c r="AV104" s="733"/>
      <c r="AW104" s="733"/>
      <c r="AX104" s="732"/>
      <c r="AY104" s="732"/>
      <c r="AZ104" s="732"/>
      <c r="BA104" s="732"/>
      <c r="BB104" s="732"/>
      <c r="BC104" s="732"/>
      <c r="BD104" s="732"/>
      <c r="BE104" s="732"/>
      <c r="BF104" s="732"/>
      <c r="BG104" s="791"/>
      <c r="BH104" s="732"/>
      <c r="BI104" s="732"/>
      <c r="BJ104" s="732"/>
      <c r="BK104" s="732"/>
      <c r="BL104" s="732"/>
      <c r="BW104" s="790"/>
      <c r="BX104" s="790"/>
      <c r="BY104" s="792"/>
      <c r="BZ104" s="731"/>
      <c r="CA104" s="731"/>
      <c r="CB104" s="731"/>
      <c r="CC104" s="731"/>
      <c r="CD104" s="731"/>
      <c r="CE104" s="731"/>
      <c r="CF104" s="731"/>
    </row>
    <row r="105" spans="1:84" ht="15.75" customHeight="1">
      <c r="A105" s="732"/>
      <c r="B105" s="733"/>
      <c r="C105" s="733"/>
      <c r="D105" s="733"/>
      <c r="E105" s="733"/>
      <c r="F105" s="733"/>
      <c r="G105" s="733"/>
      <c r="H105" s="733"/>
      <c r="I105" s="733"/>
      <c r="J105" s="733"/>
      <c r="K105" s="733"/>
      <c r="L105" s="733"/>
      <c r="M105" s="733"/>
      <c r="N105" s="733"/>
      <c r="O105" s="733"/>
      <c r="P105" s="733"/>
      <c r="Q105" s="733"/>
      <c r="R105" s="733"/>
      <c r="S105" s="733"/>
      <c r="T105" s="733"/>
      <c r="U105" s="733"/>
      <c r="V105" s="733"/>
      <c r="W105" s="733"/>
      <c r="X105" s="733"/>
      <c r="Y105" s="733"/>
      <c r="Z105" s="733"/>
      <c r="AA105" s="733"/>
      <c r="AB105" s="732"/>
      <c r="AC105" s="733"/>
      <c r="AD105" s="733"/>
      <c r="AE105" s="733"/>
      <c r="AF105" s="733"/>
      <c r="AG105" s="733"/>
      <c r="AH105" s="732"/>
      <c r="AI105" s="732"/>
      <c r="AJ105" s="732"/>
      <c r="AK105" s="732"/>
      <c r="AL105" s="733"/>
      <c r="AM105" s="733"/>
      <c r="AN105" s="733"/>
      <c r="AO105" s="733"/>
      <c r="AP105" s="733"/>
      <c r="AQ105" s="733"/>
      <c r="AR105" s="733"/>
      <c r="AS105" s="733"/>
      <c r="AT105" s="733"/>
      <c r="AU105" s="733"/>
      <c r="AV105" s="733"/>
      <c r="AW105" s="733"/>
      <c r="AX105" s="732"/>
      <c r="AY105" s="732"/>
      <c r="AZ105" s="732"/>
      <c r="BA105" s="732"/>
      <c r="BB105" s="732"/>
      <c r="BC105" s="732"/>
      <c r="BD105" s="732"/>
      <c r="BE105" s="732"/>
      <c r="BF105" s="732"/>
      <c r="BG105" s="791"/>
      <c r="BH105" s="732"/>
      <c r="BI105" s="732"/>
      <c r="BJ105" s="732"/>
      <c r="BK105" s="732"/>
      <c r="BL105" s="732"/>
      <c r="BW105" s="790"/>
      <c r="BX105" s="790"/>
      <c r="BY105" s="792"/>
      <c r="BZ105" s="731"/>
      <c r="CA105" s="731"/>
      <c r="CB105" s="731"/>
      <c r="CC105" s="731"/>
      <c r="CD105" s="731"/>
      <c r="CE105" s="731"/>
      <c r="CF105" s="731"/>
    </row>
    <row r="106" spans="1:84" ht="15.75" customHeight="1">
      <c r="A106" s="732"/>
      <c r="B106" s="733"/>
      <c r="C106" s="733"/>
      <c r="D106" s="733"/>
      <c r="E106" s="733"/>
      <c r="F106" s="733"/>
      <c r="G106" s="733"/>
      <c r="H106" s="733"/>
      <c r="I106" s="733"/>
      <c r="J106" s="733"/>
      <c r="K106" s="733"/>
      <c r="L106" s="733"/>
      <c r="M106" s="733"/>
      <c r="N106" s="733"/>
      <c r="O106" s="733"/>
      <c r="P106" s="733"/>
      <c r="Q106" s="733"/>
      <c r="R106" s="733"/>
      <c r="S106" s="733"/>
      <c r="T106" s="733"/>
      <c r="U106" s="733"/>
      <c r="V106" s="733"/>
      <c r="W106" s="733"/>
      <c r="X106" s="733"/>
      <c r="Y106" s="733"/>
      <c r="Z106" s="733"/>
      <c r="AA106" s="733"/>
      <c r="AB106" s="732"/>
      <c r="AC106" s="733"/>
      <c r="AD106" s="733"/>
      <c r="AE106" s="733"/>
      <c r="AF106" s="733"/>
      <c r="AG106" s="733"/>
      <c r="AH106" s="732"/>
      <c r="AI106" s="732"/>
      <c r="AJ106" s="732"/>
      <c r="AK106" s="732"/>
      <c r="AL106" s="733"/>
      <c r="AM106" s="733"/>
      <c r="AN106" s="733"/>
      <c r="AO106" s="733"/>
      <c r="AP106" s="733"/>
      <c r="AQ106" s="733"/>
      <c r="AR106" s="733"/>
      <c r="AS106" s="733"/>
      <c r="AT106" s="733"/>
      <c r="AU106" s="733"/>
      <c r="AV106" s="733"/>
      <c r="AW106" s="733"/>
      <c r="AX106" s="732"/>
      <c r="AY106" s="732"/>
      <c r="AZ106" s="732"/>
      <c r="BA106" s="732"/>
      <c r="BB106" s="732"/>
      <c r="BC106" s="732"/>
      <c r="BD106" s="732"/>
      <c r="BE106" s="732"/>
      <c r="BF106" s="732"/>
      <c r="BG106" s="791"/>
      <c r="BH106" s="732"/>
      <c r="BI106" s="732"/>
      <c r="BJ106" s="732"/>
      <c r="BK106" s="732"/>
      <c r="BL106" s="732"/>
      <c r="BW106" s="790"/>
      <c r="BX106" s="790"/>
      <c r="BY106" s="792"/>
      <c r="BZ106" s="731"/>
      <c r="CA106" s="731"/>
      <c r="CB106" s="731"/>
      <c r="CC106" s="731"/>
      <c r="CD106" s="731"/>
      <c r="CE106" s="731"/>
      <c r="CF106" s="731"/>
    </row>
    <row r="107" spans="1:84" ht="15.75" customHeight="1">
      <c r="A107" s="732"/>
      <c r="B107" s="733"/>
      <c r="C107" s="733"/>
      <c r="D107" s="733"/>
      <c r="E107" s="733"/>
      <c r="F107" s="733"/>
      <c r="G107" s="733"/>
      <c r="H107" s="733"/>
      <c r="I107" s="733"/>
      <c r="J107" s="733"/>
      <c r="K107" s="733"/>
      <c r="L107" s="733"/>
      <c r="M107" s="733"/>
      <c r="N107" s="733"/>
      <c r="O107" s="733"/>
      <c r="P107" s="733"/>
      <c r="Q107" s="733"/>
      <c r="R107" s="733"/>
      <c r="S107" s="733"/>
      <c r="T107" s="733"/>
      <c r="U107" s="733"/>
      <c r="V107" s="733"/>
      <c r="W107" s="733"/>
      <c r="X107" s="733"/>
      <c r="Y107" s="733"/>
      <c r="Z107" s="733"/>
      <c r="AA107" s="733"/>
      <c r="AB107" s="732"/>
      <c r="AC107" s="733"/>
      <c r="AD107" s="733"/>
      <c r="AE107" s="733"/>
      <c r="AF107" s="733"/>
      <c r="AG107" s="733"/>
      <c r="AH107" s="732"/>
      <c r="AI107" s="732"/>
      <c r="AJ107" s="732"/>
      <c r="AK107" s="732"/>
      <c r="AL107" s="733"/>
      <c r="AM107" s="733"/>
      <c r="AN107" s="733"/>
      <c r="AO107" s="733"/>
      <c r="AP107" s="733"/>
      <c r="AQ107" s="733"/>
      <c r="AR107" s="733"/>
      <c r="AS107" s="733"/>
      <c r="AT107" s="733"/>
      <c r="AU107" s="733"/>
      <c r="AV107" s="733"/>
      <c r="AW107" s="733"/>
      <c r="AX107" s="732"/>
      <c r="AY107" s="732"/>
      <c r="AZ107" s="732"/>
      <c r="BA107" s="732"/>
      <c r="BB107" s="732"/>
      <c r="BC107" s="732"/>
      <c r="BD107" s="732"/>
      <c r="BE107" s="732"/>
      <c r="BF107" s="732"/>
      <c r="BG107" s="791"/>
      <c r="BH107" s="732"/>
      <c r="BI107" s="732"/>
      <c r="BJ107" s="732"/>
      <c r="BK107" s="732"/>
      <c r="BL107" s="732"/>
      <c r="BW107" s="790"/>
      <c r="BX107" s="790"/>
      <c r="BY107" s="792"/>
      <c r="BZ107" s="731"/>
      <c r="CA107" s="731"/>
      <c r="CB107" s="731"/>
      <c r="CC107" s="731"/>
      <c r="CD107" s="731"/>
      <c r="CE107" s="731"/>
      <c r="CF107" s="731"/>
    </row>
    <row r="108" spans="1:84" ht="15.75" customHeight="1">
      <c r="A108" s="732"/>
      <c r="B108" s="733"/>
      <c r="C108" s="733"/>
      <c r="D108" s="733"/>
      <c r="E108" s="733"/>
      <c r="F108" s="733"/>
      <c r="G108" s="733"/>
      <c r="H108" s="733"/>
      <c r="I108" s="733"/>
      <c r="J108" s="733"/>
      <c r="K108" s="733"/>
      <c r="L108" s="733"/>
      <c r="M108" s="733"/>
      <c r="N108" s="733"/>
      <c r="O108" s="733"/>
      <c r="P108" s="733"/>
      <c r="Q108" s="733"/>
      <c r="R108" s="733"/>
      <c r="S108" s="733"/>
      <c r="T108" s="733"/>
      <c r="U108" s="733"/>
      <c r="V108" s="733"/>
      <c r="W108" s="733"/>
      <c r="X108" s="733"/>
      <c r="Y108" s="733"/>
      <c r="Z108" s="733"/>
      <c r="AA108" s="733"/>
      <c r="AB108" s="732"/>
      <c r="AC108" s="733"/>
      <c r="AD108" s="733"/>
      <c r="AE108" s="733"/>
      <c r="AF108" s="733"/>
      <c r="AG108" s="733"/>
      <c r="AH108" s="732"/>
      <c r="AI108" s="732"/>
      <c r="AJ108" s="732"/>
      <c r="AK108" s="732"/>
      <c r="AL108" s="733"/>
      <c r="AM108" s="733"/>
      <c r="AN108" s="733"/>
      <c r="AO108" s="733"/>
      <c r="AP108" s="733"/>
      <c r="AQ108" s="733"/>
      <c r="AR108" s="733"/>
      <c r="AS108" s="733"/>
      <c r="AT108" s="733"/>
      <c r="AU108" s="733"/>
      <c r="AV108" s="733"/>
      <c r="AW108" s="733"/>
      <c r="AX108" s="732"/>
      <c r="AY108" s="732"/>
      <c r="AZ108" s="732"/>
      <c r="BA108" s="732"/>
      <c r="BB108" s="732"/>
      <c r="BC108" s="732"/>
      <c r="BD108" s="732"/>
      <c r="BE108" s="732"/>
      <c r="BF108" s="732"/>
      <c r="BG108" s="791"/>
      <c r="BH108" s="732"/>
      <c r="BI108" s="732"/>
      <c r="BJ108" s="732"/>
      <c r="BK108" s="732"/>
      <c r="BL108" s="732"/>
      <c r="BW108" s="790"/>
      <c r="BX108" s="790"/>
      <c r="BY108" s="792"/>
      <c r="BZ108" s="731"/>
      <c r="CA108" s="731"/>
      <c r="CB108" s="731"/>
      <c r="CC108" s="731"/>
      <c r="CD108" s="731"/>
      <c r="CE108" s="731"/>
      <c r="CF108" s="731"/>
    </row>
    <row r="109" spans="1:84" ht="15.75" customHeight="1">
      <c r="A109" s="732"/>
      <c r="B109" s="733"/>
      <c r="C109" s="733"/>
      <c r="D109" s="733"/>
      <c r="E109" s="733"/>
      <c r="F109" s="733"/>
      <c r="G109" s="733"/>
      <c r="H109" s="733"/>
      <c r="I109" s="733"/>
      <c r="J109" s="733"/>
      <c r="K109" s="733"/>
      <c r="L109" s="733"/>
      <c r="M109" s="733"/>
      <c r="N109" s="733"/>
      <c r="O109" s="733"/>
      <c r="P109" s="733"/>
      <c r="Q109" s="733"/>
      <c r="R109" s="733"/>
      <c r="S109" s="733"/>
      <c r="T109" s="733"/>
      <c r="U109" s="733"/>
      <c r="V109" s="733"/>
      <c r="W109" s="733"/>
      <c r="X109" s="733"/>
      <c r="Y109" s="733"/>
      <c r="Z109" s="733"/>
      <c r="AA109" s="733"/>
      <c r="AB109" s="732"/>
      <c r="AC109" s="733"/>
      <c r="AD109" s="733"/>
      <c r="AE109" s="733"/>
      <c r="AF109" s="733"/>
      <c r="AG109" s="733"/>
      <c r="AH109" s="732"/>
      <c r="AI109" s="732"/>
      <c r="AJ109" s="732"/>
      <c r="AK109" s="732"/>
      <c r="AL109" s="733"/>
      <c r="AM109" s="733"/>
      <c r="AN109" s="733"/>
      <c r="AO109" s="733"/>
      <c r="AP109" s="733"/>
      <c r="AQ109" s="733"/>
      <c r="AR109" s="733"/>
      <c r="AS109" s="733"/>
      <c r="AT109" s="733"/>
      <c r="AU109" s="733"/>
      <c r="AV109" s="733"/>
      <c r="AW109" s="733"/>
      <c r="AX109" s="732"/>
      <c r="AY109" s="732"/>
      <c r="AZ109" s="732"/>
      <c r="BA109" s="732"/>
      <c r="BB109" s="732"/>
      <c r="BC109" s="732"/>
      <c r="BD109" s="732"/>
      <c r="BE109" s="732"/>
      <c r="BF109" s="732"/>
      <c r="BG109" s="791"/>
      <c r="BH109" s="732"/>
      <c r="BI109" s="732"/>
      <c r="BJ109" s="732"/>
      <c r="BK109" s="732"/>
      <c r="BL109" s="732"/>
      <c r="BW109" s="790"/>
      <c r="BX109" s="790"/>
      <c r="BY109" s="792"/>
      <c r="BZ109" s="731"/>
      <c r="CA109" s="731"/>
      <c r="CB109" s="731"/>
      <c r="CC109" s="731"/>
      <c r="CD109" s="731"/>
      <c r="CE109" s="731"/>
      <c r="CF109" s="731"/>
    </row>
    <row r="110" spans="1:84" ht="15.75" customHeight="1">
      <c r="A110" s="732"/>
      <c r="B110" s="733"/>
      <c r="C110" s="733"/>
      <c r="D110" s="733"/>
      <c r="E110" s="733"/>
      <c r="F110" s="733"/>
      <c r="G110" s="733"/>
      <c r="H110" s="733"/>
      <c r="I110" s="733"/>
      <c r="J110" s="733"/>
      <c r="K110" s="733"/>
      <c r="L110" s="733"/>
      <c r="M110" s="733"/>
      <c r="N110" s="733"/>
      <c r="O110" s="733"/>
      <c r="P110" s="733"/>
      <c r="Q110" s="733"/>
      <c r="R110" s="733"/>
      <c r="S110" s="733"/>
      <c r="T110" s="733"/>
      <c r="U110" s="733"/>
      <c r="V110" s="733"/>
      <c r="W110" s="733"/>
      <c r="X110" s="733"/>
      <c r="Y110" s="733"/>
      <c r="Z110" s="733"/>
      <c r="AA110" s="733"/>
      <c r="AB110" s="732"/>
      <c r="AC110" s="733"/>
      <c r="AD110" s="733"/>
      <c r="AE110" s="733"/>
      <c r="AF110" s="733"/>
      <c r="AG110" s="733"/>
      <c r="AH110" s="732"/>
      <c r="AI110" s="732"/>
      <c r="AJ110" s="732"/>
      <c r="AK110" s="732"/>
      <c r="AL110" s="733"/>
      <c r="AM110" s="733"/>
      <c r="AN110" s="733"/>
      <c r="AO110" s="733"/>
      <c r="AP110" s="733"/>
      <c r="AQ110" s="733"/>
      <c r="AR110" s="733"/>
      <c r="AS110" s="733"/>
      <c r="AT110" s="733"/>
      <c r="AU110" s="733"/>
      <c r="AV110" s="733"/>
      <c r="AW110" s="733"/>
      <c r="AX110" s="732"/>
      <c r="AY110" s="732"/>
      <c r="AZ110" s="732"/>
      <c r="BA110" s="732"/>
      <c r="BB110" s="732"/>
      <c r="BC110" s="732"/>
      <c r="BD110" s="732"/>
      <c r="BE110" s="732"/>
      <c r="BF110" s="732"/>
      <c r="BG110" s="791"/>
      <c r="BH110" s="732"/>
      <c r="BI110" s="732"/>
      <c r="BJ110" s="732"/>
      <c r="BK110" s="732"/>
      <c r="BL110" s="732"/>
      <c r="BW110" s="790"/>
      <c r="BX110" s="790"/>
      <c r="BY110" s="792"/>
      <c r="BZ110" s="731"/>
      <c r="CA110" s="731"/>
      <c r="CB110" s="731"/>
      <c r="CC110" s="731"/>
      <c r="CD110" s="731"/>
      <c r="CE110" s="731"/>
      <c r="CF110" s="731"/>
    </row>
    <row r="111" spans="1:84" ht="15.75" customHeight="1">
      <c r="A111" s="732"/>
      <c r="B111" s="733"/>
      <c r="C111" s="733"/>
      <c r="D111" s="733"/>
      <c r="E111" s="733"/>
      <c r="F111" s="733"/>
      <c r="G111" s="733"/>
      <c r="H111" s="733"/>
      <c r="I111" s="733"/>
      <c r="J111" s="733"/>
      <c r="K111" s="733"/>
      <c r="L111" s="733"/>
      <c r="M111" s="733"/>
      <c r="N111" s="733"/>
      <c r="O111" s="733"/>
      <c r="P111" s="733"/>
      <c r="Q111" s="733"/>
      <c r="R111" s="733"/>
      <c r="S111" s="733"/>
      <c r="T111" s="733"/>
      <c r="U111" s="733"/>
      <c r="V111" s="733"/>
      <c r="W111" s="733"/>
      <c r="X111" s="733"/>
      <c r="Y111" s="733"/>
      <c r="Z111" s="733"/>
      <c r="AA111" s="733"/>
      <c r="AB111" s="732"/>
      <c r="AC111" s="733"/>
      <c r="AD111" s="733"/>
      <c r="AE111" s="733"/>
      <c r="AF111" s="733"/>
      <c r="AG111" s="733"/>
      <c r="AH111" s="732"/>
      <c r="AI111" s="732"/>
      <c r="AJ111" s="732"/>
      <c r="AK111" s="732"/>
      <c r="AL111" s="733"/>
      <c r="AM111" s="733"/>
      <c r="AN111" s="733"/>
      <c r="AO111" s="733"/>
      <c r="AP111" s="733"/>
      <c r="AQ111" s="733"/>
      <c r="AR111" s="733"/>
      <c r="AS111" s="733"/>
      <c r="AT111" s="733"/>
      <c r="AU111" s="733"/>
      <c r="AV111" s="733"/>
      <c r="AW111" s="733"/>
      <c r="AX111" s="732"/>
      <c r="AY111" s="732"/>
      <c r="AZ111" s="732"/>
      <c r="BA111" s="732"/>
      <c r="BB111" s="732"/>
      <c r="BC111" s="732"/>
      <c r="BD111" s="732"/>
      <c r="BE111" s="732"/>
      <c r="BF111" s="732"/>
      <c r="BG111" s="791"/>
      <c r="BH111" s="732"/>
      <c r="BI111" s="732"/>
      <c r="BJ111" s="732"/>
      <c r="BK111" s="732"/>
      <c r="BL111" s="732"/>
      <c r="BW111" s="790"/>
      <c r="BX111" s="790"/>
      <c r="BY111" s="792"/>
      <c r="BZ111" s="731"/>
      <c r="CA111" s="731"/>
      <c r="CB111" s="731"/>
      <c r="CC111" s="731"/>
      <c r="CD111" s="731"/>
      <c r="CE111" s="731"/>
      <c r="CF111" s="731"/>
    </row>
    <row r="112" spans="1:84" ht="15.75" customHeight="1">
      <c r="A112" s="732"/>
      <c r="B112" s="733"/>
      <c r="C112" s="733"/>
      <c r="D112" s="733"/>
      <c r="E112" s="733"/>
      <c r="F112" s="733"/>
      <c r="G112" s="733"/>
      <c r="H112" s="733"/>
      <c r="I112" s="733"/>
      <c r="J112" s="733"/>
      <c r="K112" s="733"/>
      <c r="L112" s="733"/>
      <c r="M112" s="733"/>
      <c r="N112" s="733"/>
      <c r="O112" s="733"/>
      <c r="P112" s="733"/>
      <c r="Q112" s="733"/>
      <c r="R112" s="733"/>
      <c r="S112" s="733"/>
      <c r="T112" s="733"/>
      <c r="U112" s="733"/>
      <c r="V112" s="733"/>
      <c r="W112" s="733"/>
      <c r="X112" s="733"/>
      <c r="Y112" s="733"/>
      <c r="Z112" s="733"/>
      <c r="AA112" s="733"/>
      <c r="AB112" s="732"/>
      <c r="AC112" s="733"/>
      <c r="AD112" s="733"/>
      <c r="AE112" s="733"/>
      <c r="AF112" s="733"/>
      <c r="AG112" s="733"/>
      <c r="AH112" s="732"/>
      <c r="AI112" s="732"/>
      <c r="AJ112" s="732"/>
      <c r="AK112" s="732"/>
      <c r="AL112" s="733"/>
      <c r="AM112" s="733"/>
      <c r="AN112" s="733"/>
      <c r="AO112" s="733"/>
      <c r="AP112" s="733"/>
      <c r="AQ112" s="733"/>
      <c r="AR112" s="733"/>
      <c r="AS112" s="733"/>
      <c r="AT112" s="733"/>
      <c r="AU112" s="733"/>
      <c r="AV112" s="733"/>
      <c r="AW112" s="733"/>
      <c r="AX112" s="732"/>
      <c r="AY112" s="732"/>
      <c r="AZ112" s="732"/>
      <c r="BA112" s="732"/>
      <c r="BB112" s="732"/>
      <c r="BC112" s="732"/>
      <c r="BD112" s="732"/>
      <c r="BE112" s="732"/>
      <c r="BF112" s="732"/>
      <c r="BG112" s="791"/>
      <c r="BH112" s="732"/>
      <c r="BI112" s="732"/>
      <c r="BJ112" s="732"/>
      <c r="BK112" s="732"/>
      <c r="BL112" s="732"/>
      <c r="BW112" s="790"/>
      <c r="BX112" s="790"/>
      <c r="BY112" s="792"/>
      <c r="BZ112" s="731"/>
      <c r="CA112" s="731"/>
      <c r="CB112" s="731"/>
      <c r="CC112" s="731"/>
      <c r="CD112" s="731"/>
      <c r="CE112" s="731"/>
      <c r="CF112" s="731"/>
    </row>
    <row r="113" spans="1:84" ht="15.75" customHeight="1">
      <c r="A113" s="732"/>
      <c r="B113" s="733"/>
      <c r="C113" s="733"/>
      <c r="D113" s="733"/>
      <c r="E113" s="733"/>
      <c r="F113" s="733"/>
      <c r="G113" s="733"/>
      <c r="H113" s="733"/>
      <c r="I113" s="733"/>
      <c r="J113" s="733"/>
      <c r="K113" s="733"/>
      <c r="L113" s="733"/>
      <c r="M113" s="733"/>
      <c r="N113" s="733"/>
      <c r="O113" s="733"/>
      <c r="P113" s="733"/>
      <c r="Q113" s="733"/>
      <c r="R113" s="733"/>
      <c r="S113" s="733"/>
      <c r="T113" s="733"/>
      <c r="U113" s="733"/>
      <c r="V113" s="733"/>
      <c r="W113" s="733"/>
      <c r="X113" s="733"/>
      <c r="Y113" s="733"/>
      <c r="Z113" s="733"/>
      <c r="AA113" s="733"/>
      <c r="AB113" s="732"/>
      <c r="AC113" s="733"/>
      <c r="AD113" s="733"/>
      <c r="AE113" s="733"/>
      <c r="AF113" s="733"/>
      <c r="AG113" s="733"/>
      <c r="AH113" s="732"/>
      <c r="AI113" s="732"/>
      <c r="AJ113" s="732"/>
      <c r="AK113" s="732"/>
      <c r="AL113" s="733"/>
      <c r="AM113" s="733"/>
      <c r="AN113" s="733"/>
      <c r="AO113" s="733"/>
      <c r="AP113" s="733"/>
      <c r="AQ113" s="733"/>
      <c r="AR113" s="733"/>
      <c r="AS113" s="733"/>
      <c r="AT113" s="733"/>
      <c r="AU113" s="733"/>
      <c r="AV113" s="733"/>
      <c r="AW113" s="733"/>
      <c r="AX113" s="732"/>
      <c r="AY113" s="732"/>
      <c r="AZ113" s="732"/>
      <c r="BA113" s="732"/>
      <c r="BB113" s="732"/>
      <c r="BC113" s="732"/>
      <c r="BD113" s="732"/>
      <c r="BE113" s="732"/>
      <c r="BF113" s="732"/>
      <c r="BG113" s="791"/>
      <c r="BH113" s="732"/>
      <c r="BI113" s="732"/>
      <c r="BJ113" s="732"/>
      <c r="BK113" s="732"/>
      <c r="BL113" s="732"/>
      <c r="BW113" s="790"/>
      <c r="BX113" s="790"/>
      <c r="BY113" s="792"/>
      <c r="BZ113" s="731"/>
      <c r="CA113" s="731"/>
      <c r="CB113" s="731"/>
      <c r="CC113" s="731"/>
      <c r="CD113" s="731"/>
      <c r="CE113" s="731"/>
      <c r="CF113" s="731"/>
    </row>
    <row r="114" spans="1:84" ht="15.75" customHeight="1">
      <c r="A114" s="732"/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733"/>
      <c r="AB114" s="732"/>
      <c r="AC114" s="733"/>
      <c r="AD114" s="733"/>
      <c r="AE114" s="733"/>
      <c r="AF114" s="733"/>
      <c r="AG114" s="733"/>
      <c r="AH114" s="732"/>
      <c r="AI114" s="732"/>
      <c r="AJ114" s="732"/>
      <c r="AK114" s="732"/>
      <c r="AL114" s="733"/>
      <c r="AM114" s="733"/>
      <c r="AN114" s="733"/>
      <c r="AO114" s="733"/>
      <c r="AP114" s="733"/>
      <c r="AQ114" s="733"/>
      <c r="AR114" s="733"/>
      <c r="AS114" s="733"/>
      <c r="AT114" s="733"/>
      <c r="AU114" s="733"/>
      <c r="AV114" s="733"/>
      <c r="AW114" s="733"/>
      <c r="AX114" s="732"/>
      <c r="AY114" s="732"/>
      <c r="AZ114" s="732"/>
      <c r="BA114" s="732"/>
      <c r="BB114" s="732"/>
      <c r="BC114" s="732"/>
      <c r="BD114" s="732"/>
      <c r="BE114" s="732"/>
      <c r="BF114" s="732"/>
      <c r="BG114" s="791"/>
      <c r="BH114" s="732"/>
      <c r="BI114" s="732"/>
      <c r="BJ114" s="732"/>
      <c r="BK114" s="732"/>
      <c r="BL114" s="732"/>
      <c r="BW114" s="790"/>
      <c r="BX114" s="790"/>
      <c r="BY114" s="792"/>
      <c r="BZ114" s="731"/>
      <c r="CA114" s="731"/>
      <c r="CB114" s="731"/>
      <c r="CC114" s="731"/>
      <c r="CD114" s="731"/>
      <c r="CE114" s="731"/>
      <c r="CF114" s="731"/>
    </row>
    <row r="115" spans="1:84" ht="15.75" customHeight="1">
      <c r="A115" s="732"/>
      <c r="B115" s="733"/>
      <c r="C115" s="733"/>
      <c r="D115" s="733"/>
      <c r="E115" s="733"/>
      <c r="F115" s="733"/>
      <c r="G115" s="733"/>
      <c r="H115" s="733"/>
      <c r="I115" s="733"/>
      <c r="J115" s="733"/>
      <c r="K115" s="733"/>
      <c r="L115" s="733"/>
      <c r="M115" s="733"/>
      <c r="N115" s="733"/>
      <c r="O115" s="733"/>
      <c r="P115" s="733"/>
      <c r="Q115" s="733"/>
      <c r="R115" s="733"/>
      <c r="S115" s="733"/>
      <c r="T115" s="733"/>
      <c r="U115" s="733"/>
      <c r="V115" s="733"/>
      <c r="W115" s="733"/>
      <c r="X115" s="733"/>
      <c r="Y115" s="733"/>
      <c r="Z115" s="733"/>
      <c r="AA115" s="733"/>
      <c r="AB115" s="732"/>
      <c r="AC115" s="733"/>
      <c r="AD115" s="733"/>
      <c r="AE115" s="733"/>
      <c r="AF115" s="733"/>
      <c r="AG115" s="733"/>
      <c r="AH115" s="732"/>
      <c r="AI115" s="732"/>
      <c r="AJ115" s="732"/>
      <c r="AK115" s="732"/>
      <c r="AL115" s="733"/>
      <c r="AM115" s="733"/>
      <c r="AN115" s="733"/>
      <c r="AO115" s="733"/>
      <c r="AP115" s="733"/>
      <c r="AQ115" s="733"/>
      <c r="AR115" s="733"/>
      <c r="AS115" s="733"/>
      <c r="AT115" s="733"/>
      <c r="AU115" s="733"/>
      <c r="AV115" s="733"/>
      <c r="AW115" s="733"/>
      <c r="AX115" s="732"/>
      <c r="AY115" s="732"/>
      <c r="AZ115" s="732"/>
      <c r="BA115" s="732"/>
      <c r="BB115" s="732"/>
      <c r="BC115" s="732"/>
      <c r="BD115" s="732"/>
      <c r="BE115" s="732"/>
      <c r="BF115" s="732"/>
      <c r="BG115" s="791"/>
      <c r="BH115" s="732"/>
      <c r="BI115" s="732"/>
      <c r="BJ115" s="732"/>
      <c r="BK115" s="732"/>
      <c r="BL115" s="732"/>
      <c r="BW115" s="790"/>
      <c r="BX115" s="790"/>
      <c r="BY115" s="792"/>
      <c r="BZ115" s="731"/>
      <c r="CA115" s="731"/>
      <c r="CB115" s="731"/>
      <c r="CC115" s="731"/>
      <c r="CD115" s="731"/>
      <c r="CE115" s="731"/>
      <c r="CF115" s="731"/>
    </row>
    <row r="116" spans="1:84" ht="15.75" customHeight="1">
      <c r="A116" s="732"/>
      <c r="B116" s="733"/>
      <c r="C116" s="733"/>
      <c r="D116" s="733"/>
      <c r="E116" s="733"/>
      <c r="F116" s="733"/>
      <c r="G116" s="733"/>
      <c r="H116" s="733"/>
      <c r="I116" s="733"/>
      <c r="J116" s="733"/>
      <c r="K116" s="733"/>
      <c r="L116" s="733"/>
      <c r="M116" s="733"/>
      <c r="N116" s="733"/>
      <c r="O116" s="733"/>
      <c r="P116" s="733"/>
      <c r="Q116" s="733"/>
      <c r="R116" s="733"/>
      <c r="S116" s="733"/>
      <c r="T116" s="733"/>
      <c r="U116" s="733"/>
      <c r="V116" s="733"/>
      <c r="W116" s="733"/>
      <c r="X116" s="733"/>
      <c r="Y116" s="733"/>
      <c r="Z116" s="733"/>
      <c r="AA116" s="733"/>
      <c r="AB116" s="732"/>
      <c r="AC116" s="733"/>
      <c r="AD116" s="733"/>
      <c r="AE116" s="733"/>
      <c r="AF116" s="733"/>
      <c r="AG116" s="733"/>
      <c r="AH116" s="732"/>
      <c r="AI116" s="732"/>
      <c r="AJ116" s="732"/>
      <c r="AK116" s="732"/>
      <c r="AL116" s="733"/>
      <c r="AM116" s="733"/>
      <c r="AN116" s="733"/>
      <c r="AO116" s="733"/>
      <c r="AP116" s="733"/>
      <c r="AQ116" s="733"/>
      <c r="AR116" s="733"/>
      <c r="AS116" s="733"/>
      <c r="AT116" s="733"/>
      <c r="AU116" s="733"/>
      <c r="AV116" s="733"/>
      <c r="AW116" s="733"/>
      <c r="AX116" s="732"/>
      <c r="AY116" s="732"/>
      <c r="AZ116" s="732"/>
      <c r="BA116" s="732"/>
      <c r="BB116" s="732"/>
      <c r="BC116" s="732"/>
      <c r="BD116" s="732"/>
      <c r="BE116" s="732"/>
      <c r="BF116" s="732"/>
      <c r="BG116" s="791"/>
      <c r="BH116" s="732"/>
      <c r="BI116" s="732"/>
      <c r="BJ116" s="732"/>
      <c r="BK116" s="732"/>
      <c r="BL116" s="732"/>
      <c r="BW116" s="790"/>
      <c r="BX116" s="790"/>
      <c r="BY116" s="792"/>
      <c r="BZ116" s="731"/>
      <c r="CA116" s="731"/>
      <c r="CB116" s="731"/>
      <c r="CC116" s="731"/>
      <c r="CD116" s="731"/>
      <c r="CE116" s="731"/>
      <c r="CF116" s="731"/>
    </row>
    <row r="117" spans="1:84" ht="15.75" customHeight="1">
      <c r="A117" s="732"/>
      <c r="B117" s="733"/>
      <c r="C117" s="733"/>
      <c r="D117" s="733"/>
      <c r="E117" s="733"/>
      <c r="F117" s="733"/>
      <c r="G117" s="733"/>
      <c r="H117" s="733"/>
      <c r="I117" s="733"/>
      <c r="J117" s="733"/>
      <c r="K117" s="733"/>
      <c r="L117" s="733"/>
      <c r="M117" s="733"/>
      <c r="N117" s="733"/>
      <c r="O117" s="733"/>
      <c r="P117" s="733"/>
      <c r="Q117" s="733"/>
      <c r="R117" s="733"/>
      <c r="S117" s="733"/>
      <c r="T117" s="733"/>
      <c r="U117" s="733"/>
      <c r="V117" s="733"/>
      <c r="W117" s="733"/>
      <c r="X117" s="733"/>
      <c r="Y117" s="733"/>
      <c r="Z117" s="733"/>
      <c r="AA117" s="733"/>
      <c r="AB117" s="732"/>
      <c r="AC117" s="733"/>
      <c r="AD117" s="733"/>
      <c r="AE117" s="733"/>
      <c r="AF117" s="733"/>
      <c r="AG117" s="733"/>
      <c r="AH117" s="732"/>
      <c r="AI117" s="732"/>
      <c r="AJ117" s="732"/>
      <c r="AK117" s="732"/>
      <c r="AL117" s="733"/>
      <c r="AM117" s="733"/>
      <c r="AN117" s="733"/>
      <c r="AO117" s="733"/>
      <c r="AP117" s="733"/>
      <c r="AQ117" s="733"/>
      <c r="AR117" s="733"/>
      <c r="AS117" s="733"/>
      <c r="AT117" s="733"/>
      <c r="AU117" s="733"/>
      <c r="AV117" s="733"/>
      <c r="AW117" s="733"/>
      <c r="AX117" s="732"/>
      <c r="AY117" s="732"/>
      <c r="AZ117" s="732"/>
      <c r="BA117" s="732"/>
      <c r="BB117" s="732"/>
      <c r="BC117" s="732"/>
      <c r="BD117" s="732"/>
      <c r="BE117" s="732"/>
      <c r="BF117" s="732"/>
      <c r="BG117" s="791"/>
      <c r="BH117" s="732"/>
      <c r="BI117" s="732"/>
      <c r="BJ117" s="732"/>
      <c r="BK117" s="732"/>
      <c r="BL117" s="732"/>
      <c r="BW117" s="790"/>
      <c r="BX117" s="790"/>
      <c r="BY117" s="792"/>
      <c r="BZ117" s="731"/>
      <c r="CA117" s="731"/>
      <c r="CB117" s="731"/>
      <c r="CC117" s="731"/>
      <c r="CD117" s="731"/>
      <c r="CE117" s="731"/>
      <c r="CF117" s="731"/>
    </row>
    <row r="118" spans="1:84" ht="15.75" customHeight="1">
      <c r="A118" s="732"/>
      <c r="B118" s="733"/>
      <c r="C118" s="733"/>
      <c r="D118" s="733"/>
      <c r="E118" s="733"/>
      <c r="F118" s="733"/>
      <c r="G118" s="733"/>
      <c r="H118" s="733"/>
      <c r="I118" s="733"/>
      <c r="J118" s="733"/>
      <c r="K118" s="733"/>
      <c r="L118" s="733"/>
      <c r="M118" s="733"/>
      <c r="N118" s="733"/>
      <c r="O118" s="733"/>
      <c r="P118" s="733"/>
      <c r="Q118" s="733"/>
      <c r="R118" s="733"/>
      <c r="S118" s="733"/>
      <c r="T118" s="733"/>
      <c r="U118" s="733"/>
      <c r="V118" s="733"/>
      <c r="W118" s="733"/>
      <c r="X118" s="733"/>
      <c r="Y118" s="733"/>
      <c r="Z118" s="733"/>
      <c r="AA118" s="733"/>
      <c r="AB118" s="732"/>
      <c r="AC118" s="733"/>
      <c r="AD118" s="733"/>
      <c r="AE118" s="733"/>
      <c r="AF118" s="733"/>
      <c r="AG118" s="733"/>
      <c r="AH118" s="732"/>
      <c r="AI118" s="732"/>
      <c r="AJ118" s="732"/>
      <c r="AK118" s="732"/>
      <c r="AL118" s="733"/>
      <c r="AM118" s="733"/>
      <c r="AN118" s="733"/>
      <c r="AO118" s="733"/>
      <c r="AP118" s="733"/>
      <c r="AQ118" s="733"/>
      <c r="AR118" s="733"/>
      <c r="AS118" s="733"/>
      <c r="AT118" s="733"/>
      <c r="AU118" s="733"/>
      <c r="AV118" s="733"/>
      <c r="AW118" s="733"/>
      <c r="AX118" s="732"/>
      <c r="AY118" s="732"/>
      <c r="AZ118" s="732"/>
      <c r="BA118" s="732"/>
      <c r="BB118" s="732"/>
      <c r="BC118" s="732"/>
      <c r="BD118" s="732"/>
      <c r="BE118" s="732"/>
      <c r="BF118" s="732"/>
      <c r="BG118" s="791"/>
      <c r="BH118" s="732"/>
      <c r="BI118" s="732"/>
      <c r="BJ118" s="732"/>
      <c r="BK118" s="732"/>
      <c r="BL118" s="732"/>
      <c r="BW118" s="790"/>
      <c r="BX118" s="790"/>
      <c r="BY118" s="792"/>
      <c r="BZ118" s="731"/>
      <c r="CA118" s="731"/>
      <c r="CB118" s="731"/>
      <c r="CC118" s="731"/>
      <c r="CD118" s="731"/>
      <c r="CE118" s="731"/>
      <c r="CF118" s="731"/>
    </row>
    <row r="119" spans="1:84" ht="15.75" customHeight="1">
      <c r="A119" s="732"/>
      <c r="B119" s="733"/>
      <c r="C119" s="733"/>
      <c r="D119" s="733"/>
      <c r="E119" s="733"/>
      <c r="F119" s="733"/>
      <c r="G119" s="733"/>
      <c r="H119" s="733"/>
      <c r="I119" s="733"/>
      <c r="J119" s="733"/>
      <c r="K119" s="733"/>
      <c r="L119" s="733"/>
      <c r="M119" s="733"/>
      <c r="N119" s="733"/>
      <c r="O119" s="733"/>
      <c r="P119" s="733"/>
      <c r="Q119" s="733"/>
      <c r="R119" s="733"/>
      <c r="S119" s="733"/>
      <c r="T119" s="733"/>
      <c r="U119" s="733"/>
      <c r="V119" s="733"/>
      <c r="W119" s="733"/>
      <c r="X119" s="733"/>
      <c r="Y119" s="733"/>
      <c r="Z119" s="733"/>
      <c r="AA119" s="733"/>
      <c r="AB119" s="732"/>
      <c r="AC119" s="733"/>
      <c r="AD119" s="733"/>
      <c r="AE119" s="733"/>
      <c r="AF119" s="733"/>
      <c r="AG119" s="733"/>
      <c r="AH119" s="732"/>
      <c r="AI119" s="732"/>
      <c r="AJ119" s="732"/>
      <c r="AK119" s="732"/>
      <c r="AL119" s="733"/>
      <c r="AM119" s="733"/>
      <c r="AN119" s="733"/>
      <c r="AO119" s="733"/>
      <c r="AP119" s="733"/>
      <c r="AQ119" s="733"/>
      <c r="AR119" s="733"/>
      <c r="AS119" s="733"/>
      <c r="AT119" s="733"/>
      <c r="AU119" s="733"/>
      <c r="AV119" s="733"/>
      <c r="AW119" s="733"/>
      <c r="AX119" s="732"/>
      <c r="AY119" s="732"/>
      <c r="AZ119" s="732"/>
      <c r="BA119" s="732"/>
      <c r="BB119" s="732"/>
      <c r="BC119" s="732"/>
      <c r="BD119" s="732"/>
      <c r="BE119" s="732"/>
      <c r="BF119" s="732"/>
      <c r="BG119" s="791"/>
      <c r="BH119" s="732"/>
      <c r="BI119" s="732"/>
      <c r="BJ119" s="732"/>
      <c r="BK119" s="732"/>
      <c r="BL119" s="732"/>
      <c r="BW119" s="790"/>
      <c r="BX119" s="790"/>
      <c r="BY119" s="792"/>
      <c r="BZ119" s="731"/>
      <c r="CA119" s="731"/>
      <c r="CB119" s="731"/>
      <c r="CC119" s="731"/>
      <c r="CD119" s="731"/>
      <c r="CE119" s="731"/>
      <c r="CF119" s="731"/>
    </row>
    <row r="120" spans="1:84" ht="15.75" customHeight="1">
      <c r="A120" s="732"/>
      <c r="B120" s="733"/>
      <c r="C120" s="733"/>
      <c r="D120" s="733"/>
      <c r="E120" s="733"/>
      <c r="F120" s="733"/>
      <c r="G120" s="733"/>
      <c r="H120" s="733"/>
      <c r="I120" s="733"/>
      <c r="J120" s="733"/>
      <c r="K120" s="733"/>
      <c r="L120" s="733"/>
      <c r="M120" s="733"/>
      <c r="N120" s="733"/>
      <c r="O120" s="733"/>
      <c r="P120" s="733"/>
      <c r="Q120" s="733"/>
      <c r="R120" s="733"/>
      <c r="S120" s="733"/>
      <c r="T120" s="733"/>
      <c r="U120" s="733"/>
      <c r="V120" s="733"/>
      <c r="W120" s="733"/>
      <c r="X120" s="733"/>
      <c r="Y120" s="733"/>
      <c r="Z120" s="733"/>
      <c r="AA120" s="733"/>
      <c r="AB120" s="732"/>
      <c r="AC120" s="733"/>
      <c r="AD120" s="733"/>
      <c r="AE120" s="733"/>
      <c r="AF120" s="733"/>
      <c r="AG120" s="733"/>
      <c r="AH120" s="732"/>
      <c r="AI120" s="732"/>
      <c r="AJ120" s="732"/>
      <c r="AK120" s="732"/>
      <c r="AL120" s="733"/>
      <c r="AM120" s="733"/>
      <c r="AN120" s="733"/>
      <c r="AO120" s="733"/>
      <c r="AP120" s="733"/>
      <c r="AQ120" s="733"/>
      <c r="AR120" s="733"/>
      <c r="AS120" s="733"/>
      <c r="AT120" s="733"/>
      <c r="AU120" s="733"/>
      <c r="AV120" s="733"/>
      <c r="AW120" s="733"/>
      <c r="AX120" s="732"/>
      <c r="AY120" s="732"/>
      <c r="AZ120" s="732"/>
      <c r="BA120" s="732"/>
      <c r="BB120" s="732"/>
      <c r="BC120" s="732"/>
      <c r="BD120" s="732"/>
      <c r="BE120" s="732"/>
      <c r="BF120" s="732"/>
      <c r="BG120" s="791"/>
      <c r="BH120" s="732"/>
      <c r="BI120" s="732"/>
      <c r="BJ120" s="732"/>
      <c r="BK120" s="732"/>
      <c r="BL120" s="732"/>
      <c r="BW120" s="790"/>
      <c r="BX120" s="790"/>
      <c r="BY120" s="792"/>
      <c r="BZ120" s="731"/>
      <c r="CA120" s="731"/>
      <c r="CB120" s="731"/>
      <c r="CC120" s="731"/>
      <c r="CD120" s="731"/>
      <c r="CE120" s="731"/>
      <c r="CF120" s="731"/>
    </row>
    <row r="121" spans="1:84" ht="15.75" customHeight="1">
      <c r="A121" s="732"/>
      <c r="B121" s="733"/>
      <c r="C121" s="733"/>
      <c r="D121" s="733"/>
      <c r="E121" s="733"/>
      <c r="F121" s="733"/>
      <c r="G121" s="733"/>
      <c r="H121" s="733"/>
      <c r="I121" s="733"/>
      <c r="J121" s="733"/>
      <c r="K121" s="733"/>
      <c r="L121" s="733"/>
      <c r="M121" s="733"/>
      <c r="N121" s="733"/>
      <c r="O121" s="733"/>
      <c r="P121" s="733"/>
      <c r="Q121" s="733"/>
      <c r="R121" s="733"/>
      <c r="S121" s="733"/>
      <c r="T121" s="733"/>
      <c r="U121" s="733"/>
      <c r="V121" s="733"/>
      <c r="W121" s="733"/>
      <c r="X121" s="733"/>
      <c r="Y121" s="733"/>
      <c r="Z121" s="733"/>
      <c r="AA121" s="733"/>
      <c r="AB121" s="732"/>
      <c r="AC121" s="733"/>
      <c r="AD121" s="733"/>
      <c r="AE121" s="733"/>
      <c r="AF121" s="733"/>
      <c r="AG121" s="733"/>
      <c r="AH121" s="732"/>
      <c r="AI121" s="732"/>
      <c r="AJ121" s="732"/>
      <c r="AK121" s="732"/>
      <c r="AL121" s="733"/>
      <c r="AM121" s="733"/>
      <c r="AN121" s="733"/>
      <c r="AO121" s="733"/>
      <c r="AP121" s="733"/>
      <c r="AQ121" s="733"/>
      <c r="AR121" s="733"/>
      <c r="AS121" s="733"/>
      <c r="AT121" s="733"/>
      <c r="AU121" s="733"/>
      <c r="AV121" s="733"/>
      <c r="AW121" s="733"/>
      <c r="AX121" s="732"/>
      <c r="AY121" s="732"/>
      <c r="AZ121" s="732"/>
      <c r="BA121" s="732"/>
      <c r="BB121" s="732"/>
      <c r="BC121" s="732"/>
      <c r="BD121" s="732"/>
      <c r="BE121" s="732"/>
      <c r="BF121" s="732"/>
      <c r="BG121" s="791"/>
      <c r="BH121" s="732"/>
      <c r="BI121" s="732"/>
      <c r="BJ121" s="732"/>
      <c r="BK121" s="732"/>
      <c r="BL121" s="732"/>
      <c r="BW121" s="790"/>
      <c r="BX121" s="790"/>
      <c r="BY121" s="792"/>
      <c r="BZ121" s="731"/>
      <c r="CA121" s="731"/>
      <c r="CB121" s="731"/>
      <c r="CC121" s="731"/>
      <c r="CD121" s="731"/>
      <c r="CE121" s="731"/>
      <c r="CF121" s="731"/>
    </row>
    <row r="122" spans="1:84" ht="15.75" customHeight="1">
      <c r="A122" s="732"/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733"/>
      <c r="AB122" s="732"/>
      <c r="AC122" s="733"/>
      <c r="AD122" s="733"/>
      <c r="AE122" s="733"/>
      <c r="AF122" s="733"/>
      <c r="AG122" s="733"/>
      <c r="AH122" s="732"/>
      <c r="AI122" s="732"/>
      <c r="AJ122" s="732"/>
      <c r="AK122" s="732"/>
      <c r="AL122" s="733"/>
      <c r="AM122" s="733"/>
      <c r="AN122" s="733"/>
      <c r="AO122" s="733"/>
      <c r="AP122" s="733"/>
      <c r="AQ122" s="733"/>
      <c r="AR122" s="733"/>
      <c r="AS122" s="733"/>
      <c r="AT122" s="733"/>
      <c r="AU122" s="733"/>
      <c r="AV122" s="733"/>
      <c r="AW122" s="733"/>
      <c r="AX122" s="732"/>
      <c r="AY122" s="732"/>
      <c r="AZ122" s="732"/>
      <c r="BA122" s="732"/>
      <c r="BB122" s="732"/>
      <c r="BC122" s="732"/>
      <c r="BD122" s="732"/>
      <c r="BE122" s="732"/>
      <c r="BF122" s="732"/>
      <c r="BG122" s="791"/>
      <c r="BH122" s="732"/>
      <c r="BI122" s="732"/>
      <c r="BJ122" s="732"/>
      <c r="BK122" s="732"/>
      <c r="BL122" s="732"/>
      <c r="BW122" s="790"/>
      <c r="BX122" s="790"/>
      <c r="BY122" s="792"/>
      <c r="BZ122" s="731"/>
      <c r="CA122" s="731"/>
      <c r="CB122" s="731"/>
      <c r="CC122" s="731"/>
      <c r="CD122" s="731"/>
      <c r="CE122" s="731"/>
      <c r="CF122" s="731"/>
    </row>
    <row r="123" spans="1:84" ht="15.75" customHeight="1">
      <c r="A123" s="732"/>
      <c r="B123" s="733"/>
      <c r="C123" s="733"/>
      <c r="D123" s="733"/>
      <c r="E123" s="733"/>
      <c r="F123" s="733"/>
      <c r="G123" s="733"/>
      <c r="H123" s="733"/>
      <c r="I123" s="733"/>
      <c r="J123" s="733"/>
      <c r="K123" s="733"/>
      <c r="L123" s="733"/>
      <c r="M123" s="733"/>
      <c r="N123" s="733"/>
      <c r="O123" s="733"/>
      <c r="P123" s="733"/>
      <c r="Q123" s="733"/>
      <c r="R123" s="733"/>
      <c r="S123" s="733"/>
      <c r="T123" s="733"/>
      <c r="U123" s="733"/>
      <c r="V123" s="733"/>
      <c r="W123" s="733"/>
      <c r="X123" s="733"/>
      <c r="Y123" s="733"/>
      <c r="Z123" s="733"/>
      <c r="AA123" s="733"/>
      <c r="AB123" s="732"/>
      <c r="AC123" s="733"/>
      <c r="AD123" s="733"/>
      <c r="AE123" s="733"/>
      <c r="AF123" s="733"/>
      <c r="AG123" s="733"/>
      <c r="AH123" s="732"/>
      <c r="AI123" s="732"/>
      <c r="AJ123" s="732"/>
      <c r="AK123" s="732"/>
      <c r="AL123" s="733"/>
      <c r="AM123" s="733"/>
      <c r="AN123" s="733"/>
      <c r="AO123" s="733"/>
      <c r="AP123" s="733"/>
      <c r="AQ123" s="733"/>
      <c r="AR123" s="733"/>
      <c r="AS123" s="733"/>
      <c r="AT123" s="733"/>
      <c r="AU123" s="733"/>
      <c r="AV123" s="733"/>
      <c r="AW123" s="733"/>
      <c r="AX123" s="732"/>
      <c r="AY123" s="732"/>
      <c r="AZ123" s="732"/>
      <c r="BA123" s="732"/>
      <c r="BB123" s="732"/>
      <c r="BC123" s="732"/>
      <c r="BD123" s="732"/>
      <c r="BE123" s="732"/>
      <c r="BF123" s="732"/>
      <c r="BG123" s="791"/>
      <c r="BH123" s="732"/>
      <c r="BI123" s="732"/>
      <c r="BJ123" s="732"/>
      <c r="BK123" s="732"/>
      <c r="BL123" s="732"/>
      <c r="BW123" s="790"/>
      <c r="BX123" s="790"/>
      <c r="BY123" s="792"/>
      <c r="BZ123" s="731"/>
      <c r="CA123" s="731"/>
      <c r="CB123" s="731"/>
      <c r="CC123" s="731"/>
      <c r="CD123" s="731"/>
      <c r="CE123" s="731"/>
      <c r="CF123" s="731"/>
    </row>
    <row r="124" spans="1:84" ht="15.75" customHeight="1">
      <c r="A124" s="732"/>
      <c r="B124" s="733"/>
      <c r="C124" s="733"/>
      <c r="D124" s="733"/>
      <c r="E124" s="733"/>
      <c r="F124" s="733"/>
      <c r="G124" s="733"/>
      <c r="H124" s="733"/>
      <c r="I124" s="733"/>
      <c r="J124" s="733"/>
      <c r="K124" s="733"/>
      <c r="L124" s="733"/>
      <c r="M124" s="733"/>
      <c r="N124" s="733"/>
      <c r="O124" s="733"/>
      <c r="P124" s="733"/>
      <c r="Q124" s="733"/>
      <c r="R124" s="733"/>
      <c r="S124" s="733"/>
      <c r="T124" s="733"/>
      <c r="U124" s="733"/>
      <c r="V124" s="733"/>
      <c r="W124" s="733"/>
      <c r="X124" s="733"/>
      <c r="Y124" s="733"/>
      <c r="Z124" s="733"/>
      <c r="AA124" s="733"/>
      <c r="AB124" s="732"/>
      <c r="AC124" s="733"/>
      <c r="AD124" s="733"/>
      <c r="AE124" s="733"/>
      <c r="AF124" s="733"/>
      <c r="AG124" s="733"/>
      <c r="AH124" s="732"/>
      <c r="AI124" s="732"/>
      <c r="AJ124" s="732"/>
      <c r="AK124" s="732"/>
      <c r="AL124" s="733"/>
      <c r="AM124" s="733"/>
      <c r="AN124" s="733"/>
      <c r="AO124" s="733"/>
      <c r="AP124" s="733"/>
      <c r="AQ124" s="733"/>
      <c r="AR124" s="733"/>
      <c r="AS124" s="733"/>
      <c r="AT124" s="733"/>
      <c r="AU124" s="733"/>
      <c r="AV124" s="733"/>
      <c r="AW124" s="733"/>
      <c r="AX124" s="732"/>
      <c r="AY124" s="732"/>
      <c r="AZ124" s="732"/>
      <c r="BA124" s="732"/>
      <c r="BB124" s="732"/>
      <c r="BC124" s="732"/>
      <c r="BD124" s="732"/>
      <c r="BE124" s="732"/>
      <c r="BF124" s="732"/>
      <c r="BG124" s="791"/>
      <c r="BH124" s="732"/>
      <c r="BI124" s="732"/>
      <c r="BJ124" s="732"/>
      <c r="BK124" s="732"/>
      <c r="BL124" s="732"/>
      <c r="BW124" s="790"/>
      <c r="BX124" s="790"/>
      <c r="BY124" s="792"/>
      <c r="BZ124" s="731"/>
      <c r="CA124" s="731"/>
      <c r="CB124" s="731"/>
      <c r="CC124" s="731"/>
      <c r="CD124" s="731"/>
      <c r="CE124" s="731"/>
      <c r="CF124" s="731"/>
    </row>
    <row r="125" spans="1:84" ht="15.75" customHeight="1">
      <c r="A125" s="732"/>
      <c r="B125" s="733"/>
      <c r="C125" s="733"/>
      <c r="D125" s="733"/>
      <c r="E125" s="733"/>
      <c r="F125" s="733"/>
      <c r="G125" s="733"/>
      <c r="H125" s="733"/>
      <c r="I125" s="733"/>
      <c r="J125" s="733"/>
      <c r="K125" s="733"/>
      <c r="L125" s="733"/>
      <c r="M125" s="733"/>
      <c r="N125" s="733"/>
      <c r="O125" s="733"/>
      <c r="P125" s="733"/>
      <c r="Q125" s="733"/>
      <c r="R125" s="733"/>
      <c r="S125" s="733"/>
      <c r="T125" s="733"/>
      <c r="U125" s="733"/>
      <c r="V125" s="733"/>
      <c r="W125" s="733"/>
      <c r="X125" s="733"/>
      <c r="Y125" s="733"/>
      <c r="Z125" s="733"/>
      <c r="AA125" s="733"/>
      <c r="AB125" s="732"/>
      <c r="AC125" s="733"/>
      <c r="AD125" s="733"/>
      <c r="AE125" s="733"/>
      <c r="AF125" s="733"/>
      <c r="AG125" s="733"/>
      <c r="AH125" s="732"/>
      <c r="AI125" s="732"/>
      <c r="AJ125" s="732"/>
      <c r="AK125" s="732"/>
      <c r="AL125" s="733"/>
      <c r="AM125" s="733"/>
      <c r="AN125" s="733"/>
      <c r="AO125" s="733"/>
      <c r="AP125" s="733"/>
      <c r="AQ125" s="733"/>
      <c r="AR125" s="733"/>
      <c r="AS125" s="733"/>
      <c r="AT125" s="733"/>
      <c r="AU125" s="733"/>
      <c r="AV125" s="733"/>
      <c r="AW125" s="733"/>
      <c r="AX125" s="732"/>
      <c r="AY125" s="732"/>
      <c r="AZ125" s="732"/>
      <c r="BA125" s="732"/>
      <c r="BB125" s="732"/>
      <c r="BC125" s="732"/>
      <c r="BD125" s="732"/>
      <c r="BE125" s="732"/>
      <c r="BF125" s="732"/>
      <c r="BG125" s="791"/>
      <c r="BH125" s="732"/>
      <c r="BI125" s="732"/>
      <c r="BJ125" s="732"/>
      <c r="BK125" s="732"/>
      <c r="BL125" s="732"/>
      <c r="BW125" s="790"/>
      <c r="BX125" s="790"/>
      <c r="BY125" s="792"/>
      <c r="BZ125" s="731"/>
      <c r="CA125" s="731"/>
      <c r="CB125" s="731"/>
      <c r="CC125" s="731"/>
      <c r="CD125" s="731"/>
      <c r="CE125" s="731"/>
      <c r="CF125" s="731"/>
    </row>
    <row r="126" spans="1:84" ht="15.75" customHeight="1">
      <c r="A126" s="732"/>
      <c r="B126" s="733"/>
      <c r="C126" s="733"/>
      <c r="D126" s="733"/>
      <c r="E126" s="733"/>
      <c r="F126" s="733"/>
      <c r="G126" s="733"/>
      <c r="H126" s="733"/>
      <c r="I126" s="733"/>
      <c r="J126" s="733"/>
      <c r="K126" s="733"/>
      <c r="L126" s="733"/>
      <c r="M126" s="733"/>
      <c r="N126" s="733"/>
      <c r="O126" s="733"/>
      <c r="P126" s="733"/>
      <c r="Q126" s="733"/>
      <c r="R126" s="733"/>
      <c r="S126" s="733"/>
      <c r="T126" s="733"/>
      <c r="U126" s="733"/>
      <c r="V126" s="733"/>
      <c r="W126" s="733"/>
      <c r="X126" s="733"/>
      <c r="Y126" s="733"/>
      <c r="Z126" s="733"/>
      <c r="AA126" s="733"/>
      <c r="AB126" s="732"/>
      <c r="AC126" s="733"/>
      <c r="AD126" s="733"/>
      <c r="AE126" s="733"/>
      <c r="AF126" s="733"/>
      <c r="AG126" s="733"/>
      <c r="AH126" s="732"/>
      <c r="AI126" s="732"/>
      <c r="AJ126" s="732"/>
      <c r="AK126" s="732"/>
      <c r="AL126" s="733"/>
      <c r="AM126" s="733"/>
      <c r="AN126" s="733"/>
      <c r="AO126" s="733"/>
      <c r="AP126" s="733"/>
      <c r="AQ126" s="733"/>
      <c r="AR126" s="733"/>
      <c r="AS126" s="733"/>
      <c r="AT126" s="733"/>
      <c r="AU126" s="733"/>
      <c r="AV126" s="733"/>
      <c r="AW126" s="733"/>
      <c r="AX126" s="732"/>
      <c r="AY126" s="732"/>
      <c r="AZ126" s="732"/>
      <c r="BA126" s="732"/>
      <c r="BB126" s="732"/>
      <c r="BC126" s="732"/>
      <c r="BD126" s="732"/>
      <c r="BE126" s="732"/>
      <c r="BF126" s="732"/>
      <c r="BG126" s="791"/>
      <c r="BH126" s="732"/>
      <c r="BI126" s="732"/>
      <c r="BJ126" s="732"/>
      <c r="BK126" s="732"/>
      <c r="BL126" s="732"/>
      <c r="BW126" s="790"/>
      <c r="BX126" s="790"/>
      <c r="BY126" s="792"/>
      <c r="BZ126" s="731"/>
      <c r="CA126" s="731"/>
      <c r="CB126" s="731"/>
      <c r="CC126" s="731"/>
      <c r="CD126" s="731"/>
      <c r="CE126" s="731"/>
      <c r="CF126" s="731"/>
    </row>
    <row r="127" spans="1:84" ht="15.75" customHeight="1">
      <c r="A127" s="732"/>
      <c r="B127" s="733"/>
      <c r="C127" s="733"/>
      <c r="D127" s="733"/>
      <c r="E127" s="733"/>
      <c r="F127" s="733"/>
      <c r="G127" s="733"/>
      <c r="H127" s="733"/>
      <c r="I127" s="733"/>
      <c r="J127" s="733"/>
      <c r="K127" s="733"/>
      <c r="L127" s="733"/>
      <c r="M127" s="733"/>
      <c r="N127" s="733"/>
      <c r="O127" s="733"/>
      <c r="P127" s="733"/>
      <c r="Q127" s="733"/>
      <c r="R127" s="733"/>
      <c r="S127" s="733"/>
      <c r="T127" s="733"/>
      <c r="U127" s="733"/>
      <c r="V127" s="733"/>
      <c r="W127" s="733"/>
      <c r="X127" s="733"/>
      <c r="Y127" s="733"/>
      <c r="Z127" s="733"/>
      <c r="AA127" s="733"/>
      <c r="AB127" s="732"/>
      <c r="AC127" s="733"/>
      <c r="AD127" s="733"/>
      <c r="AE127" s="733"/>
      <c r="AF127" s="733"/>
      <c r="AG127" s="733"/>
      <c r="AH127" s="732"/>
      <c r="AI127" s="732"/>
      <c r="AJ127" s="732"/>
      <c r="AK127" s="732"/>
      <c r="AL127" s="733"/>
      <c r="AM127" s="733"/>
      <c r="AN127" s="733"/>
      <c r="AO127" s="733"/>
      <c r="AP127" s="733"/>
      <c r="AQ127" s="733"/>
      <c r="AR127" s="733"/>
      <c r="AS127" s="733"/>
      <c r="AT127" s="733"/>
      <c r="AU127" s="733"/>
      <c r="AV127" s="733"/>
      <c r="AW127" s="733"/>
      <c r="AX127" s="732"/>
      <c r="AY127" s="732"/>
      <c r="AZ127" s="732"/>
      <c r="BA127" s="732"/>
      <c r="BB127" s="732"/>
      <c r="BC127" s="732"/>
      <c r="BD127" s="732"/>
      <c r="BE127" s="732"/>
      <c r="BF127" s="732"/>
      <c r="BG127" s="791"/>
      <c r="BH127" s="732"/>
      <c r="BI127" s="732"/>
      <c r="BJ127" s="732"/>
      <c r="BK127" s="732"/>
      <c r="BL127" s="732"/>
      <c r="BW127" s="790"/>
      <c r="BX127" s="790"/>
      <c r="BY127" s="792"/>
      <c r="BZ127" s="731"/>
      <c r="CA127" s="731"/>
      <c r="CB127" s="731"/>
      <c r="CC127" s="731"/>
      <c r="CD127" s="731"/>
      <c r="CE127" s="731"/>
      <c r="CF127" s="731"/>
    </row>
    <row r="128" spans="1:84" ht="15.75" customHeight="1">
      <c r="A128" s="732"/>
      <c r="B128" s="733"/>
      <c r="C128" s="733"/>
      <c r="D128" s="733"/>
      <c r="E128" s="733"/>
      <c r="F128" s="733"/>
      <c r="G128" s="733"/>
      <c r="H128" s="733"/>
      <c r="I128" s="733"/>
      <c r="J128" s="733"/>
      <c r="K128" s="733"/>
      <c r="L128" s="733"/>
      <c r="M128" s="733"/>
      <c r="N128" s="733"/>
      <c r="O128" s="733"/>
      <c r="P128" s="733"/>
      <c r="Q128" s="733"/>
      <c r="R128" s="733"/>
      <c r="S128" s="733"/>
      <c r="T128" s="733"/>
      <c r="U128" s="733"/>
      <c r="V128" s="733"/>
      <c r="W128" s="733"/>
      <c r="X128" s="733"/>
      <c r="Y128" s="733"/>
      <c r="Z128" s="733"/>
      <c r="AA128" s="733"/>
      <c r="AB128" s="732"/>
      <c r="AC128" s="733"/>
      <c r="AD128" s="733"/>
      <c r="AE128" s="733"/>
      <c r="AF128" s="733"/>
      <c r="AG128" s="733"/>
      <c r="AH128" s="732"/>
      <c r="AI128" s="732"/>
      <c r="AJ128" s="732"/>
      <c r="AK128" s="732"/>
      <c r="AL128" s="733"/>
      <c r="AM128" s="733"/>
      <c r="AN128" s="733"/>
      <c r="AO128" s="733"/>
      <c r="AP128" s="733"/>
      <c r="AQ128" s="733"/>
      <c r="AR128" s="733"/>
      <c r="AS128" s="733"/>
      <c r="AT128" s="733"/>
      <c r="AU128" s="733"/>
      <c r="AV128" s="733"/>
      <c r="AW128" s="733"/>
      <c r="AX128" s="732"/>
      <c r="AY128" s="732"/>
      <c r="AZ128" s="732"/>
      <c r="BA128" s="732"/>
      <c r="BB128" s="732"/>
      <c r="BC128" s="732"/>
      <c r="BD128" s="732"/>
      <c r="BE128" s="732"/>
      <c r="BF128" s="732"/>
      <c r="BG128" s="791"/>
      <c r="BH128" s="732"/>
      <c r="BI128" s="732"/>
      <c r="BJ128" s="732"/>
      <c r="BK128" s="732"/>
      <c r="BL128" s="732"/>
      <c r="BW128" s="790"/>
      <c r="BX128" s="790"/>
      <c r="BY128" s="792"/>
      <c r="BZ128" s="731"/>
      <c r="CA128" s="731"/>
      <c r="CB128" s="731"/>
      <c r="CC128" s="731"/>
      <c r="CD128" s="731"/>
      <c r="CE128" s="731"/>
      <c r="CF128" s="731"/>
    </row>
    <row r="129" spans="1:84" ht="15.75" customHeight="1">
      <c r="A129" s="732"/>
      <c r="B129" s="733"/>
      <c r="C129" s="733"/>
      <c r="D129" s="733"/>
      <c r="E129" s="733"/>
      <c r="F129" s="733"/>
      <c r="G129" s="733"/>
      <c r="H129" s="733"/>
      <c r="I129" s="733"/>
      <c r="J129" s="733"/>
      <c r="K129" s="733"/>
      <c r="L129" s="733"/>
      <c r="M129" s="733"/>
      <c r="N129" s="733"/>
      <c r="O129" s="733"/>
      <c r="P129" s="733"/>
      <c r="Q129" s="733"/>
      <c r="R129" s="733"/>
      <c r="S129" s="733"/>
      <c r="T129" s="733"/>
      <c r="U129" s="733"/>
      <c r="V129" s="733"/>
      <c r="W129" s="733"/>
      <c r="X129" s="733"/>
      <c r="Y129" s="733"/>
      <c r="Z129" s="733"/>
      <c r="AA129" s="733"/>
      <c r="AB129" s="732"/>
      <c r="AC129" s="733"/>
      <c r="AD129" s="733"/>
      <c r="AE129" s="733"/>
      <c r="AF129" s="733"/>
      <c r="AG129" s="733"/>
      <c r="AH129" s="732"/>
      <c r="AI129" s="732"/>
      <c r="AJ129" s="732"/>
      <c r="AK129" s="732"/>
      <c r="AL129" s="733"/>
      <c r="AM129" s="733"/>
      <c r="AN129" s="733"/>
      <c r="AO129" s="733"/>
      <c r="AP129" s="733"/>
      <c r="AQ129" s="733"/>
      <c r="AR129" s="733"/>
      <c r="AS129" s="733"/>
      <c r="AT129" s="733"/>
      <c r="AU129" s="733"/>
      <c r="AV129" s="733"/>
      <c r="AW129" s="733"/>
      <c r="AX129" s="732"/>
      <c r="AY129" s="732"/>
      <c r="AZ129" s="732"/>
      <c r="BA129" s="732"/>
      <c r="BB129" s="732"/>
      <c r="BC129" s="732"/>
      <c r="BD129" s="732"/>
      <c r="BE129" s="732"/>
      <c r="BF129" s="732"/>
      <c r="BG129" s="791"/>
      <c r="BH129" s="732"/>
      <c r="BI129" s="732"/>
      <c r="BJ129" s="732"/>
      <c r="BK129" s="732"/>
      <c r="BL129" s="732"/>
      <c r="BW129" s="790"/>
      <c r="BX129" s="790"/>
      <c r="BY129" s="792"/>
      <c r="BZ129" s="731"/>
      <c r="CA129" s="731"/>
      <c r="CB129" s="731"/>
      <c r="CC129" s="731"/>
      <c r="CD129" s="731"/>
      <c r="CE129" s="731"/>
      <c r="CF129" s="731"/>
    </row>
    <row r="130" spans="1:84" ht="15.75" customHeight="1">
      <c r="A130" s="732"/>
      <c r="B130" s="733"/>
      <c r="C130" s="733"/>
      <c r="D130" s="733"/>
      <c r="E130" s="733"/>
      <c r="F130" s="733"/>
      <c r="G130" s="733"/>
      <c r="H130" s="733"/>
      <c r="I130" s="733"/>
      <c r="J130" s="733"/>
      <c r="K130" s="733"/>
      <c r="L130" s="733"/>
      <c r="M130" s="733"/>
      <c r="N130" s="733"/>
      <c r="O130" s="733"/>
      <c r="P130" s="733"/>
      <c r="Q130" s="733"/>
      <c r="R130" s="733"/>
      <c r="S130" s="733"/>
      <c r="T130" s="733"/>
      <c r="U130" s="733"/>
      <c r="V130" s="733"/>
      <c r="W130" s="733"/>
      <c r="X130" s="733"/>
      <c r="Y130" s="733"/>
      <c r="Z130" s="733"/>
      <c r="AA130" s="733"/>
      <c r="AB130" s="732"/>
      <c r="AC130" s="733"/>
      <c r="AD130" s="733"/>
      <c r="AE130" s="733"/>
      <c r="AF130" s="733"/>
      <c r="AG130" s="733"/>
      <c r="AH130" s="732"/>
      <c r="AI130" s="732"/>
      <c r="AJ130" s="732"/>
      <c r="AK130" s="732"/>
      <c r="AL130" s="733"/>
      <c r="AM130" s="733"/>
      <c r="AN130" s="733"/>
      <c r="AO130" s="733"/>
      <c r="AP130" s="733"/>
      <c r="AQ130" s="733"/>
      <c r="AR130" s="733"/>
      <c r="AS130" s="733"/>
      <c r="AT130" s="733"/>
      <c r="AU130" s="733"/>
      <c r="AV130" s="733"/>
      <c r="AW130" s="733"/>
      <c r="AX130" s="732"/>
      <c r="AY130" s="732"/>
      <c r="AZ130" s="732"/>
      <c r="BA130" s="732"/>
      <c r="BB130" s="732"/>
      <c r="BC130" s="732"/>
      <c r="BD130" s="732"/>
      <c r="BE130" s="732"/>
      <c r="BF130" s="732"/>
      <c r="BG130" s="791"/>
      <c r="BH130" s="732"/>
      <c r="BI130" s="732"/>
      <c r="BJ130" s="732"/>
      <c r="BK130" s="732"/>
      <c r="BL130" s="732"/>
      <c r="BW130" s="790"/>
      <c r="BX130" s="790"/>
      <c r="BY130" s="792"/>
      <c r="BZ130" s="731"/>
      <c r="CA130" s="731"/>
      <c r="CB130" s="731"/>
      <c r="CC130" s="731"/>
      <c r="CD130" s="731"/>
      <c r="CE130" s="731"/>
      <c r="CF130" s="731"/>
    </row>
    <row r="131" spans="1:84" ht="15.75" customHeight="1">
      <c r="A131" s="732"/>
      <c r="B131" s="733"/>
      <c r="C131" s="733"/>
      <c r="D131" s="733"/>
      <c r="E131" s="733"/>
      <c r="F131" s="733"/>
      <c r="G131" s="733"/>
      <c r="H131" s="733"/>
      <c r="I131" s="733"/>
      <c r="J131" s="733"/>
      <c r="K131" s="733"/>
      <c r="L131" s="733"/>
      <c r="M131" s="733"/>
      <c r="N131" s="733"/>
      <c r="O131" s="733"/>
      <c r="P131" s="733"/>
      <c r="Q131" s="733"/>
      <c r="R131" s="733"/>
      <c r="S131" s="733"/>
      <c r="T131" s="733"/>
      <c r="U131" s="733"/>
      <c r="V131" s="733"/>
      <c r="W131" s="733"/>
      <c r="X131" s="733"/>
      <c r="Y131" s="733"/>
      <c r="Z131" s="733"/>
      <c r="AA131" s="733"/>
      <c r="AB131" s="732"/>
      <c r="AC131" s="733"/>
      <c r="AD131" s="733"/>
      <c r="AE131" s="733"/>
      <c r="AF131" s="733"/>
      <c r="AG131" s="733"/>
      <c r="AH131" s="732"/>
      <c r="AI131" s="732"/>
      <c r="AJ131" s="732"/>
      <c r="AK131" s="732"/>
      <c r="AL131" s="733"/>
      <c r="AM131" s="733"/>
      <c r="AN131" s="733"/>
      <c r="AO131" s="733"/>
      <c r="AP131" s="733"/>
      <c r="AQ131" s="733"/>
      <c r="AR131" s="733"/>
      <c r="AS131" s="733"/>
      <c r="AT131" s="733"/>
      <c r="AU131" s="733"/>
      <c r="AV131" s="733"/>
      <c r="AW131" s="733"/>
      <c r="AX131" s="732"/>
      <c r="AY131" s="732"/>
      <c r="AZ131" s="732"/>
      <c r="BA131" s="732"/>
      <c r="BB131" s="732"/>
      <c r="BC131" s="732"/>
      <c r="BD131" s="732"/>
      <c r="BE131" s="732"/>
      <c r="BF131" s="732"/>
      <c r="BG131" s="791"/>
      <c r="BH131" s="732"/>
      <c r="BI131" s="732"/>
      <c r="BJ131" s="732"/>
      <c r="BK131" s="732"/>
      <c r="BL131" s="732"/>
      <c r="BW131" s="790"/>
      <c r="BX131" s="790"/>
      <c r="BY131" s="792"/>
      <c r="BZ131" s="731"/>
      <c r="CA131" s="731"/>
      <c r="CB131" s="731"/>
      <c r="CC131" s="731"/>
      <c r="CD131" s="731"/>
      <c r="CE131" s="731"/>
      <c r="CF131" s="731"/>
    </row>
    <row r="132" spans="1:84" ht="15.75" customHeight="1">
      <c r="A132" s="732"/>
      <c r="B132" s="733"/>
      <c r="C132" s="733"/>
      <c r="D132" s="733"/>
      <c r="E132" s="733"/>
      <c r="F132" s="733"/>
      <c r="G132" s="733"/>
      <c r="H132" s="733"/>
      <c r="I132" s="733"/>
      <c r="J132" s="733"/>
      <c r="K132" s="733"/>
      <c r="L132" s="733"/>
      <c r="M132" s="733"/>
      <c r="N132" s="733"/>
      <c r="O132" s="733"/>
      <c r="P132" s="733"/>
      <c r="Q132" s="733"/>
      <c r="R132" s="733"/>
      <c r="S132" s="733"/>
      <c r="T132" s="733"/>
      <c r="U132" s="733"/>
      <c r="V132" s="733"/>
      <c r="W132" s="733"/>
      <c r="X132" s="733"/>
      <c r="Y132" s="733"/>
      <c r="Z132" s="733"/>
      <c r="AA132" s="733"/>
      <c r="AB132" s="732"/>
      <c r="AC132" s="733"/>
      <c r="AD132" s="733"/>
      <c r="AE132" s="733"/>
      <c r="AF132" s="733"/>
      <c r="AG132" s="733"/>
      <c r="AH132" s="732"/>
      <c r="AI132" s="732"/>
      <c r="AJ132" s="732"/>
      <c r="AK132" s="732"/>
      <c r="AL132" s="733"/>
      <c r="AM132" s="733"/>
      <c r="AN132" s="733"/>
      <c r="AO132" s="733"/>
      <c r="AP132" s="733"/>
      <c r="AQ132" s="733"/>
      <c r="AR132" s="733"/>
      <c r="AS132" s="733"/>
      <c r="AT132" s="733"/>
      <c r="AU132" s="733"/>
      <c r="AV132" s="733"/>
      <c r="AW132" s="733"/>
      <c r="AX132" s="732"/>
      <c r="AY132" s="732"/>
      <c r="AZ132" s="732"/>
      <c r="BA132" s="732"/>
      <c r="BB132" s="732"/>
      <c r="BC132" s="732"/>
      <c r="BD132" s="732"/>
      <c r="BE132" s="732"/>
      <c r="BF132" s="732"/>
      <c r="BG132" s="791"/>
      <c r="BH132" s="732"/>
      <c r="BI132" s="732"/>
      <c r="BJ132" s="732"/>
      <c r="BK132" s="732"/>
      <c r="BL132" s="732"/>
      <c r="BW132" s="790"/>
      <c r="BX132" s="790"/>
      <c r="BY132" s="792"/>
      <c r="BZ132" s="731"/>
      <c r="CA132" s="731"/>
      <c r="CB132" s="731"/>
      <c r="CC132" s="731"/>
      <c r="CD132" s="731"/>
      <c r="CE132" s="731"/>
      <c r="CF132" s="731"/>
    </row>
    <row r="133" spans="1:84" ht="15.75" customHeight="1">
      <c r="A133" s="732"/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733"/>
      <c r="AB133" s="732"/>
      <c r="AC133" s="733"/>
      <c r="AD133" s="733"/>
      <c r="AE133" s="733"/>
      <c r="AF133" s="733"/>
      <c r="AG133" s="733"/>
      <c r="AH133" s="732"/>
      <c r="AI133" s="732"/>
      <c r="AJ133" s="732"/>
      <c r="AK133" s="732"/>
      <c r="AL133" s="733"/>
      <c r="AM133" s="733"/>
      <c r="AN133" s="733"/>
      <c r="AO133" s="733"/>
      <c r="AP133" s="733"/>
      <c r="AQ133" s="733"/>
      <c r="AR133" s="733"/>
      <c r="AS133" s="733"/>
      <c r="AT133" s="733"/>
      <c r="AU133" s="733"/>
      <c r="AV133" s="733"/>
      <c r="AW133" s="733"/>
      <c r="AX133" s="732"/>
      <c r="AY133" s="732"/>
      <c r="AZ133" s="732"/>
      <c r="BA133" s="732"/>
      <c r="BB133" s="732"/>
      <c r="BC133" s="732"/>
      <c r="BD133" s="732"/>
      <c r="BE133" s="732"/>
      <c r="BF133" s="732"/>
      <c r="BG133" s="791"/>
      <c r="BH133" s="732"/>
      <c r="BI133" s="732"/>
      <c r="BJ133" s="732"/>
      <c r="BK133" s="732"/>
      <c r="BL133" s="732"/>
      <c r="BW133" s="790"/>
      <c r="BX133" s="790"/>
      <c r="BY133" s="792"/>
      <c r="BZ133" s="731"/>
      <c r="CA133" s="731"/>
      <c r="CB133" s="731"/>
      <c r="CC133" s="731"/>
      <c r="CD133" s="731"/>
      <c r="CE133" s="731"/>
      <c r="CF133" s="731"/>
    </row>
    <row r="134" spans="1:84" ht="15.75" customHeight="1">
      <c r="A134" s="732"/>
      <c r="B134" s="733"/>
      <c r="C134" s="733"/>
      <c r="D134" s="733"/>
      <c r="E134" s="733"/>
      <c r="F134" s="733"/>
      <c r="G134" s="733"/>
      <c r="H134" s="733"/>
      <c r="I134" s="733"/>
      <c r="J134" s="733"/>
      <c r="K134" s="733"/>
      <c r="L134" s="733"/>
      <c r="M134" s="733"/>
      <c r="N134" s="733"/>
      <c r="O134" s="733"/>
      <c r="P134" s="733"/>
      <c r="Q134" s="733"/>
      <c r="R134" s="733"/>
      <c r="S134" s="733"/>
      <c r="T134" s="733"/>
      <c r="U134" s="733"/>
      <c r="V134" s="733"/>
      <c r="W134" s="733"/>
      <c r="X134" s="733"/>
      <c r="Y134" s="733"/>
      <c r="Z134" s="733"/>
      <c r="AA134" s="733"/>
      <c r="AB134" s="732"/>
      <c r="AC134" s="733"/>
      <c r="AD134" s="733"/>
      <c r="AE134" s="733"/>
      <c r="AF134" s="733"/>
      <c r="AG134" s="733"/>
      <c r="AH134" s="732"/>
      <c r="AI134" s="732"/>
      <c r="AJ134" s="732"/>
      <c r="AK134" s="732"/>
      <c r="AL134" s="733"/>
      <c r="AM134" s="733"/>
      <c r="AN134" s="733"/>
      <c r="AO134" s="733"/>
      <c r="AP134" s="733"/>
      <c r="AQ134" s="733"/>
      <c r="AR134" s="733"/>
      <c r="AS134" s="733"/>
      <c r="AT134" s="733"/>
      <c r="AU134" s="733"/>
      <c r="AV134" s="733"/>
      <c r="AW134" s="733"/>
      <c r="AX134" s="732"/>
      <c r="AY134" s="732"/>
      <c r="AZ134" s="732"/>
      <c r="BA134" s="732"/>
      <c r="BB134" s="732"/>
      <c r="BC134" s="732"/>
      <c r="BD134" s="732"/>
      <c r="BE134" s="732"/>
      <c r="BF134" s="732"/>
      <c r="BG134" s="791"/>
      <c r="BH134" s="732"/>
      <c r="BI134" s="732"/>
      <c r="BJ134" s="732"/>
      <c r="BK134" s="732"/>
      <c r="BL134" s="732"/>
      <c r="BW134" s="790"/>
      <c r="BX134" s="790"/>
      <c r="BY134" s="792"/>
      <c r="BZ134" s="731"/>
      <c r="CA134" s="731"/>
      <c r="CB134" s="731"/>
      <c r="CC134" s="731"/>
      <c r="CD134" s="731"/>
      <c r="CE134" s="731"/>
      <c r="CF134" s="731"/>
    </row>
    <row r="135" spans="1:84" ht="15.75" customHeight="1">
      <c r="A135" s="732"/>
      <c r="B135" s="733"/>
      <c r="C135" s="733"/>
      <c r="D135" s="733"/>
      <c r="E135" s="733"/>
      <c r="F135" s="733"/>
      <c r="G135" s="733"/>
      <c r="H135" s="733"/>
      <c r="I135" s="733"/>
      <c r="J135" s="733"/>
      <c r="K135" s="733"/>
      <c r="L135" s="733"/>
      <c r="M135" s="733"/>
      <c r="N135" s="733"/>
      <c r="O135" s="733"/>
      <c r="P135" s="733"/>
      <c r="Q135" s="733"/>
      <c r="R135" s="733"/>
      <c r="S135" s="733"/>
      <c r="T135" s="733"/>
      <c r="U135" s="733"/>
      <c r="V135" s="733"/>
      <c r="W135" s="733"/>
      <c r="X135" s="733"/>
      <c r="Y135" s="733"/>
      <c r="Z135" s="733"/>
      <c r="AA135" s="733"/>
      <c r="AB135" s="732"/>
      <c r="AC135" s="733"/>
      <c r="AD135" s="733"/>
      <c r="AE135" s="733"/>
      <c r="AF135" s="733"/>
      <c r="AG135" s="733"/>
      <c r="AH135" s="732"/>
      <c r="AI135" s="732"/>
      <c r="AJ135" s="732"/>
      <c r="AK135" s="732"/>
      <c r="AL135" s="733"/>
      <c r="AM135" s="733"/>
      <c r="AN135" s="733"/>
      <c r="AO135" s="733"/>
      <c r="AP135" s="733"/>
      <c r="AQ135" s="733"/>
      <c r="AR135" s="733"/>
      <c r="AS135" s="733"/>
      <c r="AT135" s="733"/>
      <c r="AU135" s="733"/>
      <c r="AV135" s="733"/>
      <c r="AW135" s="733"/>
      <c r="AX135" s="732"/>
      <c r="AY135" s="732"/>
      <c r="AZ135" s="732"/>
      <c r="BA135" s="732"/>
      <c r="BB135" s="732"/>
      <c r="BC135" s="732"/>
      <c r="BD135" s="732"/>
      <c r="BE135" s="732"/>
      <c r="BF135" s="732"/>
      <c r="BG135" s="791"/>
      <c r="BH135" s="732"/>
      <c r="BI135" s="732"/>
      <c r="BJ135" s="732"/>
      <c r="BK135" s="732"/>
      <c r="BL135" s="732"/>
      <c r="BW135" s="790"/>
      <c r="BX135" s="790"/>
      <c r="BY135" s="792"/>
      <c r="BZ135" s="731"/>
      <c r="CA135" s="731"/>
      <c r="CB135" s="731"/>
      <c r="CC135" s="731"/>
      <c r="CD135" s="731"/>
      <c r="CE135" s="731"/>
      <c r="CF135" s="731"/>
    </row>
    <row r="136" spans="1:84" ht="15.75" customHeight="1">
      <c r="A136" s="732"/>
      <c r="B136" s="733"/>
      <c r="C136" s="733"/>
      <c r="D136" s="733"/>
      <c r="E136" s="733"/>
      <c r="F136" s="733"/>
      <c r="G136" s="733"/>
      <c r="H136" s="733"/>
      <c r="I136" s="733"/>
      <c r="J136" s="733"/>
      <c r="K136" s="733"/>
      <c r="L136" s="733"/>
      <c r="M136" s="733"/>
      <c r="N136" s="733"/>
      <c r="O136" s="733"/>
      <c r="P136" s="733"/>
      <c r="Q136" s="733"/>
      <c r="R136" s="733"/>
      <c r="S136" s="733"/>
      <c r="T136" s="733"/>
      <c r="U136" s="733"/>
      <c r="V136" s="733"/>
      <c r="W136" s="733"/>
      <c r="X136" s="733"/>
      <c r="Y136" s="733"/>
      <c r="Z136" s="733"/>
      <c r="AA136" s="733"/>
      <c r="AB136" s="732"/>
      <c r="AC136" s="733"/>
      <c r="AD136" s="733"/>
      <c r="AE136" s="733"/>
      <c r="AF136" s="733"/>
      <c r="AG136" s="733"/>
      <c r="AH136" s="732"/>
      <c r="AI136" s="732"/>
      <c r="AJ136" s="732"/>
      <c r="AK136" s="732"/>
      <c r="AL136" s="733"/>
      <c r="AM136" s="733"/>
      <c r="AN136" s="733"/>
      <c r="AO136" s="733"/>
      <c r="AP136" s="733"/>
      <c r="AQ136" s="733"/>
      <c r="AR136" s="733"/>
      <c r="AS136" s="733"/>
      <c r="AT136" s="733"/>
      <c r="AU136" s="733"/>
      <c r="AV136" s="733"/>
      <c r="AW136" s="733"/>
      <c r="AX136" s="732"/>
      <c r="AY136" s="732"/>
      <c r="AZ136" s="732"/>
      <c r="BA136" s="732"/>
      <c r="BB136" s="732"/>
      <c r="BC136" s="732"/>
      <c r="BD136" s="732"/>
      <c r="BE136" s="732"/>
      <c r="BF136" s="732"/>
      <c r="BG136" s="791"/>
      <c r="BH136" s="732"/>
      <c r="BI136" s="732"/>
      <c r="BJ136" s="732"/>
      <c r="BK136" s="732"/>
      <c r="BL136" s="732"/>
      <c r="BW136" s="790"/>
      <c r="BX136" s="790"/>
      <c r="BY136" s="792"/>
      <c r="BZ136" s="731"/>
      <c r="CA136" s="731"/>
      <c r="CB136" s="731"/>
      <c r="CC136" s="731"/>
      <c r="CD136" s="731"/>
      <c r="CE136" s="731"/>
      <c r="CF136" s="731"/>
    </row>
    <row r="137" spans="1:84" ht="15.75" customHeight="1">
      <c r="A137" s="732"/>
      <c r="B137" s="733"/>
      <c r="C137" s="733"/>
      <c r="D137" s="733"/>
      <c r="E137" s="733"/>
      <c r="F137" s="733"/>
      <c r="G137" s="733"/>
      <c r="H137" s="733"/>
      <c r="I137" s="733"/>
      <c r="J137" s="733"/>
      <c r="K137" s="733"/>
      <c r="L137" s="733"/>
      <c r="M137" s="733"/>
      <c r="N137" s="733"/>
      <c r="O137" s="733"/>
      <c r="P137" s="733"/>
      <c r="Q137" s="733"/>
      <c r="R137" s="733"/>
      <c r="S137" s="733"/>
      <c r="T137" s="733"/>
      <c r="U137" s="733"/>
      <c r="V137" s="733"/>
      <c r="W137" s="733"/>
      <c r="X137" s="733"/>
      <c r="Y137" s="733"/>
      <c r="Z137" s="733"/>
      <c r="AA137" s="733"/>
      <c r="AB137" s="732"/>
      <c r="AC137" s="733"/>
      <c r="AD137" s="733"/>
      <c r="AE137" s="733"/>
      <c r="AF137" s="733"/>
      <c r="AG137" s="733"/>
      <c r="AH137" s="732"/>
      <c r="AI137" s="732"/>
      <c r="AJ137" s="732"/>
      <c r="AK137" s="732"/>
      <c r="AL137" s="733"/>
      <c r="AM137" s="733"/>
      <c r="AN137" s="733"/>
      <c r="AO137" s="733"/>
      <c r="AP137" s="733"/>
      <c r="AQ137" s="733"/>
      <c r="AR137" s="733"/>
      <c r="AS137" s="733"/>
      <c r="AT137" s="733"/>
      <c r="AU137" s="733"/>
      <c r="AV137" s="733"/>
      <c r="AW137" s="733"/>
      <c r="AX137" s="732"/>
      <c r="AY137" s="732"/>
      <c r="AZ137" s="732"/>
      <c r="BA137" s="732"/>
      <c r="BB137" s="732"/>
      <c r="BC137" s="732"/>
      <c r="BD137" s="732"/>
      <c r="BE137" s="732"/>
      <c r="BF137" s="732"/>
      <c r="BG137" s="791"/>
      <c r="BH137" s="732"/>
      <c r="BI137" s="732"/>
      <c r="BJ137" s="732"/>
      <c r="BK137" s="732"/>
      <c r="BL137" s="732"/>
      <c r="BW137" s="790"/>
      <c r="BX137" s="790"/>
      <c r="BY137" s="792"/>
      <c r="BZ137" s="731"/>
      <c r="CA137" s="731"/>
      <c r="CB137" s="731"/>
      <c r="CC137" s="731"/>
      <c r="CD137" s="731"/>
      <c r="CE137" s="731"/>
      <c r="CF137" s="731"/>
    </row>
    <row r="138" spans="1:84" ht="15.75" customHeight="1">
      <c r="A138" s="732"/>
      <c r="B138" s="733"/>
      <c r="C138" s="733"/>
      <c r="D138" s="733"/>
      <c r="E138" s="733"/>
      <c r="F138" s="733"/>
      <c r="G138" s="733"/>
      <c r="H138" s="733"/>
      <c r="I138" s="733"/>
      <c r="J138" s="733"/>
      <c r="K138" s="733"/>
      <c r="L138" s="733"/>
      <c r="M138" s="733"/>
      <c r="N138" s="733"/>
      <c r="O138" s="733"/>
      <c r="P138" s="733"/>
      <c r="Q138" s="733"/>
      <c r="R138" s="733"/>
      <c r="S138" s="733"/>
      <c r="T138" s="733"/>
      <c r="U138" s="733"/>
      <c r="V138" s="733"/>
      <c r="W138" s="733"/>
      <c r="X138" s="733"/>
      <c r="Y138" s="733"/>
      <c r="Z138" s="733"/>
      <c r="AA138" s="733"/>
      <c r="AB138" s="732"/>
      <c r="AC138" s="733"/>
      <c r="AD138" s="733"/>
      <c r="AE138" s="733"/>
      <c r="AF138" s="733"/>
      <c r="AG138" s="733"/>
      <c r="AH138" s="732"/>
      <c r="AI138" s="732"/>
      <c r="AJ138" s="732"/>
      <c r="AK138" s="732"/>
      <c r="AL138" s="733"/>
      <c r="AM138" s="733"/>
      <c r="AN138" s="733"/>
      <c r="AO138" s="733"/>
      <c r="AP138" s="733"/>
      <c r="AQ138" s="733"/>
      <c r="AR138" s="733"/>
      <c r="AS138" s="733"/>
      <c r="AT138" s="733"/>
      <c r="AU138" s="733"/>
      <c r="AV138" s="733"/>
      <c r="AW138" s="733"/>
      <c r="AX138" s="732"/>
      <c r="AY138" s="732"/>
      <c r="AZ138" s="732"/>
      <c r="BA138" s="732"/>
      <c r="BB138" s="732"/>
      <c r="BC138" s="732"/>
      <c r="BD138" s="732"/>
      <c r="BE138" s="732"/>
      <c r="BF138" s="732"/>
      <c r="BG138" s="791"/>
      <c r="BH138" s="732"/>
      <c r="BI138" s="732"/>
      <c r="BJ138" s="732"/>
      <c r="BK138" s="732"/>
      <c r="BL138" s="732"/>
      <c r="BW138" s="790"/>
      <c r="BX138" s="790"/>
      <c r="BY138" s="792"/>
      <c r="BZ138" s="731"/>
      <c r="CA138" s="731"/>
      <c r="CB138" s="731"/>
      <c r="CC138" s="731"/>
      <c r="CD138" s="731"/>
      <c r="CE138" s="731"/>
      <c r="CF138" s="731"/>
    </row>
    <row r="139" spans="1:84" ht="15.75" customHeight="1">
      <c r="A139" s="732"/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733"/>
      <c r="AB139" s="732"/>
      <c r="AC139" s="733"/>
      <c r="AD139" s="733"/>
      <c r="AE139" s="733"/>
      <c r="AF139" s="733"/>
      <c r="AG139" s="733"/>
      <c r="AH139" s="732"/>
      <c r="AI139" s="732"/>
      <c r="AJ139" s="732"/>
      <c r="AK139" s="732"/>
      <c r="AL139" s="733"/>
      <c r="AM139" s="733"/>
      <c r="AN139" s="733"/>
      <c r="AO139" s="733"/>
      <c r="AP139" s="733"/>
      <c r="AQ139" s="733"/>
      <c r="AR139" s="733"/>
      <c r="AS139" s="733"/>
      <c r="AT139" s="733"/>
      <c r="AU139" s="733"/>
      <c r="AV139" s="733"/>
      <c r="AW139" s="733"/>
      <c r="AX139" s="732"/>
      <c r="AY139" s="732"/>
      <c r="AZ139" s="732"/>
      <c r="BA139" s="732"/>
      <c r="BB139" s="732"/>
      <c r="BC139" s="732"/>
      <c r="BD139" s="732"/>
      <c r="BE139" s="732"/>
      <c r="BF139" s="732"/>
      <c r="BG139" s="791"/>
      <c r="BH139" s="732"/>
      <c r="BI139" s="732"/>
      <c r="BJ139" s="732"/>
      <c r="BK139" s="732"/>
      <c r="BL139" s="732"/>
      <c r="BW139" s="790"/>
      <c r="BX139" s="790"/>
      <c r="BY139" s="792"/>
      <c r="BZ139" s="731"/>
      <c r="CA139" s="731"/>
      <c r="CB139" s="731"/>
      <c r="CC139" s="731"/>
      <c r="CD139" s="731"/>
      <c r="CE139" s="731"/>
      <c r="CF139" s="731"/>
    </row>
    <row r="140" spans="1:84" ht="15.75" customHeight="1">
      <c r="A140" s="732"/>
      <c r="B140" s="733"/>
      <c r="C140" s="733"/>
      <c r="D140" s="733"/>
      <c r="E140" s="733"/>
      <c r="F140" s="733"/>
      <c r="G140" s="733"/>
      <c r="H140" s="733"/>
      <c r="I140" s="733"/>
      <c r="J140" s="733"/>
      <c r="K140" s="733"/>
      <c r="L140" s="733"/>
      <c r="M140" s="733"/>
      <c r="N140" s="733"/>
      <c r="O140" s="733"/>
      <c r="P140" s="733"/>
      <c r="Q140" s="733"/>
      <c r="R140" s="733"/>
      <c r="S140" s="733"/>
      <c r="T140" s="733"/>
      <c r="U140" s="733"/>
      <c r="V140" s="733"/>
      <c r="W140" s="733"/>
      <c r="X140" s="733"/>
      <c r="Y140" s="733"/>
      <c r="Z140" s="733"/>
      <c r="AA140" s="733"/>
      <c r="AB140" s="732"/>
      <c r="AC140" s="733"/>
      <c r="AD140" s="733"/>
      <c r="AE140" s="733"/>
      <c r="AF140" s="733"/>
      <c r="AG140" s="733"/>
      <c r="AH140" s="732"/>
      <c r="AI140" s="732"/>
      <c r="AJ140" s="732"/>
      <c r="AK140" s="732"/>
      <c r="AL140" s="733"/>
      <c r="AM140" s="733"/>
      <c r="AN140" s="733"/>
      <c r="AO140" s="733"/>
      <c r="AP140" s="733"/>
      <c r="AQ140" s="733"/>
      <c r="AR140" s="733"/>
      <c r="AS140" s="733"/>
      <c r="AT140" s="733"/>
      <c r="AU140" s="733"/>
      <c r="AV140" s="733"/>
      <c r="AW140" s="733"/>
      <c r="AX140" s="732"/>
      <c r="AY140" s="732"/>
      <c r="AZ140" s="732"/>
      <c r="BA140" s="732"/>
      <c r="BB140" s="732"/>
      <c r="BC140" s="732"/>
      <c r="BD140" s="732"/>
      <c r="BE140" s="732"/>
      <c r="BF140" s="732"/>
      <c r="BG140" s="791"/>
      <c r="BH140" s="732"/>
      <c r="BI140" s="732"/>
      <c r="BJ140" s="732"/>
      <c r="BK140" s="732"/>
      <c r="BL140" s="732"/>
      <c r="BW140" s="790"/>
      <c r="BX140" s="790"/>
      <c r="BY140" s="792"/>
      <c r="BZ140" s="731"/>
      <c r="CA140" s="731"/>
      <c r="CB140" s="731"/>
      <c r="CC140" s="731"/>
      <c r="CD140" s="731"/>
      <c r="CE140" s="731"/>
      <c r="CF140" s="731"/>
    </row>
    <row r="141" spans="1:84" ht="15.75" customHeight="1">
      <c r="A141" s="732"/>
      <c r="B141" s="733"/>
      <c r="C141" s="733"/>
      <c r="D141" s="733"/>
      <c r="E141" s="733"/>
      <c r="F141" s="733"/>
      <c r="G141" s="733"/>
      <c r="H141" s="733"/>
      <c r="I141" s="733"/>
      <c r="J141" s="733"/>
      <c r="K141" s="733"/>
      <c r="L141" s="733"/>
      <c r="M141" s="733"/>
      <c r="N141" s="733"/>
      <c r="O141" s="733"/>
      <c r="P141" s="733"/>
      <c r="Q141" s="733"/>
      <c r="R141" s="733"/>
      <c r="S141" s="733"/>
      <c r="T141" s="733"/>
      <c r="U141" s="733"/>
      <c r="V141" s="733"/>
      <c r="W141" s="733"/>
      <c r="X141" s="733"/>
      <c r="Y141" s="733"/>
      <c r="Z141" s="733"/>
      <c r="AA141" s="733"/>
      <c r="AB141" s="732"/>
      <c r="AC141" s="733"/>
      <c r="AD141" s="733"/>
      <c r="AE141" s="733"/>
      <c r="AF141" s="733"/>
      <c r="AG141" s="733"/>
      <c r="AH141" s="732"/>
      <c r="AI141" s="732"/>
      <c r="AJ141" s="732"/>
      <c r="AK141" s="732"/>
      <c r="AL141" s="733"/>
      <c r="AM141" s="733"/>
      <c r="AN141" s="733"/>
      <c r="AO141" s="733"/>
      <c r="AP141" s="733"/>
      <c r="AQ141" s="733"/>
      <c r="AR141" s="733"/>
      <c r="AS141" s="733"/>
      <c r="AT141" s="733"/>
      <c r="AU141" s="733"/>
      <c r="AV141" s="733"/>
      <c r="AW141" s="733"/>
      <c r="AX141" s="732"/>
      <c r="AY141" s="732"/>
      <c r="AZ141" s="732"/>
      <c r="BA141" s="732"/>
      <c r="BB141" s="732"/>
      <c r="BC141" s="732"/>
      <c r="BD141" s="732"/>
      <c r="BE141" s="732"/>
      <c r="BF141" s="732"/>
      <c r="BG141" s="791"/>
      <c r="BH141" s="732"/>
      <c r="BI141" s="732"/>
      <c r="BJ141" s="732"/>
      <c r="BK141" s="732"/>
      <c r="BL141" s="732"/>
      <c r="BW141" s="790"/>
      <c r="BX141" s="790"/>
      <c r="BY141" s="792"/>
      <c r="BZ141" s="731"/>
      <c r="CA141" s="731"/>
      <c r="CB141" s="731"/>
      <c r="CC141" s="731"/>
      <c r="CD141" s="731"/>
      <c r="CE141" s="731"/>
      <c r="CF141" s="731"/>
    </row>
    <row r="142" spans="1:84" ht="15.75" customHeight="1">
      <c r="A142" s="732"/>
      <c r="B142" s="733"/>
      <c r="C142" s="733"/>
      <c r="D142" s="733"/>
      <c r="E142" s="733"/>
      <c r="F142" s="733"/>
      <c r="G142" s="733"/>
      <c r="H142" s="733"/>
      <c r="I142" s="733"/>
      <c r="J142" s="733"/>
      <c r="K142" s="733"/>
      <c r="L142" s="733"/>
      <c r="M142" s="733"/>
      <c r="N142" s="733"/>
      <c r="O142" s="733"/>
      <c r="P142" s="733"/>
      <c r="Q142" s="733"/>
      <c r="R142" s="733"/>
      <c r="S142" s="733"/>
      <c r="T142" s="733"/>
      <c r="U142" s="733"/>
      <c r="V142" s="733"/>
      <c r="W142" s="733"/>
      <c r="X142" s="733"/>
      <c r="Y142" s="733"/>
      <c r="Z142" s="733"/>
      <c r="AA142" s="733"/>
      <c r="AB142" s="732"/>
      <c r="AC142" s="733"/>
      <c r="AD142" s="733"/>
      <c r="AE142" s="733"/>
      <c r="AF142" s="733"/>
      <c r="AG142" s="733"/>
      <c r="AH142" s="732"/>
      <c r="AI142" s="732"/>
      <c r="AJ142" s="732"/>
      <c r="AK142" s="732"/>
      <c r="AL142" s="733"/>
      <c r="AM142" s="733"/>
      <c r="AN142" s="733"/>
      <c r="AO142" s="733"/>
      <c r="AP142" s="733"/>
      <c r="AQ142" s="733"/>
      <c r="AR142" s="733"/>
      <c r="AS142" s="733"/>
      <c r="AT142" s="733"/>
      <c r="AU142" s="733"/>
      <c r="AV142" s="733"/>
      <c r="AW142" s="733"/>
      <c r="AX142" s="732"/>
      <c r="AY142" s="732"/>
      <c r="AZ142" s="732"/>
      <c r="BA142" s="732"/>
      <c r="BB142" s="732"/>
      <c r="BC142" s="732"/>
      <c r="BD142" s="732"/>
      <c r="BE142" s="732"/>
      <c r="BF142" s="732"/>
      <c r="BG142" s="791"/>
      <c r="BH142" s="732"/>
      <c r="BI142" s="732"/>
      <c r="BJ142" s="732"/>
      <c r="BK142" s="732"/>
      <c r="BL142" s="732"/>
      <c r="BW142" s="790"/>
      <c r="BX142" s="790"/>
      <c r="BY142" s="792"/>
      <c r="BZ142" s="731"/>
      <c r="CA142" s="731"/>
      <c r="CB142" s="731"/>
      <c r="CC142" s="731"/>
      <c r="CD142" s="731"/>
      <c r="CE142" s="731"/>
      <c r="CF142" s="731"/>
    </row>
    <row r="143" spans="1:84" ht="15.75" customHeight="1">
      <c r="A143" s="732"/>
      <c r="B143" s="733"/>
      <c r="C143" s="733"/>
      <c r="D143" s="733"/>
      <c r="E143" s="733"/>
      <c r="F143" s="733"/>
      <c r="G143" s="733"/>
      <c r="H143" s="733"/>
      <c r="I143" s="733"/>
      <c r="J143" s="733"/>
      <c r="K143" s="733"/>
      <c r="L143" s="733"/>
      <c r="M143" s="733"/>
      <c r="N143" s="733"/>
      <c r="O143" s="733"/>
      <c r="P143" s="733"/>
      <c r="Q143" s="733"/>
      <c r="R143" s="733"/>
      <c r="S143" s="733"/>
      <c r="T143" s="733"/>
      <c r="U143" s="733"/>
      <c r="V143" s="733"/>
      <c r="W143" s="733"/>
      <c r="X143" s="733"/>
      <c r="Y143" s="733"/>
      <c r="Z143" s="733"/>
      <c r="AA143" s="733"/>
      <c r="AB143" s="732"/>
      <c r="AC143" s="733"/>
      <c r="AD143" s="733"/>
      <c r="AE143" s="733"/>
      <c r="AF143" s="733"/>
      <c r="AG143" s="733"/>
      <c r="AH143" s="732"/>
      <c r="AI143" s="732"/>
      <c r="AJ143" s="732"/>
      <c r="AK143" s="732"/>
      <c r="AL143" s="733"/>
      <c r="AM143" s="733"/>
      <c r="AN143" s="733"/>
      <c r="AO143" s="733"/>
      <c r="AP143" s="733"/>
      <c r="AQ143" s="733"/>
      <c r="AR143" s="733"/>
      <c r="AS143" s="733"/>
      <c r="AT143" s="733"/>
      <c r="AU143" s="733"/>
      <c r="AV143" s="733"/>
      <c r="AW143" s="733"/>
      <c r="AX143" s="732"/>
      <c r="AY143" s="732"/>
      <c r="AZ143" s="732"/>
      <c r="BA143" s="732"/>
      <c r="BB143" s="732"/>
      <c r="BC143" s="732"/>
      <c r="BD143" s="732"/>
      <c r="BE143" s="732"/>
      <c r="BF143" s="732"/>
      <c r="BG143" s="791"/>
      <c r="BH143" s="732"/>
      <c r="BI143" s="732"/>
      <c r="BJ143" s="732"/>
      <c r="BK143" s="732"/>
      <c r="BL143" s="732"/>
      <c r="BW143" s="790"/>
      <c r="BX143" s="790"/>
      <c r="BY143" s="792"/>
      <c r="BZ143" s="731"/>
      <c r="CA143" s="731"/>
      <c r="CB143" s="731"/>
      <c r="CC143" s="731"/>
      <c r="CD143" s="731"/>
      <c r="CE143" s="731"/>
      <c r="CF143" s="731"/>
    </row>
    <row r="144" spans="1:84" ht="15.75" customHeight="1">
      <c r="A144" s="732"/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733"/>
      <c r="AB144" s="732"/>
      <c r="AC144" s="733"/>
      <c r="AD144" s="733"/>
      <c r="AE144" s="733"/>
      <c r="AF144" s="733"/>
      <c r="AG144" s="733"/>
      <c r="AH144" s="732"/>
      <c r="AI144" s="732"/>
      <c r="AJ144" s="732"/>
      <c r="AK144" s="732"/>
      <c r="AL144" s="733"/>
      <c r="AM144" s="733"/>
      <c r="AN144" s="733"/>
      <c r="AO144" s="733"/>
      <c r="AP144" s="733"/>
      <c r="AQ144" s="733"/>
      <c r="AR144" s="733"/>
      <c r="AS144" s="733"/>
      <c r="AT144" s="733"/>
      <c r="AU144" s="733"/>
      <c r="AV144" s="733"/>
      <c r="AW144" s="733"/>
      <c r="AX144" s="732"/>
      <c r="AY144" s="732"/>
      <c r="AZ144" s="732"/>
      <c r="BA144" s="732"/>
      <c r="BB144" s="732"/>
      <c r="BC144" s="732"/>
      <c r="BD144" s="732"/>
      <c r="BE144" s="732"/>
      <c r="BF144" s="732"/>
      <c r="BG144" s="791"/>
      <c r="BH144" s="732"/>
      <c r="BI144" s="732"/>
      <c r="BJ144" s="732"/>
      <c r="BK144" s="732"/>
      <c r="BL144" s="732"/>
      <c r="BW144" s="790"/>
      <c r="BX144" s="790"/>
      <c r="BY144" s="792"/>
      <c r="BZ144" s="731"/>
      <c r="CA144" s="731"/>
      <c r="CB144" s="731"/>
      <c r="CC144" s="731"/>
      <c r="CD144" s="731"/>
      <c r="CE144" s="731"/>
      <c r="CF144" s="731"/>
    </row>
    <row r="145" spans="1:84" ht="15.75" customHeight="1">
      <c r="A145" s="732"/>
      <c r="B145" s="733"/>
      <c r="C145" s="733"/>
      <c r="D145" s="733"/>
      <c r="E145" s="733"/>
      <c r="F145" s="733"/>
      <c r="G145" s="733"/>
      <c r="H145" s="733"/>
      <c r="I145" s="733"/>
      <c r="J145" s="733"/>
      <c r="K145" s="733"/>
      <c r="L145" s="733"/>
      <c r="M145" s="733"/>
      <c r="N145" s="733"/>
      <c r="O145" s="733"/>
      <c r="P145" s="733"/>
      <c r="Q145" s="733"/>
      <c r="R145" s="733"/>
      <c r="S145" s="733"/>
      <c r="T145" s="733"/>
      <c r="U145" s="733"/>
      <c r="V145" s="733"/>
      <c r="W145" s="733"/>
      <c r="X145" s="733"/>
      <c r="Y145" s="733"/>
      <c r="Z145" s="733"/>
      <c r="AA145" s="733"/>
      <c r="AB145" s="732"/>
      <c r="AC145" s="733"/>
      <c r="AD145" s="733"/>
      <c r="AE145" s="733"/>
      <c r="AF145" s="733"/>
      <c r="AG145" s="733"/>
      <c r="AH145" s="732"/>
      <c r="AI145" s="732"/>
      <c r="AJ145" s="732"/>
      <c r="AK145" s="732"/>
      <c r="AL145" s="733"/>
      <c r="AM145" s="733"/>
      <c r="AN145" s="733"/>
      <c r="AO145" s="733"/>
      <c r="AP145" s="733"/>
      <c r="AQ145" s="733"/>
      <c r="AR145" s="733"/>
      <c r="AS145" s="733"/>
      <c r="AT145" s="733"/>
      <c r="AU145" s="733"/>
      <c r="AV145" s="733"/>
      <c r="AW145" s="733"/>
      <c r="AX145" s="732"/>
      <c r="AY145" s="732"/>
      <c r="AZ145" s="732"/>
      <c r="BA145" s="732"/>
      <c r="BB145" s="732"/>
      <c r="BC145" s="732"/>
      <c r="BD145" s="732"/>
      <c r="BE145" s="732"/>
      <c r="BF145" s="732"/>
      <c r="BG145" s="791"/>
      <c r="BH145" s="732"/>
      <c r="BI145" s="732"/>
      <c r="BJ145" s="732"/>
      <c r="BK145" s="732"/>
      <c r="BL145" s="732"/>
      <c r="BW145" s="790"/>
      <c r="BX145" s="790"/>
      <c r="BY145" s="792"/>
      <c r="BZ145" s="731"/>
      <c r="CA145" s="731"/>
      <c r="CB145" s="731"/>
      <c r="CC145" s="731"/>
      <c r="CD145" s="731"/>
      <c r="CE145" s="731"/>
      <c r="CF145" s="731"/>
    </row>
    <row r="146" spans="1:84" ht="15.75" customHeight="1">
      <c r="A146" s="732"/>
      <c r="B146" s="733"/>
      <c r="C146" s="733"/>
      <c r="D146" s="733"/>
      <c r="E146" s="733"/>
      <c r="F146" s="733"/>
      <c r="G146" s="733"/>
      <c r="H146" s="733"/>
      <c r="I146" s="733"/>
      <c r="J146" s="733"/>
      <c r="K146" s="733"/>
      <c r="L146" s="733"/>
      <c r="M146" s="733"/>
      <c r="N146" s="733"/>
      <c r="O146" s="733"/>
      <c r="P146" s="733"/>
      <c r="Q146" s="733"/>
      <c r="R146" s="733"/>
      <c r="S146" s="733"/>
      <c r="T146" s="733"/>
      <c r="U146" s="733"/>
      <c r="V146" s="733"/>
      <c r="W146" s="733"/>
      <c r="X146" s="733"/>
      <c r="Y146" s="733"/>
      <c r="Z146" s="733"/>
      <c r="AA146" s="733"/>
      <c r="AB146" s="732"/>
      <c r="AC146" s="733"/>
      <c r="AD146" s="733"/>
      <c r="AE146" s="733"/>
      <c r="AF146" s="733"/>
      <c r="AG146" s="733"/>
      <c r="AH146" s="732"/>
      <c r="AI146" s="732"/>
      <c r="AJ146" s="732"/>
      <c r="AK146" s="732"/>
      <c r="AL146" s="733"/>
      <c r="AM146" s="733"/>
      <c r="AN146" s="733"/>
      <c r="AO146" s="733"/>
      <c r="AP146" s="733"/>
      <c r="AQ146" s="733"/>
      <c r="AR146" s="733"/>
      <c r="AS146" s="733"/>
      <c r="AT146" s="733"/>
      <c r="AU146" s="733"/>
      <c r="AV146" s="733"/>
      <c r="AW146" s="733"/>
      <c r="AX146" s="732"/>
      <c r="AY146" s="732"/>
      <c r="AZ146" s="732"/>
      <c r="BA146" s="732"/>
      <c r="BB146" s="732"/>
      <c r="BC146" s="732"/>
      <c r="BD146" s="732"/>
      <c r="BE146" s="732"/>
      <c r="BF146" s="732"/>
      <c r="BG146" s="791"/>
      <c r="BH146" s="732"/>
      <c r="BI146" s="732"/>
      <c r="BJ146" s="732"/>
      <c r="BK146" s="732"/>
      <c r="BL146" s="732"/>
      <c r="BW146" s="790"/>
      <c r="BX146" s="790"/>
      <c r="BY146" s="792"/>
      <c r="BZ146" s="731"/>
      <c r="CA146" s="731"/>
      <c r="CB146" s="731"/>
      <c r="CC146" s="731"/>
      <c r="CD146" s="731"/>
      <c r="CE146" s="731"/>
      <c r="CF146" s="731"/>
    </row>
    <row r="147" spans="1:84" ht="15.75" customHeight="1">
      <c r="A147" s="732"/>
      <c r="B147" s="733"/>
      <c r="C147" s="733"/>
      <c r="D147" s="733"/>
      <c r="E147" s="733"/>
      <c r="F147" s="733"/>
      <c r="G147" s="733"/>
      <c r="H147" s="733"/>
      <c r="I147" s="733"/>
      <c r="J147" s="733"/>
      <c r="K147" s="733"/>
      <c r="L147" s="733"/>
      <c r="M147" s="733"/>
      <c r="N147" s="733"/>
      <c r="O147" s="733"/>
      <c r="P147" s="733"/>
      <c r="Q147" s="733"/>
      <c r="R147" s="733"/>
      <c r="S147" s="733"/>
      <c r="T147" s="733"/>
      <c r="U147" s="733"/>
      <c r="V147" s="733"/>
      <c r="W147" s="733"/>
      <c r="X147" s="733"/>
      <c r="Y147" s="733"/>
      <c r="Z147" s="733"/>
      <c r="AA147" s="733"/>
      <c r="AB147" s="732"/>
      <c r="AC147" s="733"/>
      <c r="AD147" s="733"/>
      <c r="AE147" s="733"/>
      <c r="AF147" s="733"/>
      <c r="AG147" s="733"/>
      <c r="AH147" s="732"/>
      <c r="AI147" s="732"/>
      <c r="AJ147" s="732"/>
      <c r="AK147" s="732"/>
      <c r="AL147" s="733"/>
      <c r="AM147" s="733"/>
      <c r="AN147" s="733"/>
      <c r="AO147" s="733"/>
      <c r="AP147" s="733"/>
      <c r="AQ147" s="733"/>
      <c r="AR147" s="733"/>
      <c r="AS147" s="733"/>
      <c r="AT147" s="733"/>
      <c r="AU147" s="733"/>
      <c r="AV147" s="733"/>
      <c r="AW147" s="733"/>
      <c r="AX147" s="732"/>
      <c r="AY147" s="732"/>
      <c r="AZ147" s="732"/>
      <c r="BA147" s="732"/>
      <c r="BB147" s="732"/>
      <c r="BC147" s="732"/>
      <c r="BD147" s="732"/>
      <c r="BE147" s="732"/>
      <c r="BF147" s="732"/>
      <c r="BG147" s="791"/>
      <c r="BH147" s="732"/>
      <c r="BI147" s="732"/>
      <c r="BJ147" s="732"/>
      <c r="BK147" s="732"/>
      <c r="BL147" s="732"/>
      <c r="BW147" s="790"/>
      <c r="BX147" s="790"/>
      <c r="BY147" s="792"/>
      <c r="BZ147" s="731"/>
      <c r="CA147" s="731"/>
      <c r="CB147" s="731"/>
      <c r="CC147" s="731"/>
      <c r="CD147" s="731"/>
      <c r="CE147" s="731"/>
      <c r="CF147" s="731"/>
    </row>
    <row r="148" spans="1:84" ht="15.75" customHeight="1">
      <c r="A148" s="732"/>
      <c r="B148" s="733"/>
      <c r="C148" s="733"/>
      <c r="D148" s="733"/>
      <c r="E148" s="733"/>
      <c r="F148" s="733"/>
      <c r="G148" s="733"/>
      <c r="H148" s="733"/>
      <c r="I148" s="733"/>
      <c r="J148" s="733"/>
      <c r="K148" s="733"/>
      <c r="L148" s="733"/>
      <c r="M148" s="733"/>
      <c r="N148" s="733"/>
      <c r="O148" s="733"/>
      <c r="P148" s="733"/>
      <c r="Q148" s="733"/>
      <c r="R148" s="733"/>
      <c r="S148" s="733"/>
      <c r="T148" s="733"/>
      <c r="U148" s="733"/>
      <c r="V148" s="733"/>
      <c r="W148" s="733"/>
      <c r="X148" s="733"/>
      <c r="Y148" s="733"/>
      <c r="Z148" s="733"/>
      <c r="AA148" s="733"/>
      <c r="AB148" s="732"/>
      <c r="AC148" s="733"/>
      <c r="AD148" s="733"/>
      <c r="AE148" s="733"/>
      <c r="AF148" s="733"/>
      <c r="AG148" s="733"/>
      <c r="AH148" s="732"/>
      <c r="AI148" s="732"/>
      <c r="AJ148" s="732"/>
      <c r="AK148" s="732"/>
      <c r="AL148" s="733"/>
      <c r="AM148" s="733"/>
      <c r="AN148" s="733"/>
      <c r="AO148" s="733"/>
      <c r="AP148" s="733"/>
      <c r="AQ148" s="733"/>
      <c r="AR148" s="733"/>
      <c r="AS148" s="733"/>
      <c r="AT148" s="733"/>
      <c r="AU148" s="733"/>
      <c r="AV148" s="733"/>
      <c r="AW148" s="733"/>
      <c r="AX148" s="732"/>
      <c r="AY148" s="732"/>
      <c r="AZ148" s="732"/>
      <c r="BA148" s="732"/>
      <c r="BB148" s="732"/>
      <c r="BC148" s="732"/>
      <c r="BD148" s="732"/>
      <c r="BE148" s="732"/>
      <c r="BF148" s="732"/>
      <c r="BG148" s="791"/>
      <c r="BH148" s="732"/>
      <c r="BI148" s="732"/>
      <c r="BJ148" s="732"/>
      <c r="BK148" s="732"/>
      <c r="BL148" s="732"/>
      <c r="BW148" s="790"/>
      <c r="BX148" s="790"/>
      <c r="BY148" s="792"/>
      <c r="BZ148" s="731"/>
      <c r="CA148" s="731"/>
      <c r="CB148" s="731"/>
      <c r="CC148" s="731"/>
      <c r="CD148" s="731"/>
      <c r="CE148" s="731"/>
      <c r="CF148" s="731"/>
    </row>
    <row r="149" spans="1:84" ht="15.75" customHeight="1">
      <c r="A149" s="732"/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733"/>
      <c r="AB149" s="732"/>
      <c r="AC149" s="733"/>
      <c r="AD149" s="733"/>
      <c r="AE149" s="733"/>
      <c r="AF149" s="733"/>
      <c r="AG149" s="733"/>
      <c r="AH149" s="732"/>
      <c r="AI149" s="732"/>
      <c r="AJ149" s="732"/>
      <c r="AK149" s="732"/>
      <c r="AL149" s="733"/>
      <c r="AM149" s="733"/>
      <c r="AN149" s="733"/>
      <c r="AO149" s="733"/>
      <c r="AP149" s="733"/>
      <c r="AQ149" s="733"/>
      <c r="AR149" s="733"/>
      <c r="AS149" s="733"/>
      <c r="AT149" s="733"/>
      <c r="AU149" s="733"/>
      <c r="AV149" s="733"/>
      <c r="AW149" s="733"/>
      <c r="AX149" s="732"/>
      <c r="AY149" s="732"/>
      <c r="AZ149" s="732"/>
      <c r="BA149" s="732"/>
      <c r="BB149" s="732"/>
      <c r="BC149" s="732"/>
      <c r="BD149" s="732"/>
      <c r="BE149" s="732"/>
      <c r="BF149" s="732"/>
      <c r="BG149" s="791"/>
      <c r="BH149" s="732"/>
      <c r="BI149" s="732"/>
      <c r="BJ149" s="732"/>
      <c r="BK149" s="732"/>
      <c r="BL149" s="732"/>
      <c r="BW149" s="790"/>
      <c r="BX149" s="790"/>
      <c r="BY149" s="792"/>
      <c r="BZ149" s="731"/>
      <c r="CA149" s="731"/>
      <c r="CB149" s="731"/>
      <c r="CC149" s="731"/>
      <c r="CD149" s="731"/>
      <c r="CE149" s="731"/>
      <c r="CF149" s="731"/>
    </row>
    <row r="150" spans="1:84" ht="15.75" customHeight="1">
      <c r="A150" s="732"/>
      <c r="B150" s="733"/>
      <c r="C150" s="733"/>
      <c r="D150" s="733"/>
      <c r="E150" s="733"/>
      <c r="F150" s="733"/>
      <c r="G150" s="733"/>
      <c r="H150" s="733"/>
      <c r="I150" s="733"/>
      <c r="J150" s="733"/>
      <c r="K150" s="733"/>
      <c r="L150" s="733"/>
      <c r="M150" s="733"/>
      <c r="N150" s="733"/>
      <c r="O150" s="733"/>
      <c r="P150" s="733"/>
      <c r="Q150" s="733"/>
      <c r="R150" s="733"/>
      <c r="S150" s="733"/>
      <c r="T150" s="733"/>
      <c r="U150" s="733"/>
      <c r="V150" s="733"/>
      <c r="W150" s="733"/>
      <c r="X150" s="733"/>
      <c r="Y150" s="733"/>
      <c r="Z150" s="733"/>
      <c r="AA150" s="733"/>
      <c r="AB150" s="732"/>
      <c r="AC150" s="733"/>
      <c r="AD150" s="733"/>
      <c r="AE150" s="733"/>
      <c r="AF150" s="733"/>
      <c r="AG150" s="733"/>
      <c r="AH150" s="732"/>
      <c r="AI150" s="732"/>
      <c r="AJ150" s="732"/>
      <c r="AK150" s="732"/>
      <c r="AL150" s="733"/>
      <c r="AM150" s="733"/>
      <c r="AN150" s="733"/>
      <c r="AO150" s="733"/>
      <c r="AP150" s="733"/>
      <c r="AQ150" s="733"/>
      <c r="AR150" s="733"/>
      <c r="AS150" s="733"/>
      <c r="AT150" s="733"/>
      <c r="AU150" s="733"/>
      <c r="AV150" s="733"/>
      <c r="AW150" s="733"/>
      <c r="AX150" s="732"/>
      <c r="AY150" s="732"/>
      <c r="AZ150" s="732"/>
      <c r="BA150" s="732"/>
      <c r="BB150" s="732"/>
      <c r="BC150" s="732"/>
      <c r="BD150" s="732"/>
      <c r="BE150" s="732"/>
      <c r="BF150" s="732"/>
      <c r="BG150" s="791"/>
      <c r="BH150" s="732"/>
      <c r="BI150" s="732"/>
      <c r="BJ150" s="732"/>
      <c r="BK150" s="732"/>
      <c r="BL150" s="732"/>
      <c r="BW150" s="790"/>
      <c r="BX150" s="790"/>
      <c r="BY150" s="792"/>
      <c r="BZ150" s="731"/>
      <c r="CA150" s="731"/>
      <c r="CB150" s="731"/>
      <c r="CC150" s="731"/>
      <c r="CD150" s="731"/>
      <c r="CE150" s="731"/>
      <c r="CF150" s="731"/>
    </row>
    <row r="151" spans="1:84" ht="15.75" customHeight="1">
      <c r="A151" s="732"/>
      <c r="B151" s="733"/>
      <c r="C151" s="733"/>
      <c r="D151" s="733"/>
      <c r="E151" s="733"/>
      <c r="F151" s="733"/>
      <c r="G151" s="733"/>
      <c r="H151" s="733"/>
      <c r="I151" s="733"/>
      <c r="J151" s="733"/>
      <c r="K151" s="733"/>
      <c r="L151" s="733"/>
      <c r="M151" s="733"/>
      <c r="N151" s="733"/>
      <c r="O151" s="733"/>
      <c r="P151" s="733"/>
      <c r="Q151" s="733"/>
      <c r="R151" s="733"/>
      <c r="S151" s="733"/>
      <c r="T151" s="733"/>
      <c r="U151" s="733"/>
      <c r="V151" s="733"/>
      <c r="W151" s="733"/>
      <c r="X151" s="733"/>
      <c r="Y151" s="733"/>
      <c r="Z151" s="733"/>
      <c r="AA151" s="733"/>
      <c r="AB151" s="732"/>
      <c r="AC151" s="733"/>
      <c r="AD151" s="733"/>
      <c r="AE151" s="733"/>
      <c r="AF151" s="733"/>
      <c r="AG151" s="733"/>
      <c r="AH151" s="732"/>
      <c r="AI151" s="732"/>
      <c r="AJ151" s="732"/>
      <c r="AK151" s="732"/>
      <c r="AL151" s="733"/>
      <c r="AM151" s="733"/>
      <c r="AN151" s="733"/>
      <c r="AO151" s="733"/>
      <c r="AP151" s="733"/>
      <c r="AQ151" s="733"/>
      <c r="AR151" s="733"/>
      <c r="AS151" s="733"/>
      <c r="AT151" s="733"/>
      <c r="AU151" s="733"/>
      <c r="AV151" s="733"/>
      <c r="AW151" s="733"/>
      <c r="AX151" s="732"/>
      <c r="AY151" s="732"/>
      <c r="AZ151" s="732"/>
      <c r="BA151" s="732"/>
      <c r="BB151" s="732"/>
      <c r="BC151" s="732"/>
      <c r="BD151" s="732"/>
      <c r="BE151" s="732"/>
      <c r="BF151" s="732"/>
      <c r="BG151" s="791"/>
      <c r="BH151" s="732"/>
      <c r="BI151" s="732"/>
      <c r="BJ151" s="732"/>
      <c r="BK151" s="732"/>
      <c r="BL151" s="732"/>
      <c r="BW151" s="790"/>
      <c r="BX151" s="790"/>
      <c r="BY151" s="792"/>
      <c r="BZ151" s="731"/>
      <c r="CA151" s="731"/>
      <c r="CB151" s="731"/>
      <c r="CC151" s="731"/>
      <c r="CD151" s="731"/>
      <c r="CE151" s="731"/>
      <c r="CF151" s="731"/>
    </row>
    <row r="152" spans="1:84" ht="15.75" customHeight="1">
      <c r="A152" s="732"/>
      <c r="B152" s="733"/>
      <c r="C152" s="733"/>
      <c r="D152" s="733"/>
      <c r="E152" s="733"/>
      <c r="F152" s="733"/>
      <c r="G152" s="733"/>
      <c r="H152" s="733"/>
      <c r="I152" s="733"/>
      <c r="J152" s="733"/>
      <c r="K152" s="733"/>
      <c r="L152" s="733"/>
      <c r="M152" s="733"/>
      <c r="N152" s="733"/>
      <c r="O152" s="733"/>
      <c r="P152" s="733"/>
      <c r="Q152" s="733"/>
      <c r="R152" s="733"/>
      <c r="S152" s="733"/>
      <c r="T152" s="733"/>
      <c r="U152" s="733"/>
      <c r="V152" s="733"/>
      <c r="W152" s="733"/>
      <c r="X152" s="733"/>
      <c r="Y152" s="733"/>
      <c r="Z152" s="733"/>
      <c r="AA152" s="733"/>
      <c r="AB152" s="732"/>
      <c r="AC152" s="733"/>
      <c r="AD152" s="733"/>
      <c r="AE152" s="733"/>
      <c r="AF152" s="733"/>
      <c r="AG152" s="733"/>
      <c r="AH152" s="732"/>
      <c r="AI152" s="732"/>
      <c r="AJ152" s="732"/>
      <c r="AK152" s="732"/>
      <c r="AL152" s="733"/>
      <c r="AM152" s="733"/>
      <c r="AN152" s="733"/>
      <c r="AO152" s="733"/>
      <c r="AP152" s="733"/>
      <c r="AQ152" s="733"/>
      <c r="AR152" s="733"/>
      <c r="AS152" s="733"/>
      <c r="AT152" s="733"/>
      <c r="AU152" s="733"/>
      <c r="AV152" s="733"/>
      <c r="AW152" s="733"/>
      <c r="AX152" s="732"/>
      <c r="AY152" s="732"/>
      <c r="AZ152" s="732"/>
      <c r="BA152" s="732"/>
      <c r="BB152" s="732"/>
      <c r="BC152" s="732"/>
      <c r="BD152" s="732"/>
      <c r="BE152" s="732"/>
      <c r="BF152" s="732"/>
      <c r="BG152" s="791"/>
      <c r="BH152" s="732"/>
      <c r="BI152" s="732"/>
      <c r="BJ152" s="732"/>
      <c r="BK152" s="732"/>
      <c r="BL152" s="732"/>
      <c r="BW152" s="790"/>
      <c r="BX152" s="790"/>
      <c r="BY152" s="792"/>
      <c r="BZ152" s="731"/>
      <c r="CA152" s="731"/>
      <c r="CB152" s="731"/>
      <c r="CC152" s="731"/>
      <c r="CD152" s="731"/>
      <c r="CE152" s="731"/>
      <c r="CF152" s="731"/>
    </row>
    <row r="153" spans="1:84" ht="15.75" customHeight="1">
      <c r="A153" s="732"/>
      <c r="B153" s="733"/>
      <c r="C153" s="733"/>
      <c r="D153" s="733"/>
      <c r="E153" s="733"/>
      <c r="F153" s="733"/>
      <c r="G153" s="733"/>
      <c r="H153" s="733"/>
      <c r="I153" s="733"/>
      <c r="J153" s="733"/>
      <c r="K153" s="733"/>
      <c r="L153" s="733"/>
      <c r="M153" s="733"/>
      <c r="N153" s="733"/>
      <c r="O153" s="733"/>
      <c r="P153" s="733"/>
      <c r="Q153" s="733"/>
      <c r="R153" s="733"/>
      <c r="S153" s="733"/>
      <c r="T153" s="733"/>
      <c r="U153" s="733"/>
      <c r="V153" s="733"/>
      <c r="W153" s="733"/>
      <c r="X153" s="733"/>
      <c r="Y153" s="733"/>
      <c r="Z153" s="733"/>
      <c r="AA153" s="733"/>
      <c r="AB153" s="732"/>
      <c r="AC153" s="733"/>
      <c r="AD153" s="733"/>
      <c r="AE153" s="733"/>
      <c r="AF153" s="733"/>
      <c r="AG153" s="733"/>
      <c r="AH153" s="732"/>
      <c r="AI153" s="732"/>
      <c r="AJ153" s="732"/>
      <c r="AK153" s="732"/>
      <c r="AL153" s="733"/>
      <c r="AM153" s="733"/>
      <c r="AN153" s="733"/>
      <c r="AO153" s="733"/>
      <c r="AP153" s="733"/>
      <c r="AQ153" s="733"/>
      <c r="AR153" s="733"/>
      <c r="AS153" s="733"/>
      <c r="AT153" s="733"/>
      <c r="AU153" s="733"/>
      <c r="AV153" s="733"/>
      <c r="AW153" s="733"/>
      <c r="AX153" s="732"/>
      <c r="AY153" s="732"/>
      <c r="AZ153" s="732"/>
      <c r="BA153" s="732"/>
      <c r="BB153" s="732"/>
      <c r="BC153" s="732"/>
      <c r="BD153" s="732"/>
      <c r="BE153" s="732"/>
      <c r="BF153" s="732"/>
      <c r="BG153" s="791"/>
      <c r="BH153" s="732"/>
      <c r="BI153" s="732"/>
      <c r="BJ153" s="732"/>
      <c r="BK153" s="732"/>
      <c r="BL153" s="732"/>
      <c r="BW153" s="790"/>
      <c r="BX153" s="790"/>
      <c r="BY153" s="792"/>
      <c r="BZ153" s="731"/>
      <c r="CA153" s="731"/>
      <c r="CB153" s="731"/>
      <c r="CC153" s="731"/>
      <c r="CD153" s="731"/>
      <c r="CE153" s="731"/>
      <c r="CF153" s="731"/>
    </row>
    <row r="154" spans="1:84" ht="15.75" customHeight="1">
      <c r="A154" s="732"/>
      <c r="B154" s="733"/>
      <c r="C154" s="733"/>
      <c r="D154" s="733"/>
      <c r="E154" s="733"/>
      <c r="F154" s="733"/>
      <c r="G154" s="733"/>
      <c r="H154" s="733"/>
      <c r="I154" s="733"/>
      <c r="J154" s="733"/>
      <c r="K154" s="733"/>
      <c r="L154" s="733"/>
      <c r="M154" s="733"/>
      <c r="N154" s="733"/>
      <c r="O154" s="733"/>
      <c r="P154" s="733"/>
      <c r="Q154" s="733"/>
      <c r="R154" s="733"/>
      <c r="S154" s="733"/>
      <c r="T154" s="733"/>
      <c r="U154" s="733"/>
      <c r="V154" s="733"/>
      <c r="W154" s="733"/>
      <c r="X154" s="733"/>
      <c r="Y154" s="733"/>
      <c r="Z154" s="733"/>
      <c r="AA154" s="733"/>
      <c r="AB154" s="732"/>
      <c r="AC154" s="733"/>
      <c r="AD154" s="733"/>
      <c r="AE154" s="733"/>
      <c r="AF154" s="733"/>
      <c r="AG154" s="733"/>
      <c r="AH154" s="732"/>
      <c r="AI154" s="732"/>
      <c r="AJ154" s="732"/>
      <c r="AK154" s="732"/>
      <c r="AL154" s="733"/>
      <c r="AM154" s="733"/>
      <c r="AN154" s="733"/>
      <c r="AO154" s="733"/>
      <c r="AP154" s="733"/>
      <c r="AQ154" s="733"/>
      <c r="AR154" s="733"/>
      <c r="AS154" s="733"/>
      <c r="AT154" s="733"/>
      <c r="AU154" s="733"/>
      <c r="AV154" s="733"/>
      <c r="AW154" s="733"/>
      <c r="AX154" s="732"/>
      <c r="AY154" s="732"/>
      <c r="AZ154" s="732"/>
      <c r="BA154" s="732"/>
      <c r="BB154" s="732"/>
      <c r="BC154" s="732"/>
      <c r="BD154" s="732"/>
      <c r="BE154" s="732"/>
      <c r="BF154" s="732"/>
      <c r="BG154" s="791"/>
      <c r="BH154" s="732"/>
      <c r="BI154" s="732"/>
      <c r="BJ154" s="732"/>
      <c r="BK154" s="732"/>
      <c r="BL154" s="732"/>
      <c r="BW154" s="790"/>
      <c r="BX154" s="790"/>
      <c r="BY154" s="792"/>
      <c r="BZ154" s="731"/>
      <c r="CA154" s="731"/>
      <c r="CB154" s="731"/>
      <c r="CC154" s="731"/>
      <c r="CD154" s="731"/>
      <c r="CE154" s="731"/>
      <c r="CF154" s="731"/>
    </row>
    <row r="155" spans="1:84" ht="15.75" customHeight="1">
      <c r="A155" s="732"/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733"/>
      <c r="AB155" s="732"/>
      <c r="AC155" s="733"/>
      <c r="AD155" s="733"/>
      <c r="AE155" s="733"/>
      <c r="AF155" s="733"/>
      <c r="AG155" s="733"/>
      <c r="AH155" s="732"/>
      <c r="AI155" s="732"/>
      <c r="AJ155" s="732"/>
      <c r="AK155" s="732"/>
      <c r="AL155" s="733"/>
      <c r="AM155" s="733"/>
      <c r="AN155" s="733"/>
      <c r="AO155" s="733"/>
      <c r="AP155" s="733"/>
      <c r="AQ155" s="733"/>
      <c r="AR155" s="733"/>
      <c r="AS155" s="733"/>
      <c r="AT155" s="733"/>
      <c r="AU155" s="733"/>
      <c r="AV155" s="733"/>
      <c r="AW155" s="733"/>
      <c r="AX155" s="732"/>
      <c r="AY155" s="732"/>
      <c r="AZ155" s="732"/>
      <c r="BA155" s="732"/>
      <c r="BB155" s="732"/>
      <c r="BC155" s="732"/>
      <c r="BD155" s="732"/>
      <c r="BE155" s="732"/>
      <c r="BF155" s="732"/>
      <c r="BG155" s="791"/>
      <c r="BH155" s="732"/>
      <c r="BI155" s="732"/>
      <c r="BJ155" s="732"/>
      <c r="BK155" s="732"/>
      <c r="BL155" s="732"/>
      <c r="BW155" s="790"/>
      <c r="BX155" s="790"/>
      <c r="BY155" s="792"/>
      <c r="BZ155" s="731"/>
      <c r="CA155" s="731"/>
      <c r="CB155" s="731"/>
      <c r="CC155" s="731"/>
      <c r="CD155" s="731"/>
      <c r="CE155" s="731"/>
      <c r="CF155" s="731"/>
    </row>
    <row r="156" spans="1:84" ht="15.75" customHeight="1">
      <c r="A156" s="732"/>
      <c r="B156" s="733"/>
      <c r="C156" s="733"/>
      <c r="D156" s="733"/>
      <c r="E156" s="733"/>
      <c r="F156" s="733"/>
      <c r="G156" s="733"/>
      <c r="H156" s="733"/>
      <c r="I156" s="733"/>
      <c r="J156" s="733"/>
      <c r="K156" s="733"/>
      <c r="L156" s="733"/>
      <c r="M156" s="733"/>
      <c r="N156" s="733"/>
      <c r="O156" s="733"/>
      <c r="P156" s="733"/>
      <c r="Q156" s="733"/>
      <c r="R156" s="733"/>
      <c r="S156" s="733"/>
      <c r="T156" s="733"/>
      <c r="U156" s="733"/>
      <c r="V156" s="733"/>
      <c r="W156" s="733"/>
      <c r="X156" s="733"/>
      <c r="Y156" s="733"/>
      <c r="Z156" s="733"/>
      <c r="AA156" s="733"/>
      <c r="AB156" s="732"/>
      <c r="AC156" s="733"/>
      <c r="AD156" s="733"/>
      <c r="AE156" s="733"/>
      <c r="AF156" s="733"/>
      <c r="AG156" s="733"/>
      <c r="AH156" s="732"/>
      <c r="AI156" s="732"/>
      <c r="AJ156" s="732"/>
      <c r="AK156" s="732"/>
      <c r="AL156" s="733"/>
      <c r="AM156" s="733"/>
      <c r="AN156" s="733"/>
      <c r="AO156" s="733"/>
      <c r="AP156" s="733"/>
      <c r="AQ156" s="733"/>
      <c r="AR156" s="733"/>
      <c r="AS156" s="733"/>
      <c r="AT156" s="733"/>
      <c r="AU156" s="733"/>
      <c r="AV156" s="733"/>
      <c r="AW156" s="733"/>
      <c r="AX156" s="732"/>
      <c r="AY156" s="732"/>
      <c r="AZ156" s="732"/>
      <c r="BA156" s="732"/>
      <c r="BB156" s="732"/>
      <c r="BC156" s="732"/>
      <c r="BD156" s="732"/>
      <c r="BE156" s="732"/>
      <c r="BF156" s="732"/>
      <c r="BG156" s="791"/>
      <c r="BH156" s="732"/>
      <c r="BI156" s="732"/>
      <c r="BJ156" s="732"/>
      <c r="BK156" s="732"/>
      <c r="BL156" s="732"/>
      <c r="BW156" s="790"/>
      <c r="BX156" s="790"/>
      <c r="BY156" s="792"/>
      <c r="BZ156" s="731"/>
      <c r="CA156" s="731"/>
      <c r="CB156" s="731"/>
      <c r="CC156" s="731"/>
      <c r="CD156" s="731"/>
      <c r="CE156" s="731"/>
      <c r="CF156" s="731"/>
    </row>
    <row r="157" spans="1:84" ht="15.75" customHeight="1">
      <c r="A157" s="732"/>
      <c r="B157" s="733"/>
      <c r="C157" s="733"/>
      <c r="D157" s="733"/>
      <c r="E157" s="733"/>
      <c r="F157" s="733"/>
      <c r="G157" s="733"/>
      <c r="H157" s="733"/>
      <c r="I157" s="733"/>
      <c r="J157" s="733"/>
      <c r="K157" s="733"/>
      <c r="L157" s="733"/>
      <c r="M157" s="733"/>
      <c r="N157" s="733"/>
      <c r="O157" s="733"/>
      <c r="P157" s="733"/>
      <c r="Q157" s="733"/>
      <c r="R157" s="733"/>
      <c r="S157" s="733"/>
      <c r="T157" s="733"/>
      <c r="U157" s="733"/>
      <c r="V157" s="733"/>
      <c r="W157" s="733"/>
      <c r="X157" s="733"/>
      <c r="Y157" s="733"/>
      <c r="Z157" s="733"/>
      <c r="AA157" s="733"/>
      <c r="AB157" s="732"/>
      <c r="AC157" s="733"/>
      <c r="AD157" s="733"/>
      <c r="AE157" s="733"/>
      <c r="AF157" s="733"/>
      <c r="AG157" s="733"/>
      <c r="AH157" s="732"/>
      <c r="AI157" s="732"/>
      <c r="AJ157" s="732"/>
      <c r="AK157" s="732"/>
      <c r="AL157" s="733"/>
      <c r="AM157" s="733"/>
      <c r="AN157" s="733"/>
      <c r="AO157" s="733"/>
      <c r="AP157" s="733"/>
      <c r="AQ157" s="733"/>
      <c r="AR157" s="733"/>
      <c r="AS157" s="733"/>
      <c r="AT157" s="733"/>
      <c r="AU157" s="733"/>
      <c r="AV157" s="733"/>
      <c r="AW157" s="733"/>
      <c r="AX157" s="732"/>
      <c r="AY157" s="732"/>
      <c r="AZ157" s="732"/>
      <c r="BA157" s="732"/>
      <c r="BB157" s="732"/>
      <c r="BC157" s="732"/>
      <c r="BD157" s="732"/>
      <c r="BE157" s="732"/>
      <c r="BF157" s="732"/>
      <c r="BG157" s="791"/>
      <c r="BH157" s="732"/>
      <c r="BI157" s="732"/>
      <c r="BJ157" s="732"/>
      <c r="BK157" s="732"/>
      <c r="BL157" s="732"/>
      <c r="BW157" s="790"/>
      <c r="BX157" s="790"/>
      <c r="BY157" s="792"/>
      <c r="BZ157" s="731"/>
      <c r="CA157" s="731"/>
      <c r="CB157" s="731"/>
      <c r="CC157" s="731"/>
      <c r="CD157" s="731"/>
      <c r="CE157" s="731"/>
      <c r="CF157" s="731"/>
    </row>
    <row r="158" spans="1:84" ht="15.75" customHeight="1">
      <c r="A158" s="732"/>
      <c r="B158" s="733"/>
      <c r="C158" s="733"/>
      <c r="D158" s="733"/>
      <c r="E158" s="733"/>
      <c r="F158" s="733"/>
      <c r="G158" s="733"/>
      <c r="H158" s="733"/>
      <c r="I158" s="733"/>
      <c r="J158" s="733"/>
      <c r="K158" s="733"/>
      <c r="L158" s="733"/>
      <c r="M158" s="733"/>
      <c r="N158" s="733"/>
      <c r="O158" s="733"/>
      <c r="P158" s="733"/>
      <c r="Q158" s="733"/>
      <c r="R158" s="733"/>
      <c r="S158" s="733"/>
      <c r="T158" s="733"/>
      <c r="U158" s="733"/>
      <c r="V158" s="733"/>
      <c r="W158" s="733"/>
      <c r="X158" s="733"/>
      <c r="Y158" s="733"/>
      <c r="Z158" s="733"/>
      <c r="AA158" s="733"/>
      <c r="AB158" s="732"/>
      <c r="AC158" s="733"/>
      <c r="AD158" s="733"/>
      <c r="AE158" s="733"/>
      <c r="AF158" s="733"/>
      <c r="AG158" s="733"/>
      <c r="AH158" s="732"/>
      <c r="AI158" s="732"/>
      <c r="AJ158" s="732"/>
      <c r="AK158" s="732"/>
      <c r="AL158" s="733"/>
      <c r="AM158" s="733"/>
      <c r="AN158" s="733"/>
      <c r="AO158" s="733"/>
      <c r="AP158" s="733"/>
      <c r="AQ158" s="733"/>
      <c r="AR158" s="733"/>
      <c r="AS158" s="733"/>
      <c r="AT158" s="733"/>
      <c r="AU158" s="733"/>
      <c r="AV158" s="733"/>
      <c r="AW158" s="733"/>
      <c r="AX158" s="732"/>
      <c r="AY158" s="732"/>
      <c r="AZ158" s="732"/>
      <c r="BA158" s="732"/>
      <c r="BB158" s="732"/>
      <c r="BC158" s="732"/>
      <c r="BD158" s="732"/>
      <c r="BE158" s="732"/>
      <c r="BF158" s="732"/>
      <c r="BG158" s="791"/>
      <c r="BH158" s="732"/>
      <c r="BI158" s="732"/>
      <c r="BJ158" s="732"/>
      <c r="BK158" s="732"/>
      <c r="BL158" s="732"/>
      <c r="BW158" s="790"/>
      <c r="BX158" s="790"/>
      <c r="BY158" s="792"/>
      <c r="BZ158" s="731"/>
      <c r="CA158" s="731"/>
      <c r="CB158" s="731"/>
      <c r="CC158" s="731"/>
      <c r="CD158" s="731"/>
      <c r="CE158" s="731"/>
      <c r="CF158" s="731"/>
    </row>
    <row r="159" spans="1:84" ht="15.75" customHeight="1">
      <c r="A159" s="732"/>
      <c r="B159" s="733"/>
      <c r="C159" s="733"/>
      <c r="D159" s="733"/>
      <c r="E159" s="733"/>
      <c r="F159" s="733"/>
      <c r="G159" s="733"/>
      <c r="H159" s="733"/>
      <c r="I159" s="733"/>
      <c r="J159" s="733"/>
      <c r="K159" s="733"/>
      <c r="L159" s="733"/>
      <c r="M159" s="733"/>
      <c r="N159" s="733"/>
      <c r="O159" s="733"/>
      <c r="P159" s="733"/>
      <c r="Q159" s="733"/>
      <c r="R159" s="733"/>
      <c r="S159" s="733"/>
      <c r="T159" s="733"/>
      <c r="U159" s="733"/>
      <c r="V159" s="733"/>
      <c r="W159" s="733"/>
      <c r="X159" s="733"/>
      <c r="Y159" s="733"/>
      <c r="Z159" s="733"/>
      <c r="AA159" s="733"/>
      <c r="AB159" s="732"/>
      <c r="AC159" s="733"/>
      <c r="AD159" s="733"/>
      <c r="AE159" s="733"/>
      <c r="AF159" s="733"/>
      <c r="AG159" s="733"/>
      <c r="AH159" s="732"/>
      <c r="AI159" s="732"/>
      <c r="AJ159" s="732"/>
      <c r="AK159" s="732"/>
      <c r="AL159" s="733"/>
      <c r="AM159" s="733"/>
      <c r="AN159" s="733"/>
      <c r="AO159" s="733"/>
      <c r="AP159" s="733"/>
      <c r="AQ159" s="733"/>
      <c r="AR159" s="733"/>
      <c r="AS159" s="733"/>
      <c r="AT159" s="733"/>
      <c r="AU159" s="733"/>
      <c r="AV159" s="733"/>
      <c r="AW159" s="733"/>
      <c r="AX159" s="732"/>
      <c r="AY159" s="732"/>
      <c r="AZ159" s="732"/>
      <c r="BA159" s="732"/>
      <c r="BB159" s="732"/>
      <c r="BC159" s="732"/>
      <c r="BD159" s="732"/>
      <c r="BE159" s="732"/>
      <c r="BF159" s="732"/>
      <c r="BG159" s="791"/>
      <c r="BH159" s="732"/>
      <c r="BI159" s="732"/>
      <c r="BJ159" s="732"/>
      <c r="BK159" s="732"/>
      <c r="BL159" s="732"/>
      <c r="BW159" s="790"/>
      <c r="BX159" s="790"/>
      <c r="BY159" s="792"/>
      <c r="BZ159" s="731"/>
      <c r="CA159" s="731"/>
      <c r="CB159" s="731"/>
      <c r="CC159" s="731"/>
      <c r="CD159" s="731"/>
      <c r="CE159" s="731"/>
      <c r="CF159" s="731"/>
    </row>
    <row r="160" spans="1:84" ht="15.75" customHeight="1">
      <c r="A160" s="732"/>
      <c r="B160" s="733"/>
      <c r="C160" s="733"/>
      <c r="D160" s="733"/>
      <c r="E160" s="733"/>
      <c r="F160" s="733"/>
      <c r="G160" s="733"/>
      <c r="H160" s="733"/>
      <c r="I160" s="733"/>
      <c r="J160" s="733"/>
      <c r="K160" s="733"/>
      <c r="L160" s="733"/>
      <c r="M160" s="733"/>
      <c r="N160" s="733"/>
      <c r="O160" s="733"/>
      <c r="P160" s="733"/>
      <c r="Q160" s="733"/>
      <c r="R160" s="733"/>
      <c r="S160" s="733"/>
      <c r="T160" s="733"/>
      <c r="U160" s="733"/>
      <c r="V160" s="733"/>
      <c r="W160" s="733"/>
      <c r="X160" s="733"/>
      <c r="Y160" s="733"/>
      <c r="Z160" s="733"/>
      <c r="AA160" s="733"/>
      <c r="AB160" s="732"/>
      <c r="AC160" s="733"/>
      <c r="AD160" s="733"/>
      <c r="AE160" s="733"/>
      <c r="AF160" s="733"/>
      <c r="AG160" s="733"/>
      <c r="AH160" s="732"/>
      <c r="AI160" s="732"/>
      <c r="AJ160" s="732"/>
      <c r="AK160" s="732"/>
      <c r="AL160" s="733"/>
      <c r="AM160" s="733"/>
      <c r="AN160" s="733"/>
      <c r="AO160" s="733"/>
      <c r="AP160" s="733"/>
      <c r="AQ160" s="733"/>
      <c r="AR160" s="733"/>
      <c r="AS160" s="733"/>
      <c r="AT160" s="733"/>
      <c r="AU160" s="733"/>
      <c r="AV160" s="733"/>
      <c r="AW160" s="733"/>
      <c r="AX160" s="732"/>
      <c r="AY160" s="732"/>
      <c r="AZ160" s="732"/>
      <c r="BA160" s="732"/>
      <c r="BB160" s="732"/>
      <c r="BC160" s="732"/>
      <c r="BD160" s="732"/>
      <c r="BE160" s="732"/>
      <c r="BF160" s="732"/>
      <c r="BG160" s="791"/>
      <c r="BH160" s="732"/>
      <c r="BI160" s="732"/>
      <c r="BJ160" s="732"/>
      <c r="BK160" s="732"/>
      <c r="BL160" s="732"/>
      <c r="BW160" s="790"/>
      <c r="BX160" s="790"/>
      <c r="BY160" s="792"/>
      <c r="BZ160" s="731"/>
      <c r="CA160" s="731"/>
      <c r="CB160" s="731"/>
      <c r="CC160" s="731"/>
      <c r="CD160" s="731"/>
      <c r="CE160" s="731"/>
      <c r="CF160" s="731"/>
    </row>
    <row r="161" spans="1:84" ht="15.75" customHeight="1">
      <c r="A161" s="732"/>
      <c r="B161" s="733"/>
      <c r="C161" s="733"/>
      <c r="D161" s="733"/>
      <c r="E161" s="733"/>
      <c r="F161" s="733"/>
      <c r="G161" s="733"/>
      <c r="H161" s="733"/>
      <c r="I161" s="733"/>
      <c r="J161" s="733"/>
      <c r="K161" s="733"/>
      <c r="L161" s="733"/>
      <c r="M161" s="733"/>
      <c r="N161" s="733"/>
      <c r="O161" s="733"/>
      <c r="P161" s="733"/>
      <c r="Q161" s="733"/>
      <c r="R161" s="733"/>
      <c r="S161" s="733"/>
      <c r="T161" s="733"/>
      <c r="U161" s="733"/>
      <c r="V161" s="733"/>
      <c r="W161" s="733"/>
      <c r="X161" s="733"/>
      <c r="Y161" s="733"/>
      <c r="Z161" s="733"/>
      <c r="AA161" s="733"/>
      <c r="AB161" s="732"/>
      <c r="AC161" s="733"/>
      <c r="AD161" s="733"/>
      <c r="AE161" s="733"/>
      <c r="AF161" s="733"/>
      <c r="AG161" s="733"/>
      <c r="AH161" s="732"/>
      <c r="AI161" s="732"/>
      <c r="AJ161" s="732"/>
      <c r="AK161" s="732"/>
      <c r="AL161" s="733"/>
      <c r="AM161" s="733"/>
      <c r="AN161" s="733"/>
      <c r="AO161" s="733"/>
      <c r="AP161" s="733"/>
      <c r="AQ161" s="733"/>
      <c r="AR161" s="733"/>
      <c r="AS161" s="733"/>
      <c r="AT161" s="733"/>
      <c r="AU161" s="733"/>
      <c r="AV161" s="733"/>
      <c r="AW161" s="733"/>
      <c r="AX161" s="732"/>
      <c r="AY161" s="732"/>
      <c r="AZ161" s="732"/>
      <c r="BA161" s="732"/>
      <c r="BB161" s="732"/>
      <c r="BC161" s="732"/>
      <c r="BD161" s="732"/>
      <c r="BE161" s="732"/>
      <c r="BF161" s="732"/>
      <c r="BG161" s="791"/>
      <c r="BH161" s="732"/>
      <c r="BI161" s="732"/>
      <c r="BJ161" s="732"/>
      <c r="BK161" s="732"/>
      <c r="BL161" s="732"/>
      <c r="BW161" s="790"/>
      <c r="BX161" s="790"/>
      <c r="BY161" s="792"/>
      <c r="BZ161" s="731"/>
      <c r="CA161" s="731"/>
      <c r="CB161" s="731"/>
      <c r="CC161" s="731"/>
      <c r="CD161" s="731"/>
      <c r="CE161" s="731"/>
      <c r="CF161" s="731"/>
    </row>
    <row r="162" spans="1:84" ht="15.75" customHeight="1">
      <c r="A162" s="732"/>
      <c r="B162" s="733"/>
      <c r="C162" s="733"/>
      <c r="D162" s="733"/>
      <c r="E162" s="733"/>
      <c r="F162" s="733"/>
      <c r="G162" s="733"/>
      <c r="H162" s="733"/>
      <c r="I162" s="733"/>
      <c r="J162" s="733"/>
      <c r="K162" s="733"/>
      <c r="L162" s="733"/>
      <c r="M162" s="733"/>
      <c r="N162" s="733"/>
      <c r="O162" s="733"/>
      <c r="P162" s="733"/>
      <c r="Q162" s="733"/>
      <c r="R162" s="733"/>
      <c r="S162" s="733"/>
      <c r="T162" s="733"/>
      <c r="U162" s="733"/>
      <c r="V162" s="733"/>
      <c r="W162" s="733"/>
      <c r="X162" s="733"/>
      <c r="Y162" s="733"/>
      <c r="Z162" s="733"/>
      <c r="AA162" s="733"/>
      <c r="AB162" s="732"/>
      <c r="AC162" s="733"/>
      <c r="AD162" s="733"/>
      <c r="AE162" s="733"/>
      <c r="AF162" s="733"/>
      <c r="AG162" s="733"/>
      <c r="AH162" s="732"/>
      <c r="AI162" s="732"/>
      <c r="AJ162" s="732"/>
      <c r="AK162" s="732"/>
      <c r="AL162" s="733"/>
      <c r="AM162" s="733"/>
      <c r="AN162" s="733"/>
      <c r="AO162" s="733"/>
      <c r="AP162" s="733"/>
      <c r="AQ162" s="733"/>
      <c r="AR162" s="733"/>
      <c r="AS162" s="733"/>
      <c r="AT162" s="733"/>
      <c r="AU162" s="733"/>
      <c r="AV162" s="733"/>
      <c r="AW162" s="733"/>
      <c r="AX162" s="732"/>
      <c r="AY162" s="732"/>
      <c r="AZ162" s="732"/>
      <c r="BA162" s="732"/>
      <c r="BB162" s="732"/>
      <c r="BC162" s="732"/>
      <c r="BD162" s="732"/>
      <c r="BE162" s="732"/>
      <c r="BF162" s="732"/>
      <c r="BG162" s="791"/>
      <c r="BH162" s="732"/>
      <c r="BI162" s="732"/>
      <c r="BJ162" s="732"/>
      <c r="BK162" s="732"/>
      <c r="BL162" s="732"/>
      <c r="BW162" s="790"/>
      <c r="BX162" s="790"/>
      <c r="BY162" s="792"/>
      <c r="BZ162" s="731"/>
      <c r="CA162" s="731"/>
      <c r="CB162" s="731"/>
      <c r="CC162" s="731"/>
      <c r="CD162" s="731"/>
      <c r="CE162" s="731"/>
      <c r="CF162" s="731"/>
    </row>
    <row r="163" spans="1:84" ht="15.75" customHeight="1">
      <c r="A163" s="732"/>
      <c r="B163" s="733"/>
      <c r="C163" s="733"/>
      <c r="D163" s="733"/>
      <c r="E163" s="733"/>
      <c r="F163" s="733"/>
      <c r="G163" s="733"/>
      <c r="H163" s="733"/>
      <c r="I163" s="733"/>
      <c r="J163" s="733"/>
      <c r="K163" s="733"/>
      <c r="L163" s="733"/>
      <c r="M163" s="733"/>
      <c r="N163" s="733"/>
      <c r="O163" s="733"/>
      <c r="P163" s="733"/>
      <c r="Q163" s="733"/>
      <c r="R163" s="733"/>
      <c r="S163" s="733"/>
      <c r="T163" s="733"/>
      <c r="U163" s="733"/>
      <c r="V163" s="733"/>
      <c r="W163" s="733"/>
      <c r="X163" s="733"/>
      <c r="Y163" s="733"/>
      <c r="Z163" s="733"/>
      <c r="AA163" s="733"/>
      <c r="AB163" s="732"/>
      <c r="AC163" s="733"/>
      <c r="AD163" s="733"/>
      <c r="AE163" s="733"/>
      <c r="AF163" s="733"/>
      <c r="AG163" s="733"/>
      <c r="AH163" s="732"/>
      <c r="AI163" s="732"/>
      <c r="AJ163" s="732"/>
      <c r="AK163" s="732"/>
      <c r="AL163" s="733"/>
      <c r="AM163" s="733"/>
      <c r="AN163" s="733"/>
      <c r="AO163" s="733"/>
      <c r="AP163" s="733"/>
      <c r="AQ163" s="733"/>
      <c r="AR163" s="733"/>
      <c r="AS163" s="733"/>
      <c r="AT163" s="733"/>
      <c r="AU163" s="733"/>
      <c r="AV163" s="733"/>
      <c r="AW163" s="733"/>
      <c r="AX163" s="732"/>
      <c r="AY163" s="732"/>
      <c r="AZ163" s="732"/>
      <c r="BA163" s="732"/>
      <c r="BB163" s="732"/>
      <c r="BC163" s="732"/>
      <c r="BD163" s="732"/>
      <c r="BE163" s="732"/>
      <c r="BF163" s="732"/>
      <c r="BG163" s="791"/>
      <c r="BH163" s="732"/>
      <c r="BI163" s="732"/>
      <c r="BJ163" s="732"/>
      <c r="BK163" s="732"/>
      <c r="BL163" s="732"/>
      <c r="BW163" s="790"/>
      <c r="BX163" s="790"/>
      <c r="BY163" s="792"/>
      <c r="BZ163" s="731"/>
      <c r="CA163" s="731"/>
      <c r="CB163" s="731"/>
      <c r="CC163" s="731"/>
      <c r="CD163" s="731"/>
      <c r="CE163" s="731"/>
      <c r="CF163" s="731"/>
    </row>
    <row r="164" spans="1:84" ht="15.75" customHeight="1">
      <c r="A164" s="732"/>
      <c r="B164" s="733"/>
      <c r="C164" s="733"/>
      <c r="D164" s="733"/>
      <c r="E164" s="733"/>
      <c r="F164" s="733"/>
      <c r="G164" s="733"/>
      <c r="H164" s="733"/>
      <c r="I164" s="733"/>
      <c r="J164" s="733"/>
      <c r="K164" s="733"/>
      <c r="L164" s="733"/>
      <c r="M164" s="733"/>
      <c r="N164" s="733"/>
      <c r="O164" s="733"/>
      <c r="P164" s="733"/>
      <c r="Q164" s="733"/>
      <c r="R164" s="733"/>
      <c r="S164" s="733"/>
      <c r="T164" s="733"/>
      <c r="U164" s="733"/>
      <c r="V164" s="733"/>
      <c r="W164" s="733"/>
      <c r="X164" s="733"/>
      <c r="Y164" s="733"/>
      <c r="Z164" s="733"/>
      <c r="AA164" s="733"/>
      <c r="AB164" s="732"/>
      <c r="AC164" s="733"/>
      <c r="AD164" s="733"/>
      <c r="AE164" s="733"/>
      <c r="AF164" s="733"/>
      <c r="AG164" s="733"/>
      <c r="AH164" s="732"/>
      <c r="AI164" s="732"/>
      <c r="AJ164" s="732"/>
      <c r="AK164" s="732"/>
      <c r="AL164" s="733"/>
      <c r="AM164" s="733"/>
      <c r="AN164" s="733"/>
      <c r="AO164" s="733"/>
      <c r="AP164" s="733"/>
      <c r="AQ164" s="733"/>
      <c r="AR164" s="733"/>
      <c r="AS164" s="733"/>
      <c r="AT164" s="733"/>
      <c r="AU164" s="733"/>
      <c r="AV164" s="733"/>
      <c r="AW164" s="733"/>
      <c r="AX164" s="732"/>
      <c r="AY164" s="732"/>
      <c r="AZ164" s="732"/>
      <c r="BA164" s="732"/>
      <c r="BB164" s="732"/>
      <c r="BC164" s="732"/>
      <c r="BD164" s="732"/>
      <c r="BE164" s="732"/>
      <c r="BF164" s="732"/>
      <c r="BG164" s="791"/>
      <c r="BH164" s="732"/>
      <c r="BI164" s="732"/>
      <c r="BJ164" s="732"/>
      <c r="BK164" s="732"/>
      <c r="BL164" s="732"/>
      <c r="BW164" s="790"/>
      <c r="BX164" s="790"/>
      <c r="BY164" s="792"/>
      <c r="BZ164" s="731"/>
      <c r="CA164" s="731"/>
      <c r="CB164" s="731"/>
      <c r="CC164" s="731"/>
      <c r="CD164" s="731"/>
      <c r="CE164" s="731"/>
      <c r="CF164" s="731"/>
    </row>
    <row r="165" spans="1:84" ht="15.75" customHeight="1">
      <c r="A165" s="732"/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733"/>
      <c r="AB165" s="732"/>
      <c r="AC165" s="733"/>
      <c r="AD165" s="733"/>
      <c r="AE165" s="733"/>
      <c r="AF165" s="733"/>
      <c r="AG165" s="733"/>
      <c r="AH165" s="732"/>
      <c r="AI165" s="732"/>
      <c r="AJ165" s="732"/>
      <c r="AK165" s="732"/>
      <c r="AL165" s="733"/>
      <c r="AM165" s="733"/>
      <c r="AN165" s="733"/>
      <c r="AO165" s="733"/>
      <c r="AP165" s="733"/>
      <c r="AQ165" s="733"/>
      <c r="AR165" s="733"/>
      <c r="AS165" s="733"/>
      <c r="AT165" s="733"/>
      <c r="AU165" s="733"/>
      <c r="AV165" s="733"/>
      <c r="AW165" s="733"/>
      <c r="AX165" s="732"/>
      <c r="AY165" s="732"/>
      <c r="AZ165" s="732"/>
      <c r="BA165" s="732"/>
      <c r="BB165" s="732"/>
      <c r="BC165" s="732"/>
      <c r="BD165" s="732"/>
      <c r="BE165" s="732"/>
      <c r="BF165" s="732"/>
      <c r="BG165" s="791"/>
      <c r="BH165" s="732"/>
      <c r="BI165" s="732"/>
      <c r="BJ165" s="732"/>
      <c r="BK165" s="732"/>
      <c r="BL165" s="732"/>
      <c r="BW165" s="790"/>
      <c r="BX165" s="790"/>
      <c r="BY165" s="792"/>
      <c r="BZ165" s="731"/>
      <c r="CA165" s="731"/>
      <c r="CB165" s="731"/>
      <c r="CC165" s="731"/>
      <c r="CD165" s="731"/>
      <c r="CE165" s="731"/>
      <c r="CF165" s="731"/>
    </row>
    <row r="166" spans="1:84" ht="15.75" customHeight="1">
      <c r="A166" s="732"/>
      <c r="B166" s="733"/>
      <c r="C166" s="733"/>
      <c r="D166" s="733"/>
      <c r="E166" s="733"/>
      <c r="F166" s="733"/>
      <c r="G166" s="733"/>
      <c r="H166" s="733"/>
      <c r="I166" s="733"/>
      <c r="J166" s="733"/>
      <c r="K166" s="733"/>
      <c r="L166" s="733"/>
      <c r="M166" s="733"/>
      <c r="N166" s="733"/>
      <c r="O166" s="733"/>
      <c r="P166" s="733"/>
      <c r="Q166" s="733"/>
      <c r="R166" s="733"/>
      <c r="S166" s="733"/>
      <c r="T166" s="733"/>
      <c r="U166" s="733"/>
      <c r="V166" s="733"/>
      <c r="W166" s="733"/>
      <c r="X166" s="733"/>
      <c r="Y166" s="733"/>
      <c r="Z166" s="733"/>
      <c r="AA166" s="733"/>
      <c r="AB166" s="732"/>
      <c r="AC166" s="733"/>
      <c r="AD166" s="733"/>
      <c r="AE166" s="733"/>
      <c r="AF166" s="733"/>
      <c r="AG166" s="733"/>
      <c r="AH166" s="732"/>
      <c r="AI166" s="732"/>
      <c r="AJ166" s="732"/>
      <c r="AK166" s="732"/>
      <c r="AL166" s="733"/>
      <c r="AM166" s="733"/>
      <c r="AN166" s="733"/>
      <c r="AO166" s="733"/>
      <c r="AP166" s="733"/>
      <c r="AQ166" s="733"/>
      <c r="AR166" s="733"/>
      <c r="AS166" s="733"/>
      <c r="AT166" s="733"/>
      <c r="AU166" s="733"/>
      <c r="AV166" s="733"/>
      <c r="AW166" s="733"/>
      <c r="AX166" s="732"/>
      <c r="AY166" s="732"/>
      <c r="AZ166" s="732"/>
      <c r="BA166" s="732"/>
      <c r="BB166" s="732"/>
      <c r="BC166" s="732"/>
      <c r="BD166" s="732"/>
      <c r="BE166" s="732"/>
      <c r="BF166" s="732"/>
      <c r="BG166" s="791"/>
      <c r="BH166" s="732"/>
      <c r="BI166" s="732"/>
      <c r="BJ166" s="732"/>
      <c r="BK166" s="732"/>
      <c r="BL166" s="732"/>
      <c r="BW166" s="790"/>
      <c r="BX166" s="790"/>
      <c r="BY166" s="792"/>
      <c r="BZ166" s="731"/>
      <c r="CA166" s="731"/>
      <c r="CB166" s="731"/>
      <c r="CC166" s="731"/>
      <c r="CD166" s="731"/>
      <c r="CE166" s="731"/>
      <c r="CF166" s="731"/>
    </row>
    <row r="167" spans="1:84" ht="15.75" customHeight="1">
      <c r="A167" s="732"/>
      <c r="B167" s="733"/>
      <c r="C167" s="733"/>
      <c r="D167" s="733"/>
      <c r="E167" s="733"/>
      <c r="F167" s="733"/>
      <c r="G167" s="733"/>
      <c r="H167" s="733"/>
      <c r="I167" s="733"/>
      <c r="J167" s="733"/>
      <c r="K167" s="733"/>
      <c r="L167" s="733"/>
      <c r="M167" s="733"/>
      <c r="N167" s="733"/>
      <c r="O167" s="733"/>
      <c r="P167" s="733"/>
      <c r="Q167" s="733"/>
      <c r="R167" s="733"/>
      <c r="S167" s="733"/>
      <c r="T167" s="733"/>
      <c r="U167" s="733"/>
      <c r="V167" s="733"/>
      <c r="W167" s="733"/>
      <c r="X167" s="733"/>
      <c r="Y167" s="733"/>
      <c r="Z167" s="733"/>
      <c r="AA167" s="733"/>
      <c r="AB167" s="732"/>
      <c r="AC167" s="733"/>
      <c r="AD167" s="733"/>
      <c r="AE167" s="733"/>
      <c r="AF167" s="733"/>
      <c r="AG167" s="733"/>
      <c r="AH167" s="732"/>
      <c r="AI167" s="732"/>
      <c r="AJ167" s="732"/>
      <c r="AK167" s="732"/>
      <c r="AL167" s="733"/>
      <c r="AM167" s="733"/>
      <c r="AN167" s="733"/>
      <c r="AO167" s="733"/>
      <c r="AP167" s="733"/>
      <c r="AQ167" s="733"/>
      <c r="AR167" s="733"/>
      <c r="AS167" s="733"/>
      <c r="AT167" s="733"/>
      <c r="AU167" s="733"/>
      <c r="AV167" s="733"/>
      <c r="AW167" s="733"/>
      <c r="AX167" s="732"/>
      <c r="AY167" s="732"/>
      <c r="AZ167" s="732"/>
      <c r="BA167" s="732"/>
      <c r="BB167" s="732"/>
      <c r="BC167" s="732"/>
      <c r="BD167" s="732"/>
      <c r="BE167" s="732"/>
      <c r="BF167" s="732"/>
      <c r="BG167" s="791"/>
      <c r="BH167" s="732"/>
      <c r="BI167" s="732"/>
      <c r="BJ167" s="732"/>
      <c r="BK167" s="732"/>
      <c r="BL167" s="732"/>
      <c r="BW167" s="790"/>
      <c r="BX167" s="790"/>
      <c r="BY167" s="792"/>
      <c r="BZ167" s="731"/>
      <c r="CA167" s="731"/>
      <c r="CB167" s="731"/>
      <c r="CC167" s="731"/>
      <c r="CD167" s="731"/>
      <c r="CE167" s="731"/>
      <c r="CF167" s="731"/>
    </row>
    <row r="168" spans="1:84" ht="15.75" customHeight="1">
      <c r="A168" s="732"/>
      <c r="B168" s="733"/>
      <c r="C168" s="733"/>
      <c r="D168" s="733"/>
      <c r="E168" s="733"/>
      <c r="F168" s="733"/>
      <c r="G168" s="733"/>
      <c r="H168" s="733"/>
      <c r="I168" s="733"/>
      <c r="J168" s="733"/>
      <c r="K168" s="733"/>
      <c r="L168" s="733"/>
      <c r="M168" s="733"/>
      <c r="N168" s="733"/>
      <c r="O168" s="733"/>
      <c r="P168" s="733"/>
      <c r="Q168" s="733"/>
      <c r="R168" s="733"/>
      <c r="S168" s="733"/>
      <c r="T168" s="733"/>
      <c r="U168" s="733"/>
      <c r="V168" s="733"/>
      <c r="W168" s="733"/>
      <c r="X168" s="733"/>
      <c r="Y168" s="733"/>
      <c r="Z168" s="733"/>
      <c r="AA168" s="733"/>
      <c r="AB168" s="732"/>
      <c r="AC168" s="733"/>
      <c r="AD168" s="733"/>
      <c r="AE168" s="733"/>
      <c r="AF168" s="733"/>
      <c r="AG168" s="733"/>
      <c r="AH168" s="732"/>
      <c r="AI168" s="732"/>
      <c r="AJ168" s="732"/>
      <c r="AK168" s="732"/>
      <c r="AL168" s="733"/>
      <c r="AM168" s="733"/>
      <c r="AN168" s="733"/>
      <c r="AO168" s="733"/>
      <c r="AP168" s="733"/>
      <c r="AQ168" s="733"/>
      <c r="AR168" s="733"/>
      <c r="AS168" s="733"/>
      <c r="AT168" s="733"/>
      <c r="AU168" s="733"/>
      <c r="AV168" s="733"/>
      <c r="AW168" s="733"/>
      <c r="AX168" s="732"/>
      <c r="AY168" s="732"/>
      <c r="AZ168" s="732"/>
      <c r="BA168" s="732"/>
      <c r="BB168" s="732"/>
      <c r="BC168" s="732"/>
      <c r="BD168" s="732"/>
      <c r="BE168" s="732"/>
      <c r="BF168" s="732"/>
      <c r="BG168" s="791"/>
      <c r="BH168" s="732"/>
      <c r="BI168" s="732"/>
      <c r="BJ168" s="732"/>
      <c r="BK168" s="732"/>
      <c r="BL168" s="732"/>
      <c r="BW168" s="790"/>
      <c r="BX168" s="790"/>
      <c r="BY168" s="792"/>
      <c r="BZ168" s="731"/>
      <c r="CA168" s="731"/>
      <c r="CB168" s="731"/>
      <c r="CC168" s="731"/>
      <c r="CD168" s="731"/>
      <c r="CE168" s="731"/>
      <c r="CF168" s="731"/>
    </row>
    <row r="169" spans="1:84" ht="15.75" customHeight="1">
      <c r="A169" s="732"/>
      <c r="B169" s="733"/>
      <c r="C169" s="733"/>
      <c r="D169" s="733"/>
      <c r="E169" s="733"/>
      <c r="F169" s="733"/>
      <c r="G169" s="733"/>
      <c r="H169" s="733"/>
      <c r="I169" s="733"/>
      <c r="J169" s="733"/>
      <c r="K169" s="733"/>
      <c r="L169" s="733"/>
      <c r="M169" s="733"/>
      <c r="N169" s="733"/>
      <c r="O169" s="733"/>
      <c r="P169" s="733"/>
      <c r="Q169" s="733"/>
      <c r="R169" s="733"/>
      <c r="S169" s="733"/>
      <c r="T169" s="733"/>
      <c r="U169" s="733"/>
      <c r="V169" s="733"/>
      <c r="W169" s="733"/>
      <c r="X169" s="733"/>
      <c r="Y169" s="733"/>
      <c r="Z169" s="733"/>
      <c r="AA169" s="733"/>
      <c r="AB169" s="732"/>
      <c r="AC169" s="733"/>
      <c r="AD169" s="733"/>
      <c r="AE169" s="733"/>
      <c r="AF169" s="733"/>
      <c r="AG169" s="733"/>
      <c r="AH169" s="732"/>
      <c r="AI169" s="732"/>
      <c r="AJ169" s="732"/>
      <c r="AK169" s="732"/>
      <c r="AL169" s="733"/>
      <c r="AM169" s="733"/>
      <c r="AN169" s="733"/>
      <c r="AO169" s="733"/>
      <c r="AP169" s="733"/>
      <c r="AQ169" s="733"/>
      <c r="AR169" s="733"/>
      <c r="AS169" s="733"/>
      <c r="AT169" s="733"/>
      <c r="AU169" s="733"/>
      <c r="AV169" s="733"/>
      <c r="AW169" s="733"/>
      <c r="AX169" s="732"/>
      <c r="AY169" s="732"/>
      <c r="AZ169" s="732"/>
      <c r="BA169" s="732"/>
      <c r="BB169" s="732"/>
      <c r="BC169" s="732"/>
      <c r="BD169" s="732"/>
      <c r="BE169" s="732"/>
      <c r="BF169" s="732"/>
      <c r="BG169" s="791"/>
      <c r="BH169" s="732"/>
      <c r="BI169" s="732"/>
      <c r="BJ169" s="732"/>
      <c r="BK169" s="732"/>
      <c r="BL169" s="732"/>
      <c r="BW169" s="790"/>
      <c r="BX169" s="790"/>
      <c r="BY169" s="792"/>
      <c r="BZ169" s="731"/>
      <c r="CA169" s="731"/>
      <c r="CB169" s="731"/>
      <c r="CC169" s="731"/>
      <c r="CD169" s="731"/>
      <c r="CE169" s="731"/>
      <c r="CF169" s="731"/>
    </row>
    <row r="170" spans="1:84" ht="15.75" customHeight="1">
      <c r="A170" s="732"/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733"/>
      <c r="AB170" s="732"/>
      <c r="AC170" s="733"/>
      <c r="AD170" s="733"/>
      <c r="AE170" s="733"/>
      <c r="AF170" s="733"/>
      <c r="AG170" s="733"/>
      <c r="AH170" s="732"/>
      <c r="AI170" s="732"/>
      <c r="AJ170" s="732"/>
      <c r="AK170" s="732"/>
      <c r="AL170" s="733"/>
      <c r="AM170" s="733"/>
      <c r="AN170" s="733"/>
      <c r="AO170" s="733"/>
      <c r="AP170" s="733"/>
      <c r="AQ170" s="733"/>
      <c r="AR170" s="733"/>
      <c r="AS170" s="733"/>
      <c r="AT170" s="733"/>
      <c r="AU170" s="733"/>
      <c r="AV170" s="733"/>
      <c r="AW170" s="733"/>
      <c r="AX170" s="732"/>
      <c r="AY170" s="732"/>
      <c r="AZ170" s="732"/>
      <c r="BA170" s="732"/>
      <c r="BB170" s="732"/>
      <c r="BC170" s="732"/>
      <c r="BD170" s="732"/>
      <c r="BE170" s="732"/>
      <c r="BF170" s="732"/>
      <c r="BG170" s="791"/>
      <c r="BH170" s="732"/>
      <c r="BI170" s="732"/>
      <c r="BJ170" s="732"/>
      <c r="BK170" s="732"/>
      <c r="BL170" s="732"/>
      <c r="BW170" s="790"/>
      <c r="BX170" s="790"/>
      <c r="BY170" s="792"/>
      <c r="BZ170" s="731"/>
      <c r="CA170" s="731"/>
      <c r="CB170" s="731"/>
      <c r="CC170" s="731"/>
      <c r="CD170" s="731"/>
      <c r="CE170" s="731"/>
      <c r="CF170" s="731"/>
    </row>
    <row r="171" spans="1:84" ht="15.75" customHeight="1">
      <c r="A171" s="732"/>
      <c r="B171" s="733"/>
      <c r="C171" s="733"/>
      <c r="D171" s="733"/>
      <c r="E171" s="733"/>
      <c r="F171" s="733"/>
      <c r="G171" s="733"/>
      <c r="H171" s="733"/>
      <c r="I171" s="733"/>
      <c r="J171" s="733"/>
      <c r="K171" s="733"/>
      <c r="L171" s="733"/>
      <c r="M171" s="733"/>
      <c r="N171" s="733"/>
      <c r="O171" s="733"/>
      <c r="P171" s="733"/>
      <c r="Q171" s="733"/>
      <c r="R171" s="733"/>
      <c r="S171" s="733"/>
      <c r="T171" s="733"/>
      <c r="U171" s="733"/>
      <c r="V171" s="733"/>
      <c r="W171" s="733"/>
      <c r="X171" s="733"/>
      <c r="Y171" s="733"/>
      <c r="Z171" s="733"/>
      <c r="AA171" s="733"/>
      <c r="AB171" s="732"/>
      <c r="AC171" s="733"/>
      <c r="AD171" s="733"/>
      <c r="AE171" s="733"/>
      <c r="AF171" s="733"/>
      <c r="AG171" s="733"/>
      <c r="AH171" s="732"/>
      <c r="AI171" s="732"/>
      <c r="AJ171" s="732"/>
      <c r="AK171" s="732"/>
      <c r="AL171" s="733"/>
      <c r="AM171" s="733"/>
      <c r="AN171" s="733"/>
      <c r="AO171" s="733"/>
      <c r="AP171" s="733"/>
      <c r="AQ171" s="733"/>
      <c r="AR171" s="733"/>
      <c r="AS171" s="733"/>
      <c r="AT171" s="733"/>
      <c r="AU171" s="733"/>
      <c r="AV171" s="733"/>
      <c r="AW171" s="733"/>
      <c r="AX171" s="732"/>
      <c r="AY171" s="732"/>
      <c r="AZ171" s="732"/>
      <c r="BA171" s="732"/>
      <c r="BB171" s="732"/>
      <c r="BC171" s="732"/>
      <c r="BD171" s="732"/>
      <c r="BE171" s="732"/>
      <c r="BF171" s="732"/>
      <c r="BG171" s="791"/>
      <c r="BH171" s="732"/>
      <c r="BI171" s="732"/>
      <c r="BJ171" s="732"/>
      <c r="BK171" s="732"/>
      <c r="BL171" s="732"/>
      <c r="BW171" s="790"/>
      <c r="BX171" s="790"/>
      <c r="BY171" s="792"/>
      <c r="BZ171" s="731"/>
      <c r="CA171" s="731"/>
      <c r="CB171" s="731"/>
      <c r="CC171" s="731"/>
      <c r="CD171" s="731"/>
      <c r="CE171" s="731"/>
      <c r="CF171" s="731"/>
    </row>
    <row r="172" spans="1:84" ht="15.75" customHeight="1">
      <c r="A172" s="732"/>
      <c r="B172" s="733"/>
      <c r="C172" s="733"/>
      <c r="D172" s="733"/>
      <c r="E172" s="733"/>
      <c r="F172" s="733"/>
      <c r="G172" s="733"/>
      <c r="H172" s="733"/>
      <c r="I172" s="733"/>
      <c r="J172" s="733"/>
      <c r="K172" s="733"/>
      <c r="L172" s="733"/>
      <c r="M172" s="733"/>
      <c r="N172" s="733"/>
      <c r="O172" s="733"/>
      <c r="P172" s="733"/>
      <c r="Q172" s="733"/>
      <c r="R172" s="733"/>
      <c r="S172" s="733"/>
      <c r="T172" s="733"/>
      <c r="U172" s="733"/>
      <c r="V172" s="733"/>
      <c r="W172" s="733"/>
      <c r="X172" s="733"/>
      <c r="Y172" s="733"/>
      <c r="Z172" s="733"/>
      <c r="AA172" s="733"/>
      <c r="AB172" s="732"/>
      <c r="AC172" s="733"/>
      <c r="AD172" s="733"/>
      <c r="AE172" s="733"/>
      <c r="AF172" s="733"/>
      <c r="AG172" s="733"/>
      <c r="AH172" s="732"/>
      <c r="AI172" s="732"/>
      <c r="AJ172" s="732"/>
      <c r="AK172" s="732"/>
      <c r="AL172" s="733"/>
      <c r="AM172" s="733"/>
      <c r="AN172" s="733"/>
      <c r="AO172" s="733"/>
      <c r="AP172" s="733"/>
      <c r="AQ172" s="733"/>
      <c r="AR172" s="733"/>
      <c r="AS172" s="733"/>
      <c r="AT172" s="733"/>
      <c r="AU172" s="733"/>
      <c r="AV172" s="733"/>
      <c r="AW172" s="733"/>
      <c r="AX172" s="732"/>
      <c r="AY172" s="732"/>
      <c r="AZ172" s="732"/>
      <c r="BA172" s="732"/>
      <c r="BB172" s="732"/>
      <c r="BC172" s="732"/>
      <c r="BD172" s="732"/>
      <c r="BE172" s="732"/>
      <c r="BF172" s="732"/>
      <c r="BG172" s="791"/>
      <c r="BH172" s="732"/>
      <c r="BI172" s="732"/>
      <c r="BJ172" s="732"/>
      <c r="BK172" s="732"/>
      <c r="BL172" s="732"/>
      <c r="BW172" s="790"/>
      <c r="BX172" s="790"/>
      <c r="BY172" s="792"/>
      <c r="BZ172" s="731"/>
      <c r="CA172" s="731"/>
      <c r="CB172" s="731"/>
      <c r="CC172" s="731"/>
      <c r="CD172" s="731"/>
      <c r="CE172" s="731"/>
      <c r="CF172" s="731"/>
    </row>
    <row r="173" spans="1:84" ht="15.75" customHeight="1">
      <c r="A173" s="732"/>
      <c r="B173" s="733"/>
      <c r="C173" s="733"/>
      <c r="D173" s="733"/>
      <c r="E173" s="733"/>
      <c r="F173" s="733"/>
      <c r="G173" s="733"/>
      <c r="H173" s="733"/>
      <c r="I173" s="733"/>
      <c r="J173" s="733"/>
      <c r="K173" s="733"/>
      <c r="L173" s="733"/>
      <c r="M173" s="733"/>
      <c r="N173" s="733"/>
      <c r="O173" s="733"/>
      <c r="P173" s="733"/>
      <c r="Q173" s="733"/>
      <c r="R173" s="733"/>
      <c r="S173" s="733"/>
      <c r="T173" s="733"/>
      <c r="U173" s="733"/>
      <c r="V173" s="733"/>
      <c r="W173" s="733"/>
      <c r="X173" s="733"/>
      <c r="Y173" s="733"/>
      <c r="Z173" s="733"/>
      <c r="AA173" s="733"/>
      <c r="AB173" s="732"/>
      <c r="AC173" s="733"/>
      <c r="AD173" s="733"/>
      <c r="AE173" s="733"/>
      <c r="AF173" s="733"/>
      <c r="AG173" s="733"/>
      <c r="AH173" s="732"/>
      <c r="AI173" s="732"/>
      <c r="AJ173" s="732"/>
      <c r="AK173" s="732"/>
      <c r="AL173" s="733"/>
      <c r="AM173" s="733"/>
      <c r="AN173" s="733"/>
      <c r="AO173" s="733"/>
      <c r="AP173" s="733"/>
      <c r="AQ173" s="733"/>
      <c r="AR173" s="733"/>
      <c r="AS173" s="733"/>
      <c r="AT173" s="733"/>
      <c r="AU173" s="733"/>
      <c r="AV173" s="733"/>
      <c r="AW173" s="733"/>
      <c r="AX173" s="732"/>
      <c r="AY173" s="732"/>
      <c r="AZ173" s="732"/>
      <c r="BA173" s="732"/>
      <c r="BB173" s="732"/>
      <c r="BC173" s="732"/>
      <c r="BD173" s="732"/>
      <c r="BE173" s="732"/>
      <c r="BF173" s="732"/>
      <c r="BG173" s="791"/>
      <c r="BH173" s="732"/>
      <c r="BI173" s="732"/>
      <c r="BJ173" s="732"/>
      <c r="BK173" s="732"/>
      <c r="BL173" s="732"/>
      <c r="BW173" s="790"/>
      <c r="BX173" s="790"/>
      <c r="BY173" s="792"/>
      <c r="BZ173" s="731"/>
      <c r="CA173" s="731"/>
      <c r="CB173" s="731"/>
      <c r="CC173" s="731"/>
      <c r="CD173" s="731"/>
      <c r="CE173" s="731"/>
      <c r="CF173" s="731"/>
    </row>
    <row r="174" spans="1:84" ht="15.75" customHeight="1">
      <c r="A174" s="732"/>
      <c r="B174" s="733"/>
      <c r="C174" s="733"/>
      <c r="D174" s="733"/>
      <c r="E174" s="733"/>
      <c r="F174" s="733"/>
      <c r="G174" s="733"/>
      <c r="H174" s="733"/>
      <c r="I174" s="733"/>
      <c r="J174" s="733"/>
      <c r="K174" s="733"/>
      <c r="L174" s="733"/>
      <c r="M174" s="733"/>
      <c r="N174" s="733"/>
      <c r="O174" s="733"/>
      <c r="P174" s="733"/>
      <c r="Q174" s="733"/>
      <c r="R174" s="733"/>
      <c r="S174" s="733"/>
      <c r="T174" s="733"/>
      <c r="U174" s="733"/>
      <c r="V174" s="733"/>
      <c r="W174" s="733"/>
      <c r="X174" s="733"/>
      <c r="Y174" s="733"/>
      <c r="Z174" s="733"/>
      <c r="AA174" s="733"/>
      <c r="AB174" s="732"/>
      <c r="AC174" s="733"/>
      <c r="AD174" s="733"/>
      <c r="AE174" s="733"/>
      <c r="AF174" s="733"/>
      <c r="AG174" s="733"/>
      <c r="AH174" s="732"/>
      <c r="AI174" s="732"/>
      <c r="AJ174" s="732"/>
      <c r="AK174" s="732"/>
      <c r="AL174" s="733"/>
      <c r="AM174" s="733"/>
      <c r="AN174" s="733"/>
      <c r="AO174" s="733"/>
      <c r="AP174" s="733"/>
      <c r="AQ174" s="733"/>
      <c r="AR174" s="733"/>
      <c r="AS174" s="733"/>
      <c r="AT174" s="733"/>
      <c r="AU174" s="733"/>
      <c r="AV174" s="733"/>
      <c r="AW174" s="733"/>
      <c r="AX174" s="732"/>
      <c r="AY174" s="732"/>
      <c r="AZ174" s="732"/>
      <c r="BA174" s="732"/>
      <c r="BB174" s="732"/>
      <c r="BC174" s="732"/>
      <c r="BD174" s="732"/>
      <c r="BE174" s="732"/>
      <c r="BF174" s="732"/>
      <c r="BG174" s="791"/>
      <c r="BH174" s="732"/>
      <c r="BI174" s="732"/>
      <c r="BJ174" s="732"/>
      <c r="BK174" s="732"/>
      <c r="BL174" s="732"/>
      <c r="BW174" s="790"/>
      <c r="BX174" s="790"/>
      <c r="BY174" s="792"/>
      <c r="BZ174" s="731"/>
      <c r="CA174" s="731"/>
      <c r="CB174" s="731"/>
      <c r="CC174" s="731"/>
      <c r="CD174" s="731"/>
      <c r="CE174" s="731"/>
      <c r="CF174" s="731"/>
    </row>
    <row r="175" spans="1:84" ht="15.75" customHeight="1">
      <c r="A175" s="732"/>
      <c r="B175" s="733"/>
      <c r="C175" s="733"/>
      <c r="D175" s="733"/>
      <c r="E175" s="733"/>
      <c r="F175" s="733"/>
      <c r="G175" s="733"/>
      <c r="H175" s="733"/>
      <c r="I175" s="733"/>
      <c r="J175" s="733"/>
      <c r="K175" s="733"/>
      <c r="L175" s="733"/>
      <c r="M175" s="733"/>
      <c r="N175" s="733"/>
      <c r="O175" s="733"/>
      <c r="P175" s="733"/>
      <c r="Q175" s="733"/>
      <c r="R175" s="733"/>
      <c r="S175" s="733"/>
      <c r="T175" s="733"/>
      <c r="U175" s="733"/>
      <c r="V175" s="733"/>
      <c r="W175" s="733"/>
      <c r="X175" s="733"/>
      <c r="Y175" s="733"/>
      <c r="Z175" s="733"/>
      <c r="AA175" s="733"/>
      <c r="AB175" s="732"/>
      <c r="AC175" s="733"/>
      <c r="AD175" s="733"/>
      <c r="AE175" s="733"/>
      <c r="AF175" s="733"/>
      <c r="AG175" s="733"/>
      <c r="AH175" s="732"/>
      <c r="AI175" s="732"/>
      <c r="AJ175" s="732"/>
      <c r="AK175" s="732"/>
      <c r="AL175" s="733"/>
      <c r="AM175" s="733"/>
      <c r="AN175" s="733"/>
      <c r="AO175" s="733"/>
      <c r="AP175" s="733"/>
      <c r="AQ175" s="733"/>
      <c r="AR175" s="733"/>
      <c r="AS175" s="733"/>
      <c r="AT175" s="733"/>
      <c r="AU175" s="733"/>
      <c r="AV175" s="733"/>
      <c r="AW175" s="733"/>
      <c r="AX175" s="732"/>
      <c r="AY175" s="732"/>
      <c r="AZ175" s="732"/>
      <c r="BA175" s="732"/>
      <c r="BB175" s="732"/>
      <c r="BC175" s="732"/>
      <c r="BD175" s="732"/>
      <c r="BE175" s="732"/>
      <c r="BF175" s="732"/>
      <c r="BG175" s="791"/>
      <c r="BH175" s="732"/>
      <c r="BI175" s="732"/>
      <c r="BJ175" s="732"/>
      <c r="BK175" s="732"/>
      <c r="BL175" s="732"/>
      <c r="BW175" s="790"/>
      <c r="BX175" s="790"/>
      <c r="BY175" s="792"/>
      <c r="BZ175" s="731"/>
      <c r="CA175" s="731"/>
      <c r="CB175" s="731"/>
      <c r="CC175" s="731"/>
      <c r="CD175" s="731"/>
      <c r="CE175" s="731"/>
      <c r="CF175" s="731"/>
    </row>
    <row r="176" spans="1:84" ht="15.75" customHeight="1">
      <c r="A176" s="732"/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733"/>
      <c r="AB176" s="732"/>
      <c r="AC176" s="733"/>
      <c r="AD176" s="733"/>
      <c r="AE176" s="733"/>
      <c r="AF176" s="733"/>
      <c r="AG176" s="733"/>
      <c r="AH176" s="732"/>
      <c r="AI176" s="732"/>
      <c r="AJ176" s="732"/>
      <c r="AK176" s="732"/>
      <c r="AL176" s="733"/>
      <c r="AM176" s="733"/>
      <c r="AN176" s="733"/>
      <c r="AO176" s="733"/>
      <c r="AP176" s="733"/>
      <c r="AQ176" s="733"/>
      <c r="AR176" s="733"/>
      <c r="AS176" s="733"/>
      <c r="AT176" s="733"/>
      <c r="AU176" s="733"/>
      <c r="AV176" s="733"/>
      <c r="AW176" s="733"/>
      <c r="AX176" s="732"/>
      <c r="AY176" s="732"/>
      <c r="AZ176" s="732"/>
      <c r="BA176" s="732"/>
      <c r="BB176" s="732"/>
      <c r="BC176" s="732"/>
      <c r="BD176" s="732"/>
      <c r="BE176" s="732"/>
      <c r="BF176" s="732"/>
      <c r="BG176" s="791"/>
      <c r="BH176" s="732"/>
      <c r="BI176" s="732"/>
      <c r="BJ176" s="732"/>
      <c r="BK176" s="732"/>
      <c r="BL176" s="732"/>
      <c r="BW176" s="790"/>
      <c r="BX176" s="790"/>
      <c r="BY176" s="792"/>
      <c r="BZ176" s="731"/>
      <c r="CA176" s="731"/>
      <c r="CB176" s="731"/>
      <c r="CC176" s="731"/>
      <c r="CD176" s="731"/>
      <c r="CE176" s="731"/>
      <c r="CF176" s="731"/>
    </row>
    <row r="177" spans="1:84" ht="15.75" customHeight="1">
      <c r="A177" s="732"/>
      <c r="B177" s="733"/>
      <c r="C177" s="733"/>
      <c r="D177" s="733"/>
      <c r="E177" s="733"/>
      <c r="F177" s="733"/>
      <c r="G177" s="733"/>
      <c r="H177" s="733"/>
      <c r="I177" s="733"/>
      <c r="J177" s="733"/>
      <c r="K177" s="733"/>
      <c r="L177" s="733"/>
      <c r="M177" s="733"/>
      <c r="N177" s="733"/>
      <c r="O177" s="733"/>
      <c r="P177" s="733"/>
      <c r="Q177" s="733"/>
      <c r="R177" s="733"/>
      <c r="S177" s="733"/>
      <c r="T177" s="733"/>
      <c r="U177" s="733"/>
      <c r="V177" s="733"/>
      <c r="W177" s="733"/>
      <c r="X177" s="733"/>
      <c r="Y177" s="733"/>
      <c r="Z177" s="733"/>
      <c r="AA177" s="733"/>
      <c r="AB177" s="732"/>
      <c r="AC177" s="733"/>
      <c r="AD177" s="733"/>
      <c r="AE177" s="733"/>
      <c r="AF177" s="733"/>
      <c r="AG177" s="733"/>
      <c r="AH177" s="732"/>
      <c r="AI177" s="732"/>
      <c r="AJ177" s="732"/>
      <c r="AK177" s="732"/>
      <c r="AL177" s="733"/>
      <c r="AM177" s="733"/>
      <c r="AN177" s="733"/>
      <c r="AO177" s="733"/>
      <c r="AP177" s="733"/>
      <c r="AQ177" s="733"/>
      <c r="AR177" s="733"/>
      <c r="AS177" s="733"/>
      <c r="AT177" s="733"/>
      <c r="AU177" s="733"/>
      <c r="AV177" s="733"/>
      <c r="AW177" s="733"/>
      <c r="AX177" s="732"/>
      <c r="AY177" s="732"/>
      <c r="AZ177" s="732"/>
      <c r="BA177" s="732"/>
      <c r="BB177" s="732"/>
      <c r="BC177" s="732"/>
      <c r="BD177" s="732"/>
      <c r="BE177" s="732"/>
      <c r="BF177" s="732"/>
      <c r="BG177" s="791"/>
      <c r="BH177" s="732"/>
      <c r="BI177" s="732"/>
      <c r="BJ177" s="732"/>
      <c r="BK177" s="732"/>
      <c r="BL177" s="732"/>
      <c r="BW177" s="790"/>
      <c r="BX177" s="790"/>
      <c r="BY177" s="792"/>
      <c r="BZ177" s="731"/>
      <c r="CA177" s="731"/>
      <c r="CB177" s="731"/>
      <c r="CC177" s="731"/>
      <c r="CD177" s="731"/>
      <c r="CE177" s="731"/>
      <c r="CF177" s="731"/>
    </row>
    <row r="178" spans="1:84" ht="15.75" customHeight="1">
      <c r="A178" s="732"/>
      <c r="B178" s="733"/>
      <c r="C178" s="733"/>
      <c r="D178" s="733"/>
      <c r="E178" s="733"/>
      <c r="F178" s="733"/>
      <c r="G178" s="733"/>
      <c r="H178" s="733"/>
      <c r="I178" s="733"/>
      <c r="J178" s="733"/>
      <c r="K178" s="733"/>
      <c r="L178" s="733"/>
      <c r="M178" s="733"/>
      <c r="N178" s="733"/>
      <c r="O178" s="733"/>
      <c r="P178" s="733"/>
      <c r="Q178" s="733"/>
      <c r="R178" s="733"/>
      <c r="S178" s="733"/>
      <c r="T178" s="733"/>
      <c r="U178" s="733"/>
      <c r="V178" s="733"/>
      <c r="W178" s="733"/>
      <c r="X178" s="733"/>
      <c r="Y178" s="733"/>
      <c r="Z178" s="733"/>
      <c r="AA178" s="733"/>
      <c r="AB178" s="732"/>
      <c r="AC178" s="733"/>
      <c r="AD178" s="733"/>
      <c r="AE178" s="733"/>
      <c r="AF178" s="733"/>
      <c r="AG178" s="733"/>
      <c r="AH178" s="732"/>
      <c r="AI178" s="732"/>
      <c r="AJ178" s="732"/>
      <c r="AK178" s="732"/>
      <c r="AL178" s="733"/>
      <c r="AM178" s="733"/>
      <c r="AN178" s="733"/>
      <c r="AO178" s="733"/>
      <c r="AP178" s="733"/>
      <c r="AQ178" s="733"/>
      <c r="AR178" s="733"/>
      <c r="AS178" s="733"/>
      <c r="AT178" s="733"/>
      <c r="AU178" s="733"/>
      <c r="AV178" s="733"/>
      <c r="AW178" s="733"/>
      <c r="AX178" s="732"/>
      <c r="AY178" s="732"/>
      <c r="AZ178" s="732"/>
      <c r="BA178" s="732"/>
      <c r="BB178" s="732"/>
      <c r="BC178" s="732"/>
      <c r="BD178" s="732"/>
      <c r="BE178" s="732"/>
      <c r="BF178" s="732"/>
      <c r="BG178" s="791"/>
      <c r="BH178" s="732"/>
      <c r="BI178" s="732"/>
      <c r="BJ178" s="732"/>
      <c r="BK178" s="732"/>
      <c r="BL178" s="732"/>
      <c r="BW178" s="790"/>
      <c r="BX178" s="790"/>
      <c r="BY178" s="792"/>
      <c r="BZ178" s="731"/>
      <c r="CA178" s="731"/>
      <c r="CB178" s="731"/>
      <c r="CC178" s="731"/>
      <c r="CD178" s="731"/>
      <c r="CE178" s="731"/>
      <c r="CF178" s="731"/>
    </row>
    <row r="179" spans="1:84" ht="15.75" customHeight="1">
      <c r="A179" s="732"/>
      <c r="B179" s="733"/>
      <c r="C179" s="733"/>
      <c r="D179" s="733"/>
      <c r="E179" s="733"/>
      <c r="F179" s="733"/>
      <c r="G179" s="733"/>
      <c r="H179" s="733"/>
      <c r="I179" s="733"/>
      <c r="J179" s="733"/>
      <c r="K179" s="733"/>
      <c r="L179" s="733"/>
      <c r="M179" s="733"/>
      <c r="N179" s="733"/>
      <c r="O179" s="733"/>
      <c r="P179" s="733"/>
      <c r="Q179" s="733"/>
      <c r="R179" s="733"/>
      <c r="S179" s="733"/>
      <c r="T179" s="733"/>
      <c r="U179" s="733"/>
      <c r="V179" s="733"/>
      <c r="W179" s="733"/>
      <c r="X179" s="733"/>
      <c r="Y179" s="733"/>
      <c r="Z179" s="733"/>
      <c r="AA179" s="733"/>
      <c r="AB179" s="732"/>
      <c r="AC179" s="733"/>
      <c r="AD179" s="733"/>
      <c r="AE179" s="733"/>
      <c r="AF179" s="733"/>
      <c r="AG179" s="733"/>
      <c r="AH179" s="732"/>
      <c r="AI179" s="732"/>
      <c r="AJ179" s="732"/>
      <c r="AK179" s="732"/>
      <c r="AL179" s="733"/>
      <c r="AM179" s="733"/>
      <c r="AN179" s="733"/>
      <c r="AO179" s="733"/>
      <c r="AP179" s="733"/>
      <c r="AQ179" s="733"/>
      <c r="AR179" s="733"/>
      <c r="AS179" s="733"/>
      <c r="AT179" s="733"/>
      <c r="AU179" s="733"/>
      <c r="AV179" s="733"/>
      <c r="AW179" s="733"/>
      <c r="AX179" s="732"/>
      <c r="AY179" s="732"/>
      <c r="AZ179" s="732"/>
      <c r="BA179" s="732"/>
      <c r="BB179" s="732"/>
      <c r="BC179" s="732"/>
      <c r="BD179" s="732"/>
      <c r="BE179" s="732"/>
      <c r="BF179" s="732"/>
      <c r="BG179" s="791"/>
      <c r="BH179" s="732"/>
      <c r="BI179" s="732"/>
      <c r="BJ179" s="732"/>
      <c r="BK179" s="732"/>
      <c r="BL179" s="732"/>
      <c r="BW179" s="790"/>
      <c r="BX179" s="790"/>
      <c r="BY179" s="792"/>
      <c r="BZ179" s="731"/>
      <c r="CA179" s="731"/>
      <c r="CB179" s="731"/>
      <c r="CC179" s="731"/>
      <c r="CD179" s="731"/>
      <c r="CE179" s="731"/>
      <c r="CF179" s="731"/>
    </row>
    <row r="180" spans="1:84" ht="15.75" customHeight="1">
      <c r="A180" s="732"/>
      <c r="B180" s="733"/>
      <c r="C180" s="733"/>
      <c r="D180" s="733"/>
      <c r="E180" s="733"/>
      <c r="F180" s="733"/>
      <c r="G180" s="733"/>
      <c r="H180" s="733"/>
      <c r="I180" s="733"/>
      <c r="J180" s="733"/>
      <c r="K180" s="733"/>
      <c r="L180" s="733"/>
      <c r="M180" s="733"/>
      <c r="N180" s="733"/>
      <c r="O180" s="733"/>
      <c r="P180" s="733"/>
      <c r="Q180" s="733"/>
      <c r="R180" s="733"/>
      <c r="S180" s="733"/>
      <c r="T180" s="733"/>
      <c r="U180" s="733"/>
      <c r="V180" s="733"/>
      <c r="W180" s="733"/>
      <c r="X180" s="733"/>
      <c r="Y180" s="733"/>
      <c r="Z180" s="733"/>
      <c r="AA180" s="733"/>
      <c r="AB180" s="732"/>
      <c r="AC180" s="733"/>
      <c r="AD180" s="733"/>
      <c r="AE180" s="733"/>
      <c r="AF180" s="733"/>
      <c r="AG180" s="733"/>
      <c r="AH180" s="732"/>
      <c r="AI180" s="732"/>
      <c r="AJ180" s="732"/>
      <c r="AK180" s="732"/>
      <c r="AL180" s="733"/>
      <c r="AM180" s="733"/>
      <c r="AN180" s="733"/>
      <c r="AO180" s="733"/>
      <c r="AP180" s="733"/>
      <c r="AQ180" s="733"/>
      <c r="AR180" s="733"/>
      <c r="AS180" s="733"/>
      <c r="AT180" s="733"/>
      <c r="AU180" s="733"/>
      <c r="AV180" s="733"/>
      <c r="AW180" s="733"/>
      <c r="AX180" s="732"/>
      <c r="AY180" s="732"/>
      <c r="AZ180" s="732"/>
      <c r="BA180" s="732"/>
      <c r="BB180" s="732"/>
      <c r="BC180" s="732"/>
      <c r="BD180" s="732"/>
      <c r="BE180" s="732"/>
      <c r="BF180" s="732"/>
      <c r="BG180" s="791"/>
      <c r="BH180" s="732"/>
      <c r="BI180" s="732"/>
      <c r="BJ180" s="732"/>
      <c r="BK180" s="732"/>
      <c r="BL180" s="732"/>
      <c r="BW180" s="790"/>
      <c r="BX180" s="790"/>
      <c r="BY180" s="792"/>
      <c r="BZ180" s="731"/>
      <c r="CA180" s="731"/>
      <c r="CB180" s="731"/>
      <c r="CC180" s="731"/>
      <c r="CD180" s="731"/>
      <c r="CE180" s="731"/>
      <c r="CF180" s="731"/>
    </row>
    <row r="181" spans="1:84" ht="15.75" customHeight="1">
      <c r="A181" s="732"/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733"/>
      <c r="AB181" s="732"/>
      <c r="AC181" s="733"/>
      <c r="AD181" s="733"/>
      <c r="AE181" s="733"/>
      <c r="AF181" s="733"/>
      <c r="AG181" s="733"/>
      <c r="AH181" s="732"/>
      <c r="AI181" s="732"/>
      <c r="AJ181" s="732"/>
      <c r="AK181" s="732"/>
      <c r="AL181" s="733"/>
      <c r="AM181" s="733"/>
      <c r="AN181" s="733"/>
      <c r="AO181" s="733"/>
      <c r="AP181" s="733"/>
      <c r="AQ181" s="733"/>
      <c r="AR181" s="733"/>
      <c r="AS181" s="733"/>
      <c r="AT181" s="733"/>
      <c r="AU181" s="733"/>
      <c r="AV181" s="733"/>
      <c r="AW181" s="733"/>
      <c r="AX181" s="732"/>
      <c r="AY181" s="732"/>
      <c r="AZ181" s="732"/>
      <c r="BA181" s="732"/>
      <c r="BB181" s="732"/>
      <c r="BC181" s="732"/>
      <c r="BD181" s="732"/>
      <c r="BE181" s="732"/>
      <c r="BF181" s="732"/>
      <c r="BG181" s="791"/>
      <c r="BH181" s="732"/>
      <c r="BI181" s="732"/>
      <c r="BJ181" s="732"/>
      <c r="BK181" s="732"/>
      <c r="BL181" s="732"/>
      <c r="BW181" s="790"/>
      <c r="BX181" s="790"/>
      <c r="BY181" s="792"/>
      <c r="BZ181" s="731"/>
      <c r="CA181" s="731"/>
      <c r="CB181" s="731"/>
      <c r="CC181" s="731"/>
      <c r="CD181" s="731"/>
      <c r="CE181" s="731"/>
      <c r="CF181" s="731"/>
    </row>
    <row r="182" spans="1:84" ht="15.75" customHeight="1">
      <c r="A182" s="732"/>
      <c r="B182" s="733"/>
      <c r="C182" s="733"/>
      <c r="D182" s="733"/>
      <c r="E182" s="733"/>
      <c r="F182" s="733"/>
      <c r="G182" s="733"/>
      <c r="H182" s="733"/>
      <c r="I182" s="733"/>
      <c r="J182" s="733"/>
      <c r="K182" s="733"/>
      <c r="L182" s="733"/>
      <c r="M182" s="733"/>
      <c r="N182" s="733"/>
      <c r="O182" s="733"/>
      <c r="P182" s="733"/>
      <c r="Q182" s="733"/>
      <c r="R182" s="733"/>
      <c r="S182" s="733"/>
      <c r="T182" s="733"/>
      <c r="U182" s="733"/>
      <c r="V182" s="733"/>
      <c r="W182" s="733"/>
      <c r="X182" s="733"/>
      <c r="Y182" s="733"/>
      <c r="Z182" s="733"/>
      <c r="AA182" s="733"/>
      <c r="AB182" s="732"/>
      <c r="AC182" s="733"/>
      <c r="AD182" s="733"/>
      <c r="AE182" s="733"/>
      <c r="AF182" s="733"/>
      <c r="AG182" s="733"/>
      <c r="AH182" s="732"/>
      <c r="AI182" s="732"/>
      <c r="AJ182" s="732"/>
      <c r="AK182" s="732"/>
      <c r="AL182" s="733"/>
      <c r="AM182" s="733"/>
      <c r="AN182" s="733"/>
      <c r="AO182" s="733"/>
      <c r="AP182" s="733"/>
      <c r="AQ182" s="733"/>
      <c r="AR182" s="733"/>
      <c r="AS182" s="733"/>
      <c r="AT182" s="733"/>
      <c r="AU182" s="733"/>
      <c r="AV182" s="733"/>
      <c r="AW182" s="733"/>
      <c r="AX182" s="732"/>
      <c r="AY182" s="732"/>
      <c r="AZ182" s="732"/>
      <c r="BA182" s="732"/>
      <c r="BB182" s="732"/>
      <c r="BC182" s="732"/>
      <c r="BD182" s="732"/>
      <c r="BE182" s="732"/>
      <c r="BF182" s="732"/>
      <c r="BG182" s="791"/>
      <c r="BH182" s="732"/>
      <c r="BI182" s="732"/>
      <c r="BJ182" s="732"/>
      <c r="BK182" s="732"/>
      <c r="BL182" s="732"/>
      <c r="BW182" s="790"/>
      <c r="BX182" s="790"/>
      <c r="BY182" s="792"/>
      <c r="BZ182" s="731"/>
      <c r="CA182" s="731"/>
      <c r="CB182" s="731"/>
      <c r="CC182" s="731"/>
      <c r="CD182" s="731"/>
      <c r="CE182" s="731"/>
      <c r="CF182" s="731"/>
    </row>
    <row r="183" spans="1:84" ht="15.75" customHeight="1">
      <c r="A183" s="732"/>
      <c r="B183" s="733"/>
      <c r="C183" s="733"/>
      <c r="D183" s="733"/>
      <c r="E183" s="733"/>
      <c r="F183" s="733"/>
      <c r="G183" s="733"/>
      <c r="H183" s="733"/>
      <c r="I183" s="733"/>
      <c r="J183" s="733"/>
      <c r="K183" s="733"/>
      <c r="L183" s="733"/>
      <c r="M183" s="733"/>
      <c r="N183" s="733"/>
      <c r="O183" s="733"/>
      <c r="P183" s="733"/>
      <c r="Q183" s="733"/>
      <c r="R183" s="733"/>
      <c r="S183" s="733"/>
      <c r="T183" s="733"/>
      <c r="U183" s="733"/>
      <c r="V183" s="733"/>
      <c r="W183" s="733"/>
      <c r="X183" s="733"/>
      <c r="Y183" s="733"/>
      <c r="Z183" s="733"/>
      <c r="AA183" s="733"/>
      <c r="AB183" s="732"/>
      <c r="AC183" s="733"/>
      <c r="AD183" s="733"/>
      <c r="AE183" s="733"/>
      <c r="AF183" s="733"/>
      <c r="AG183" s="733"/>
      <c r="AH183" s="732"/>
      <c r="AI183" s="732"/>
      <c r="AJ183" s="732"/>
      <c r="AK183" s="732"/>
      <c r="AL183" s="733"/>
      <c r="AM183" s="733"/>
      <c r="AN183" s="733"/>
      <c r="AO183" s="733"/>
      <c r="AP183" s="733"/>
      <c r="AQ183" s="733"/>
      <c r="AR183" s="733"/>
      <c r="AS183" s="733"/>
      <c r="AT183" s="733"/>
      <c r="AU183" s="733"/>
      <c r="AV183" s="733"/>
      <c r="AW183" s="733"/>
      <c r="AX183" s="732"/>
      <c r="AY183" s="732"/>
      <c r="AZ183" s="732"/>
      <c r="BA183" s="732"/>
      <c r="BB183" s="732"/>
      <c r="BC183" s="732"/>
      <c r="BD183" s="732"/>
      <c r="BE183" s="732"/>
      <c r="BF183" s="732"/>
      <c r="BG183" s="791"/>
      <c r="BH183" s="732"/>
      <c r="BI183" s="732"/>
      <c r="BJ183" s="732"/>
      <c r="BK183" s="732"/>
      <c r="BL183" s="732"/>
      <c r="BW183" s="790"/>
      <c r="BX183" s="790"/>
      <c r="BY183" s="792"/>
      <c r="BZ183" s="731"/>
      <c r="CA183" s="731"/>
      <c r="CB183" s="731"/>
      <c r="CC183" s="731"/>
      <c r="CD183" s="731"/>
      <c r="CE183" s="731"/>
      <c r="CF183" s="731"/>
    </row>
    <row r="184" spans="1:84" ht="15.75" customHeight="1">
      <c r="A184" s="732"/>
      <c r="B184" s="733"/>
      <c r="C184" s="733"/>
      <c r="D184" s="733"/>
      <c r="E184" s="733"/>
      <c r="F184" s="733"/>
      <c r="G184" s="733"/>
      <c r="H184" s="733"/>
      <c r="I184" s="733"/>
      <c r="J184" s="733"/>
      <c r="K184" s="733"/>
      <c r="L184" s="733"/>
      <c r="M184" s="733"/>
      <c r="N184" s="733"/>
      <c r="O184" s="733"/>
      <c r="P184" s="733"/>
      <c r="Q184" s="733"/>
      <c r="R184" s="733"/>
      <c r="S184" s="733"/>
      <c r="T184" s="733"/>
      <c r="U184" s="733"/>
      <c r="V184" s="733"/>
      <c r="W184" s="733"/>
      <c r="X184" s="733"/>
      <c r="Y184" s="733"/>
      <c r="Z184" s="733"/>
      <c r="AA184" s="733"/>
      <c r="AB184" s="732"/>
      <c r="AC184" s="733"/>
      <c r="AD184" s="733"/>
      <c r="AE184" s="733"/>
      <c r="AF184" s="733"/>
      <c r="AG184" s="733"/>
      <c r="AH184" s="732"/>
      <c r="AI184" s="732"/>
      <c r="AJ184" s="732"/>
      <c r="AK184" s="732"/>
      <c r="AL184" s="733"/>
      <c r="AM184" s="733"/>
      <c r="AN184" s="733"/>
      <c r="AO184" s="733"/>
      <c r="AP184" s="733"/>
      <c r="AQ184" s="733"/>
      <c r="AR184" s="733"/>
      <c r="AS184" s="733"/>
      <c r="AT184" s="733"/>
      <c r="AU184" s="733"/>
      <c r="AV184" s="733"/>
      <c r="AW184" s="733"/>
      <c r="AX184" s="732"/>
      <c r="AY184" s="732"/>
      <c r="AZ184" s="732"/>
      <c r="BA184" s="732"/>
      <c r="BB184" s="732"/>
      <c r="BC184" s="732"/>
      <c r="BD184" s="732"/>
      <c r="BE184" s="732"/>
      <c r="BF184" s="732"/>
      <c r="BG184" s="791"/>
      <c r="BH184" s="732"/>
      <c r="BI184" s="732"/>
      <c r="BJ184" s="732"/>
      <c r="BK184" s="732"/>
      <c r="BL184" s="732"/>
      <c r="BW184" s="790"/>
      <c r="BX184" s="790"/>
      <c r="BY184" s="792"/>
      <c r="BZ184" s="731"/>
      <c r="CA184" s="731"/>
      <c r="CB184" s="731"/>
      <c r="CC184" s="731"/>
      <c r="CD184" s="731"/>
      <c r="CE184" s="731"/>
      <c r="CF184" s="731"/>
    </row>
    <row r="185" spans="1:84" ht="15.75" customHeight="1">
      <c r="A185" s="732"/>
      <c r="B185" s="733"/>
      <c r="C185" s="733"/>
      <c r="D185" s="733"/>
      <c r="E185" s="733"/>
      <c r="F185" s="733"/>
      <c r="G185" s="733"/>
      <c r="H185" s="733"/>
      <c r="I185" s="733"/>
      <c r="J185" s="733"/>
      <c r="K185" s="733"/>
      <c r="L185" s="733"/>
      <c r="M185" s="733"/>
      <c r="N185" s="733"/>
      <c r="O185" s="733"/>
      <c r="P185" s="733"/>
      <c r="Q185" s="733"/>
      <c r="R185" s="733"/>
      <c r="S185" s="733"/>
      <c r="T185" s="733"/>
      <c r="U185" s="733"/>
      <c r="V185" s="733"/>
      <c r="W185" s="733"/>
      <c r="X185" s="733"/>
      <c r="Y185" s="733"/>
      <c r="Z185" s="733"/>
      <c r="AA185" s="733"/>
      <c r="AB185" s="732"/>
      <c r="AC185" s="733"/>
      <c r="AD185" s="733"/>
      <c r="AE185" s="733"/>
      <c r="AF185" s="733"/>
      <c r="AG185" s="733"/>
      <c r="AH185" s="732"/>
      <c r="AI185" s="732"/>
      <c r="AJ185" s="732"/>
      <c r="AK185" s="732"/>
      <c r="AL185" s="733"/>
      <c r="AM185" s="733"/>
      <c r="AN185" s="733"/>
      <c r="AO185" s="733"/>
      <c r="AP185" s="733"/>
      <c r="AQ185" s="733"/>
      <c r="AR185" s="733"/>
      <c r="AS185" s="733"/>
      <c r="AT185" s="733"/>
      <c r="AU185" s="733"/>
      <c r="AV185" s="733"/>
      <c r="AW185" s="733"/>
      <c r="AX185" s="732"/>
      <c r="AY185" s="732"/>
      <c r="AZ185" s="732"/>
      <c r="BA185" s="732"/>
      <c r="BB185" s="732"/>
      <c r="BC185" s="732"/>
      <c r="BD185" s="732"/>
      <c r="BE185" s="732"/>
      <c r="BF185" s="732"/>
      <c r="BG185" s="791"/>
      <c r="BH185" s="732"/>
      <c r="BI185" s="732"/>
      <c r="BJ185" s="732"/>
      <c r="BK185" s="732"/>
      <c r="BL185" s="732"/>
      <c r="BW185" s="790"/>
      <c r="BX185" s="790"/>
      <c r="BY185" s="792"/>
      <c r="BZ185" s="731"/>
      <c r="CA185" s="731"/>
      <c r="CB185" s="731"/>
      <c r="CC185" s="731"/>
      <c r="CD185" s="731"/>
      <c r="CE185" s="731"/>
      <c r="CF185" s="731"/>
    </row>
    <row r="186" spans="1:84" ht="15.75" customHeight="1">
      <c r="A186" s="732"/>
      <c r="B186" s="733"/>
      <c r="C186" s="733"/>
      <c r="D186" s="733"/>
      <c r="E186" s="733"/>
      <c r="F186" s="733"/>
      <c r="G186" s="733"/>
      <c r="H186" s="733"/>
      <c r="I186" s="733"/>
      <c r="J186" s="733"/>
      <c r="K186" s="733"/>
      <c r="L186" s="733"/>
      <c r="M186" s="733"/>
      <c r="N186" s="733"/>
      <c r="O186" s="733"/>
      <c r="P186" s="733"/>
      <c r="Q186" s="733"/>
      <c r="R186" s="733"/>
      <c r="S186" s="733"/>
      <c r="T186" s="733"/>
      <c r="U186" s="733"/>
      <c r="V186" s="733"/>
      <c r="W186" s="733"/>
      <c r="X186" s="733"/>
      <c r="Y186" s="733"/>
      <c r="Z186" s="733"/>
      <c r="AA186" s="733"/>
      <c r="AB186" s="732"/>
      <c r="AC186" s="733"/>
      <c r="AD186" s="733"/>
      <c r="AE186" s="733"/>
      <c r="AF186" s="733"/>
      <c r="AG186" s="733"/>
      <c r="AH186" s="732"/>
      <c r="AI186" s="732"/>
      <c r="AJ186" s="732"/>
      <c r="AK186" s="732"/>
      <c r="AL186" s="733"/>
      <c r="AM186" s="733"/>
      <c r="AN186" s="733"/>
      <c r="AO186" s="733"/>
      <c r="AP186" s="733"/>
      <c r="AQ186" s="733"/>
      <c r="AR186" s="733"/>
      <c r="AS186" s="733"/>
      <c r="AT186" s="733"/>
      <c r="AU186" s="733"/>
      <c r="AV186" s="733"/>
      <c r="AW186" s="733"/>
      <c r="AX186" s="732"/>
      <c r="AY186" s="732"/>
      <c r="AZ186" s="732"/>
      <c r="BA186" s="732"/>
      <c r="BB186" s="732"/>
      <c r="BC186" s="732"/>
      <c r="BD186" s="732"/>
      <c r="BE186" s="732"/>
      <c r="BF186" s="732"/>
      <c r="BG186" s="791"/>
      <c r="BH186" s="732"/>
      <c r="BI186" s="732"/>
      <c r="BJ186" s="732"/>
      <c r="BK186" s="732"/>
      <c r="BL186" s="732"/>
      <c r="BW186" s="790"/>
      <c r="BX186" s="790"/>
      <c r="BY186" s="792"/>
      <c r="BZ186" s="731"/>
      <c r="CA186" s="731"/>
      <c r="CB186" s="731"/>
      <c r="CC186" s="731"/>
      <c r="CD186" s="731"/>
      <c r="CE186" s="731"/>
      <c r="CF186" s="731"/>
    </row>
    <row r="187" spans="1:84" ht="15.75" customHeight="1">
      <c r="A187" s="732"/>
      <c r="B187" s="733"/>
      <c r="C187" s="733"/>
      <c r="D187" s="733"/>
      <c r="E187" s="733"/>
      <c r="F187" s="733"/>
      <c r="G187" s="733"/>
      <c r="H187" s="733"/>
      <c r="I187" s="733"/>
      <c r="J187" s="733"/>
      <c r="K187" s="733"/>
      <c r="L187" s="733"/>
      <c r="M187" s="733"/>
      <c r="N187" s="733"/>
      <c r="O187" s="733"/>
      <c r="P187" s="733"/>
      <c r="Q187" s="733"/>
      <c r="R187" s="733"/>
      <c r="S187" s="733"/>
      <c r="T187" s="733"/>
      <c r="U187" s="733"/>
      <c r="V187" s="733"/>
      <c r="W187" s="733"/>
      <c r="X187" s="733"/>
      <c r="Y187" s="733"/>
      <c r="Z187" s="733"/>
      <c r="AA187" s="733"/>
      <c r="AB187" s="732"/>
      <c r="AC187" s="733"/>
      <c r="AD187" s="733"/>
      <c r="AE187" s="733"/>
      <c r="AF187" s="733"/>
      <c r="AG187" s="733"/>
      <c r="AH187" s="732"/>
      <c r="AI187" s="732"/>
      <c r="AJ187" s="732"/>
      <c r="AK187" s="732"/>
      <c r="AL187" s="733"/>
      <c r="AM187" s="733"/>
      <c r="AN187" s="733"/>
      <c r="AO187" s="733"/>
      <c r="AP187" s="733"/>
      <c r="AQ187" s="733"/>
      <c r="AR187" s="733"/>
      <c r="AS187" s="733"/>
      <c r="AT187" s="733"/>
      <c r="AU187" s="733"/>
      <c r="AV187" s="733"/>
      <c r="AW187" s="733"/>
      <c r="AX187" s="732"/>
      <c r="AY187" s="732"/>
      <c r="AZ187" s="732"/>
      <c r="BA187" s="732"/>
      <c r="BB187" s="732"/>
      <c r="BC187" s="732"/>
      <c r="BD187" s="732"/>
      <c r="BE187" s="732"/>
      <c r="BF187" s="732"/>
      <c r="BG187" s="791"/>
      <c r="BH187" s="732"/>
      <c r="BI187" s="732"/>
      <c r="BJ187" s="732"/>
      <c r="BK187" s="732"/>
      <c r="BL187" s="732"/>
      <c r="BW187" s="790"/>
      <c r="BX187" s="790"/>
      <c r="BY187" s="792"/>
      <c r="BZ187" s="731"/>
      <c r="CA187" s="731"/>
      <c r="CB187" s="731"/>
      <c r="CC187" s="731"/>
      <c r="CD187" s="731"/>
      <c r="CE187" s="731"/>
      <c r="CF187" s="731"/>
    </row>
    <row r="188" spans="1:84" ht="15.75" customHeight="1">
      <c r="A188" s="732"/>
      <c r="B188" s="733"/>
      <c r="C188" s="733"/>
      <c r="D188" s="733"/>
      <c r="E188" s="733"/>
      <c r="F188" s="733"/>
      <c r="G188" s="733"/>
      <c r="H188" s="733"/>
      <c r="I188" s="733"/>
      <c r="J188" s="733"/>
      <c r="K188" s="733"/>
      <c r="L188" s="733"/>
      <c r="M188" s="733"/>
      <c r="N188" s="733"/>
      <c r="O188" s="733"/>
      <c r="P188" s="733"/>
      <c r="Q188" s="733"/>
      <c r="R188" s="733"/>
      <c r="S188" s="733"/>
      <c r="T188" s="733"/>
      <c r="U188" s="733"/>
      <c r="V188" s="733"/>
      <c r="W188" s="733"/>
      <c r="X188" s="733"/>
      <c r="Y188" s="733"/>
      <c r="Z188" s="733"/>
      <c r="AA188" s="733"/>
      <c r="AB188" s="732"/>
      <c r="AC188" s="733"/>
      <c r="AD188" s="733"/>
      <c r="AE188" s="733"/>
      <c r="AF188" s="733"/>
      <c r="AG188" s="733"/>
      <c r="AH188" s="732"/>
      <c r="AI188" s="732"/>
      <c r="AJ188" s="732"/>
      <c r="AK188" s="732"/>
      <c r="AL188" s="733"/>
      <c r="AM188" s="733"/>
      <c r="AN188" s="733"/>
      <c r="AO188" s="733"/>
      <c r="AP188" s="733"/>
      <c r="AQ188" s="733"/>
      <c r="AR188" s="733"/>
      <c r="AS188" s="733"/>
      <c r="AT188" s="733"/>
      <c r="AU188" s="733"/>
      <c r="AV188" s="733"/>
      <c r="AW188" s="733"/>
      <c r="AX188" s="732"/>
      <c r="AY188" s="732"/>
      <c r="AZ188" s="732"/>
      <c r="BA188" s="732"/>
      <c r="BB188" s="732"/>
      <c r="BC188" s="732"/>
      <c r="BD188" s="732"/>
      <c r="BE188" s="732"/>
      <c r="BF188" s="732"/>
      <c r="BG188" s="791"/>
      <c r="BH188" s="732"/>
      <c r="BI188" s="732"/>
      <c r="BJ188" s="732"/>
      <c r="BK188" s="732"/>
      <c r="BL188" s="732"/>
      <c r="BW188" s="790"/>
      <c r="BX188" s="790"/>
      <c r="BY188" s="792"/>
      <c r="BZ188" s="731"/>
      <c r="CA188" s="731"/>
      <c r="CB188" s="731"/>
      <c r="CC188" s="731"/>
      <c r="CD188" s="731"/>
      <c r="CE188" s="731"/>
      <c r="CF188" s="731"/>
    </row>
    <row r="189" spans="1:84" ht="15.75" customHeight="1">
      <c r="A189" s="732"/>
      <c r="B189" s="733"/>
      <c r="C189" s="733"/>
      <c r="D189" s="733"/>
      <c r="E189" s="733"/>
      <c r="F189" s="733"/>
      <c r="G189" s="733"/>
      <c r="H189" s="733"/>
      <c r="I189" s="733"/>
      <c r="J189" s="733"/>
      <c r="K189" s="733"/>
      <c r="L189" s="733"/>
      <c r="M189" s="733"/>
      <c r="N189" s="733"/>
      <c r="O189" s="733"/>
      <c r="P189" s="733"/>
      <c r="Q189" s="733"/>
      <c r="R189" s="733"/>
      <c r="S189" s="733"/>
      <c r="T189" s="733"/>
      <c r="U189" s="733"/>
      <c r="V189" s="733"/>
      <c r="W189" s="733"/>
      <c r="X189" s="733"/>
      <c r="Y189" s="733"/>
      <c r="Z189" s="733"/>
      <c r="AA189" s="733"/>
      <c r="AB189" s="732"/>
      <c r="AC189" s="733"/>
      <c r="AD189" s="733"/>
      <c r="AE189" s="733"/>
      <c r="AF189" s="733"/>
      <c r="AG189" s="733"/>
      <c r="AH189" s="732"/>
      <c r="AI189" s="732"/>
      <c r="AJ189" s="732"/>
      <c r="AK189" s="732"/>
      <c r="AL189" s="733"/>
      <c r="AM189" s="733"/>
      <c r="AN189" s="733"/>
      <c r="AO189" s="733"/>
      <c r="AP189" s="733"/>
      <c r="AQ189" s="733"/>
      <c r="AR189" s="733"/>
      <c r="AS189" s="733"/>
      <c r="AT189" s="733"/>
      <c r="AU189" s="733"/>
      <c r="AV189" s="733"/>
      <c r="AW189" s="733"/>
      <c r="AX189" s="732"/>
      <c r="AY189" s="732"/>
      <c r="AZ189" s="732"/>
      <c r="BA189" s="732"/>
      <c r="BB189" s="732"/>
      <c r="BC189" s="732"/>
      <c r="BD189" s="732"/>
      <c r="BE189" s="732"/>
      <c r="BF189" s="732"/>
      <c r="BG189" s="791"/>
      <c r="BH189" s="732"/>
      <c r="BI189" s="732"/>
      <c r="BJ189" s="732"/>
      <c r="BK189" s="732"/>
      <c r="BL189" s="732"/>
      <c r="BW189" s="790"/>
      <c r="BX189" s="790"/>
      <c r="BY189" s="792"/>
      <c r="BZ189" s="731"/>
      <c r="CA189" s="731"/>
      <c r="CB189" s="731"/>
      <c r="CC189" s="731"/>
      <c r="CD189" s="731"/>
      <c r="CE189" s="731"/>
      <c r="CF189" s="731"/>
    </row>
    <row r="190" spans="1:84" ht="15.75" customHeight="1">
      <c r="A190" s="732"/>
      <c r="B190" s="733"/>
      <c r="C190" s="733"/>
      <c r="D190" s="733"/>
      <c r="E190" s="733"/>
      <c r="F190" s="733"/>
      <c r="G190" s="733"/>
      <c r="H190" s="733"/>
      <c r="I190" s="733"/>
      <c r="J190" s="733"/>
      <c r="K190" s="733"/>
      <c r="L190" s="733"/>
      <c r="M190" s="733"/>
      <c r="N190" s="733"/>
      <c r="O190" s="733"/>
      <c r="P190" s="733"/>
      <c r="Q190" s="733"/>
      <c r="R190" s="733"/>
      <c r="S190" s="733"/>
      <c r="T190" s="733"/>
      <c r="U190" s="733"/>
      <c r="V190" s="733"/>
      <c r="W190" s="733"/>
      <c r="X190" s="733"/>
      <c r="Y190" s="733"/>
      <c r="Z190" s="733"/>
      <c r="AA190" s="733"/>
      <c r="AB190" s="732"/>
      <c r="AC190" s="733"/>
      <c r="AD190" s="733"/>
      <c r="AE190" s="733"/>
      <c r="AF190" s="733"/>
      <c r="AG190" s="733"/>
      <c r="AH190" s="732"/>
      <c r="AI190" s="732"/>
      <c r="AJ190" s="732"/>
      <c r="AK190" s="732"/>
      <c r="AL190" s="733"/>
      <c r="AM190" s="733"/>
      <c r="AN190" s="733"/>
      <c r="AO190" s="733"/>
      <c r="AP190" s="733"/>
      <c r="AQ190" s="733"/>
      <c r="AR190" s="733"/>
      <c r="AS190" s="733"/>
      <c r="AT190" s="733"/>
      <c r="AU190" s="733"/>
      <c r="AV190" s="733"/>
      <c r="AW190" s="733"/>
      <c r="AX190" s="732"/>
      <c r="AY190" s="732"/>
      <c r="AZ190" s="732"/>
      <c r="BA190" s="732"/>
      <c r="BB190" s="732"/>
      <c r="BC190" s="732"/>
      <c r="BD190" s="732"/>
      <c r="BE190" s="732"/>
      <c r="BF190" s="732"/>
      <c r="BG190" s="791"/>
      <c r="BH190" s="732"/>
      <c r="BI190" s="732"/>
      <c r="BJ190" s="732"/>
      <c r="BK190" s="732"/>
      <c r="BL190" s="732"/>
      <c r="BW190" s="790"/>
      <c r="BX190" s="790"/>
      <c r="BY190" s="792"/>
      <c r="BZ190" s="731"/>
      <c r="CA190" s="731"/>
      <c r="CB190" s="731"/>
      <c r="CC190" s="731"/>
      <c r="CD190" s="731"/>
      <c r="CE190" s="731"/>
      <c r="CF190" s="731"/>
    </row>
    <row r="191" spans="1:84" ht="15.75" customHeight="1">
      <c r="A191" s="732"/>
      <c r="B191" s="733"/>
      <c r="C191" s="733"/>
      <c r="D191" s="733"/>
      <c r="E191" s="733"/>
      <c r="F191" s="733"/>
      <c r="G191" s="733"/>
      <c r="H191" s="733"/>
      <c r="I191" s="733"/>
      <c r="J191" s="733"/>
      <c r="K191" s="733"/>
      <c r="L191" s="733"/>
      <c r="M191" s="733"/>
      <c r="N191" s="733"/>
      <c r="O191" s="733"/>
      <c r="P191" s="733"/>
      <c r="Q191" s="733"/>
      <c r="R191" s="733"/>
      <c r="S191" s="733"/>
      <c r="T191" s="733"/>
      <c r="U191" s="733"/>
      <c r="V191" s="733"/>
      <c r="W191" s="733"/>
      <c r="X191" s="733"/>
      <c r="Y191" s="733"/>
      <c r="Z191" s="733"/>
      <c r="AA191" s="733"/>
      <c r="AB191" s="732"/>
      <c r="AC191" s="733"/>
      <c r="AD191" s="733"/>
      <c r="AE191" s="733"/>
      <c r="AF191" s="733"/>
      <c r="AG191" s="733"/>
      <c r="AH191" s="732"/>
      <c r="AI191" s="732"/>
      <c r="AJ191" s="732"/>
      <c r="AK191" s="732"/>
      <c r="AL191" s="733"/>
      <c r="AM191" s="733"/>
      <c r="AN191" s="733"/>
      <c r="AO191" s="733"/>
      <c r="AP191" s="733"/>
      <c r="AQ191" s="733"/>
      <c r="AR191" s="733"/>
      <c r="AS191" s="733"/>
      <c r="AT191" s="733"/>
      <c r="AU191" s="733"/>
      <c r="AV191" s="733"/>
      <c r="AW191" s="733"/>
      <c r="AX191" s="732"/>
      <c r="AY191" s="732"/>
      <c r="AZ191" s="732"/>
      <c r="BA191" s="732"/>
      <c r="BB191" s="732"/>
      <c r="BC191" s="732"/>
      <c r="BD191" s="732"/>
      <c r="BE191" s="732"/>
      <c r="BF191" s="732"/>
      <c r="BG191" s="791"/>
      <c r="BH191" s="732"/>
      <c r="BI191" s="732"/>
      <c r="BJ191" s="732"/>
      <c r="BK191" s="732"/>
      <c r="BL191" s="732"/>
      <c r="BW191" s="790"/>
      <c r="BX191" s="790"/>
      <c r="BY191" s="792"/>
      <c r="BZ191" s="731"/>
      <c r="CA191" s="731"/>
      <c r="CB191" s="731"/>
      <c r="CC191" s="731"/>
      <c r="CD191" s="731"/>
      <c r="CE191" s="731"/>
      <c r="CF191" s="731"/>
    </row>
    <row r="192" spans="1:84" ht="15.75" customHeight="1">
      <c r="A192" s="732"/>
      <c r="B192" s="733"/>
      <c r="C192" s="733"/>
      <c r="D192" s="733"/>
      <c r="E192" s="733"/>
      <c r="F192" s="733"/>
      <c r="G192" s="733"/>
      <c r="H192" s="733"/>
      <c r="I192" s="733"/>
      <c r="J192" s="733"/>
      <c r="K192" s="733"/>
      <c r="L192" s="733"/>
      <c r="M192" s="733"/>
      <c r="N192" s="733"/>
      <c r="O192" s="733"/>
      <c r="P192" s="733"/>
      <c r="Q192" s="733"/>
      <c r="R192" s="733"/>
      <c r="S192" s="733"/>
      <c r="T192" s="733"/>
      <c r="U192" s="733"/>
      <c r="V192" s="733"/>
      <c r="W192" s="733"/>
      <c r="X192" s="733"/>
      <c r="Y192" s="733"/>
      <c r="Z192" s="733"/>
      <c r="AA192" s="733"/>
      <c r="AB192" s="732"/>
      <c r="AC192" s="733"/>
      <c r="AD192" s="733"/>
      <c r="AE192" s="733"/>
      <c r="AF192" s="733"/>
      <c r="AG192" s="733"/>
      <c r="AH192" s="732"/>
      <c r="AI192" s="732"/>
      <c r="AJ192" s="732"/>
      <c r="AK192" s="732"/>
      <c r="AL192" s="733"/>
      <c r="AM192" s="733"/>
      <c r="AN192" s="733"/>
      <c r="AO192" s="733"/>
      <c r="AP192" s="733"/>
      <c r="AQ192" s="733"/>
      <c r="AR192" s="733"/>
      <c r="AS192" s="733"/>
      <c r="AT192" s="733"/>
      <c r="AU192" s="733"/>
      <c r="AV192" s="733"/>
      <c r="AW192" s="733"/>
      <c r="AX192" s="732"/>
      <c r="AY192" s="732"/>
      <c r="AZ192" s="732"/>
      <c r="BA192" s="732"/>
      <c r="BB192" s="732"/>
      <c r="BC192" s="732"/>
      <c r="BD192" s="732"/>
      <c r="BE192" s="732"/>
      <c r="BF192" s="732"/>
      <c r="BG192" s="791"/>
      <c r="BH192" s="732"/>
      <c r="BI192" s="732"/>
      <c r="BJ192" s="732"/>
      <c r="BK192" s="732"/>
      <c r="BL192" s="732"/>
      <c r="BW192" s="790"/>
      <c r="BX192" s="790"/>
      <c r="BY192" s="792"/>
      <c r="BZ192" s="731"/>
      <c r="CA192" s="731"/>
      <c r="CB192" s="731"/>
      <c r="CC192" s="731"/>
      <c r="CD192" s="731"/>
      <c r="CE192" s="731"/>
      <c r="CF192" s="731"/>
    </row>
    <row r="193" spans="1:84" ht="15.75" customHeight="1">
      <c r="A193" s="732"/>
      <c r="B193" s="733"/>
      <c r="C193" s="733"/>
      <c r="D193" s="733"/>
      <c r="E193" s="733"/>
      <c r="F193" s="733"/>
      <c r="G193" s="733"/>
      <c r="H193" s="733"/>
      <c r="I193" s="733"/>
      <c r="J193" s="733"/>
      <c r="K193" s="733"/>
      <c r="L193" s="733"/>
      <c r="M193" s="733"/>
      <c r="N193" s="733"/>
      <c r="O193" s="733"/>
      <c r="P193" s="733"/>
      <c r="Q193" s="733"/>
      <c r="R193" s="733"/>
      <c r="S193" s="733"/>
      <c r="T193" s="733"/>
      <c r="U193" s="733"/>
      <c r="V193" s="733"/>
      <c r="W193" s="733"/>
      <c r="X193" s="733"/>
      <c r="Y193" s="733"/>
      <c r="Z193" s="733"/>
      <c r="AA193" s="733"/>
      <c r="AB193" s="732"/>
      <c r="AC193" s="733"/>
      <c r="AD193" s="733"/>
      <c r="AE193" s="733"/>
      <c r="AF193" s="733"/>
      <c r="AG193" s="733"/>
      <c r="AH193" s="732"/>
      <c r="AI193" s="732"/>
      <c r="AJ193" s="732"/>
      <c r="AK193" s="732"/>
      <c r="AL193" s="733"/>
      <c r="AM193" s="733"/>
      <c r="AN193" s="733"/>
      <c r="AO193" s="733"/>
      <c r="AP193" s="733"/>
      <c r="AQ193" s="733"/>
      <c r="AR193" s="733"/>
      <c r="AS193" s="733"/>
      <c r="AT193" s="733"/>
      <c r="AU193" s="733"/>
      <c r="AV193" s="733"/>
      <c r="AW193" s="733"/>
      <c r="AX193" s="732"/>
      <c r="AY193" s="732"/>
      <c r="AZ193" s="732"/>
      <c r="BA193" s="732"/>
      <c r="BB193" s="732"/>
      <c r="BC193" s="732"/>
      <c r="BD193" s="732"/>
      <c r="BE193" s="732"/>
      <c r="BF193" s="732"/>
      <c r="BG193" s="791"/>
      <c r="BH193" s="732"/>
      <c r="BI193" s="732"/>
      <c r="BJ193" s="732"/>
      <c r="BK193" s="732"/>
      <c r="BL193" s="732"/>
      <c r="BW193" s="790"/>
      <c r="BX193" s="790"/>
      <c r="BY193" s="792"/>
      <c r="BZ193" s="731"/>
      <c r="CA193" s="731"/>
      <c r="CB193" s="731"/>
      <c r="CC193" s="731"/>
      <c r="CD193" s="731"/>
      <c r="CE193" s="731"/>
      <c r="CF193" s="731"/>
    </row>
    <row r="194" spans="1:84" ht="15.75" customHeight="1">
      <c r="A194" s="732"/>
      <c r="B194" s="733"/>
      <c r="C194" s="733"/>
      <c r="D194" s="733"/>
      <c r="E194" s="733"/>
      <c r="F194" s="733"/>
      <c r="G194" s="733"/>
      <c r="H194" s="733"/>
      <c r="I194" s="733"/>
      <c r="J194" s="733"/>
      <c r="K194" s="733"/>
      <c r="L194" s="733"/>
      <c r="M194" s="733"/>
      <c r="N194" s="733"/>
      <c r="O194" s="733"/>
      <c r="P194" s="733"/>
      <c r="Q194" s="733"/>
      <c r="R194" s="733"/>
      <c r="S194" s="733"/>
      <c r="T194" s="733"/>
      <c r="U194" s="733"/>
      <c r="V194" s="733"/>
      <c r="W194" s="733"/>
      <c r="X194" s="733"/>
      <c r="Y194" s="733"/>
      <c r="Z194" s="733"/>
      <c r="AA194" s="733"/>
      <c r="AB194" s="732"/>
      <c r="AC194" s="733"/>
      <c r="AD194" s="733"/>
      <c r="AE194" s="733"/>
      <c r="AF194" s="733"/>
      <c r="AG194" s="733"/>
      <c r="AH194" s="732"/>
      <c r="AI194" s="732"/>
      <c r="AJ194" s="732"/>
      <c r="AK194" s="732"/>
      <c r="AL194" s="733"/>
      <c r="AM194" s="733"/>
      <c r="AN194" s="733"/>
      <c r="AO194" s="733"/>
      <c r="AP194" s="733"/>
      <c r="AQ194" s="733"/>
      <c r="AR194" s="733"/>
      <c r="AS194" s="733"/>
      <c r="AT194" s="733"/>
      <c r="AU194" s="733"/>
      <c r="AV194" s="733"/>
      <c r="AW194" s="733"/>
      <c r="AX194" s="732"/>
      <c r="AY194" s="732"/>
      <c r="AZ194" s="732"/>
      <c r="BA194" s="732"/>
      <c r="BB194" s="732"/>
      <c r="BC194" s="732"/>
      <c r="BD194" s="732"/>
      <c r="BE194" s="732"/>
      <c r="BF194" s="732"/>
      <c r="BG194" s="791"/>
      <c r="BH194" s="732"/>
      <c r="BI194" s="732"/>
      <c r="BJ194" s="732"/>
      <c r="BK194" s="732"/>
      <c r="BL194" s="732"/>
      <c r="BW194" s="790"/>
      <c r="BX194" s="790"/>
      <c r="BY194" s="792"/>
      <c r="BZ194" s="731"/>
      <c r="CA194" s="731"/>
      <c r="CB194" s="731"/>
      <c r="CC194" s="731"/>
      <c r="CD194" s="731"/>
      <c r="CE194" s="731"/>
      <c r="CF194" s="731"/>
    </row>
    <row r="195" spans="1:84" ht="15.75" customHeight="1">
      <c r="A195" s="732"/>
      <c r="B195" s="733"/>
      <c r="C195" s="733"/>
      <c r="D195" s="733"/>
      <c r="E195" s="733"/>
      <c r="F195" s="733"/>
      <c r="G195" s="733"/>
      <c r="H195" s="733"/>
      <c r="I195" s="733"/>
      <c r="J195" s="733"/>
      <c r="K195" s="733"/>
      <c r="L195" s="733"/>
      <c r="M195" s="733"/>
      <c r="N195" s="733"/>
      <c r="O195" s="733"/>
      <c r="P195" s="733"/>
      <c r="Q195" s="733"/>
      <c r="R195" s="733"/>
      <c r="S195" s="733"/>
      <c r="T195" s="733"/>
      <c r="U195" s="733"/>
      <c r="V195" s="733"/>
      <c r="W195" s="733"/>
      <c r="X195" s="733"/>
      <c r="Y195" s="733"/>
      <c r="Z195" s="733"/>
      <c r="AA195" s="733"/>
      <c r="AB195" s="732"/>
      <c r="AC195" s="733"/>
      <c r="AD195" s="733"/>
      <c r="AE195" s="733"/>
      <c r="AF195" s="733"/>
      <c r="AG195" s="733"/>
      <c r="AH195" s="732"/>
      <c r="AI195" s="732"/>
      <c r="AJ195" s="732"/>
      <c r="AK195" s="732"/>
      <c r="AL195" s="733"/>
      <c r="AM195" s="733"/>
      <c r="AN195" s="733"/>
      <c r="AO195" s="733"/>
      <c r="AP195" s="733"/>
      <c r="AQ195" s="733"/>
      <c r="AR195" s="733"/>
      <c r="AS195" s="733"/>
      <c r="AT195" s="733"/>
      <c r="AU195" s="733"/>
      <c r="AV195" s="733"/>
      <c r="AW195" s="733"/>
      <c r="AX195" s="732"/>
      <c r="AY195" s="732"/>
      <c r="AZ195" s="732"/>
      <c r="BA195" s="732"/>
      <c r="BB195" s="732"/>
      <c r="BC195" s="732"/>
      <c r="BD195" s="732"/>
      <c r="BE195" s="732"/>
      <c r="BF195" s="732"/>
      <c r="BG195" s="791"/>
      <c r="BH195" s="732"/>
      <c r="BI195" s="732"/>
      <c r="BJ195" s="732"/>
      <c r="BK195" s="732"/>
      <c r="BL195" s="732"/>
      <c r="BW195" s="790"/>
      <c r="BX195" s="790"/>
      <c r="BY195" s="792"/>
      <c r="BZ195" s="731"/>
      <c r="CA195" s="731"/>
      <c r="CB195" s="731"/>
      <c r="CC195" s="731"/>
      <c r="CD195" s="731"/>
      <c r="CE195" s="731"/>
      <c r="CF195" s="731"/>
    </row>
    <row r="196" spans="1:84" ht="15.75" customHeight="1">
      <c r="A196" s="732"/>
      <c r="B196" s="733"/>
      <c r="C196" s="733"/>
      <c r="D196" s="733"/>
      <c r="E196" s="733"/>
      <c r="F196" s="733"/>
      <c r="G196" s="733"/>
      <c r="H196" s="733"/>
      <c r="I196" s="733"/>
      <c r="J196" s="733"/>
      <c r="K196" s="733"/>
      <c r="L196" s="733"/>
      <c r="M196" s="733"/>
      <c r="N196" s="733"/>
      <c r="O196" s="733"/>
      <c r="P196" s="733"/>
      <c r="Q196" s="733"/>
      <c r="R196" s="733"/>
      <c r="S196" s="733"/>
      <c r="T196" s="733"/>
      <c r="U196" s="733"/>
      <c r="V196" s="733"/>
      <c r="W196" s="733"/>
      <c r="X196" s="733"/>
      <c r="Y196" s="733"/>
      <c r="Z196" s="733"/>
      <c r="AA196" s="733"/>
      <c r="AB196" s="732"/>
      <c r="AC196" s="733"/>
      <c r="AD196" s="733"/>
      <c r="AE196" s="733"/>
      <c r="AF196" s="733"/>
      <c r="AG196" s="733"/>
      <c r="AH196" s="732"/>
      <c r="AI196" s="732"/>
      <c r="AJ196" s="732"/>
      <c r="AK196" s="732"/>
      <c r="AL196" s="733"/>
      <c r="AM196" s="733"/>
      <c r="AN196" s="733"/>
      <c r="AO196" s="733"/>
      <c r="AP196" s="733"/>
      <c r="AQ196" s="733"/>
      <c r="AR196" s="733"/>
      <c r="AS196" s="733"/>
      <c r="AT196" s="733"/>
      <c r="AU196" s="733"/>
      <c r="AV196" s="733"/>
      <c r="AW196" s="733"/>
      <c r="AX196" s="732"/>
      <c r="AY196" s="732"/>
      <c r="AZ196" s="732"/>
      <c r="BA196" s="732"/>
      <c r="BB196" s="732"/>
      <c r="BC196" s="732"/>
      <c r="BD196" s="732"/>
      <c r="BE196" s="732"/>
      <c r="BF196" s="732"/>
      <c r="BG196" s="791"/>
      <c r="BH196" s="732"/>
      <c r="BI196" s="732"/>
      <c r="BJ196" s="732"/>
      <c r="BK196" s="732"/>
      <c r="BL196" s="732"/>
      <c r="BW196" s="790"/>
      <c r="BX196" s="790"/>
      <c r="BY196" s="792"/>
      <c r="BZ196" s="731"/>
      <c r="CA196" s="731"/>
      <c r="CB196" s="731"/>
      <c r="CC196" s="731"/>
      <c r="CD196" s="731"/>
      <c r="CE196" s="731"/>
      <c r="CF196" s="731"/>
    </row>
    <row r="197" spans="1:84" ht="15.75" customHeight="1">
      <c r="A197" s="732"/>
      <c r="B197" s="733"/>
      <c r="C197" s="733"/>
      <c r="D197" s="733"/>
      <c r="E197" s="733"/>
      <c r="F197" s="733"/>
      <c r="G197" s="733"/>
      <c r="H197" s="733"/>
      <c r="I197" s="733"/>
      <c r="J197" s="733"/>
      <c r="K197" s="733"/>
      <c r="L197" s="733"/>
      <c r="M197" s="733"/>
      <c r="N197" s="733"/>
      <c r="O197" s="733"/>
      <c r="P197" s="733"/>
      <c r="Q197" s="733"/>
      <c r="R197" s="733"/>
      <c r="S197" s="733"/>
      <c r="T197" s="733"/>
      <c r="U197" s="733"/>
      <c r="V197" s="733"/>
      <c r="W197" s="733"/>
      <c r="X197" s="733"/>
      <c r="Y197" s="733"/>
      <c r="Z197" s="733"/>
      <c r="AA197" s="733"/>
      <c r="AB197" s="732"/>
      <c r="AC197" s="733"/>
      <c r="AD197" s="733"/>
      <c r="AE197" s="733"/>
      <c r="AF197" s="733"/>
      <c r="AG197" s="733"/>
      <c r="AH197" s="732"/>
      <c r="AI197" s="732"/>
      <c r="AJ197" s="732"/>
      <c r="AK197" s="732"/>
      <c r="AL197" s="733"/>
      <c r="AM197" s="733"/>
      <c r="AN197" s="733"/>
      <c r="AO197" s="733"/>
      <c r="AP197" s="733"/>
      <c r="AQ197" s="733"/>
      <c r="AR197" s="733"/>
      <c r="AS197" s="733"/>
      <c r="AT197" s="733"/>
      <c r="AU197" s="733"/>
      <c r="AV197" s="733"/>
      <c r="AW197" s="733"/>
      <c r="AX197" s="732"/>
      <c r="AY197" s="732"/>
      <c r="AZ197" s="732"/>
      <c r="BA197" s="732"/>
      <c r="BB197" s="732"/>
      <c r="BC197" s="732"/>
      <c r="BD197" s="732"/>
      <c r="BE197" s="732"/>
      <c r="BF197" s="732"/>
      <c r="BG197" s="791"/>
      <c r="BH197" s="732"/>
      <c r="BI197" s="732"/>
      <c r="BJ197" s="732"/>
      <c r="BK197" s="732"/>
      <c r="BL197" s="732"/>
      <c r="BW197" s="790"/>
      <c r="BX197" s="790"/>
      <c r="BY197" s="792"/>
      <c r="BZ197" s="731"/>
      <c r="CA197" s="731"/>
      <c r="CB197" s="731"/>
      <c r="CC197" s="731"/>
      <c r="CD197" s="731"/>
      <c r="CE197" s="731"/>
      <c r="CF197" s="731"/>
    </row>
    <row r="198" spans="1:84" ht="15.75" customHeight="1">
      <c r="A198" s="732"/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733"/>
      <c r="AB198" s="732"/>
      <c r="AC198" s="733"/>
      <c r="AD198" s="733"/>
      <c r="AE198" s="733"/>
      <c r="AF198" s="733"/>
      <c r="AG198" s="733"/>
      <c r="AH198" s="732"/>
      <c r="AI198" s="732"/>
      <c r="AJ198" s="732"/>
      <c r="AK198" s="732"/>
      <c r="AL198" s="733"/>
      <c r="AM198" s="733"/>
      <c r="AN198" s="733"/>
      <c r="AO198" s="733"/>
      <c r="AP198" s="733"/>
      <c r="AQ198" s="733"/>
      <c r="AR198" s="733"/>
      <c r="AS198" s="733"/>
      <c r="AT198" s="733"/>
      <c r="AU198" s="733"/>
      <c r="AV198" s="733"/>
      <c r="AW198" s="733"/>
      <c r="AX198" s="732"/>
      <c r="AY198" s="732"/>
      <c r="AZ198" s="732"/>
      <c r="BA198" s="732"/>
      <c r="BB198" s="732"/>
      <c r="BC198" s="732"/>
      <c r="BD198" s="732"/>
      <c r="BE198" s="732"/>
      <c r="BF198" s="732"/>
      <c r="BG198" s="791"/>
      <c r="BH198" s="732"/>
      <c r="BI198" s="732"/>
      <c r="BJ198" s="732"/>
      <c r="BK198" s="732"/>
      <c r="BL198" s="732"/>
      <c r="BW198" s="790"/>
      <c r="BX198" s="790"/>
      <c r="BY198" s="792"/>
      <c r="BZ198" s="731"/>
      <c r="CA198" s="731"/>
      <c r="CB198" s="731"/>
      <c r="CC198" s="731"/>
      <c r="CD198" s="731"/>
      <c r="CE198" s="731"/>
      <c r="CF198" s="731"/>
    </row>
    <row r="199" spans="1:84" ht="15.75" customHeight="1">
      <c r="A199" s="732"/>
      <c r="B199" s="733"/>
      <c r="C199" s="733"/>
      <c r="D199" s="733"/>
      <c r="E199" s="733"/>
      <c r="F199" s="733"/>
      <c r="G199" s="733"/>
      <c r="H199" s="733"/>
      <c r="I199" s="733"/>
      <c r="J199" s="733"/>
      <c r="K199" s="733"/>
      <c r="L199" s="733"/>
      <c r="M199" s="733"/>
      <c r="N199" s="733"/>
      <c r="O199" s="733"/>
      <c r="P199" s="733"/>
      <c r="Q199" s="733"/>
      <c r="R199" s="733"/>
      <c r="S199" s="733"/>
      <c r="T199" s="733"/>
      <c r="U199" s="733"/>
      <c r="V199" s="733"/>
      <c r="W199" s="733"/>
      <c r="X199" s="733"/>
      <c r="Y199" s="733"/>
      <c r="Z199" s="733"/>
      <c r="AA199" s="733"/>
      <c r="AB199" s="732"/>
      <c r="AC199" s="733"/>
      <c r="AD199" s="733"/>
      <c r="AE199" s="733"/>
      <c r="AF199" s="733"/>
      <c r="AG199" s="733"/>
      <c r="AH199" s="732"/>
      <c r="AI199" s="732"/>
      <c r="AJ199" s="732"/>
      <c r="AK199" s="732"/>
      <c r="AL199" s="733"/>
      <c r="AM199" s="733"/>
      <c r="AN199" s="733"/>
      <c r="AO199" s="733"/>
      <c r="AP199" s="733"/>
      <c r="AQ199" s="733"/>
      <c r="AR199" s="733"/>
      <c r="AS199" s="733"/>
      <c r="AT199" s="733"/>
      <c r="AU199" s="733"/>
      <c r="AV199" s="733"/>
      <c r="AW199" s="733"/>
      <c r="AX199" s="732"/>
      <c r="AY199" s="732"/>
      <c r="AZ199" s="732"/>
      <c r="BA199" s="732"/>
      <c r="BB199" s="732"/>
      <c r="BC199" s="732"/>
      <c r="BD199" s="732"/>
      <c r="BE199" s="732"/>
      <c r="BF199" s="732"/>
      <c r="BG199" s="791"/>
      <c r="BH199" s="732"/>
      <c r="BI199" s="732"/>
      <c r="BJ199" s="732"/>
      <c r="BK199" s="732"/>
      <c r="BL199" s="732"/>
      <c r="BW199" s="790"/>
      <c r="BX199" s="790"/>
      <c r="BY199" s="792"/>
      <c r="BZ199" s="731"/>
      <c r="CA199" s="731"/>
      <c r="CB199" s="731"/>
      <c r="CC199" s="731"/>
      <c r="CD199" s="731"/>
      <c r="CE199" s="731"/>
      <c r="CF199" s="731"/>
    </row>
    <row r="200" spans="1:84" ht="15.75" customHeight="1">
      <c r="A200" s="732"/>
      <c r="B200" s="733"/>
      <c r="C200" s="733"/>
      <c r="D200" s="733"/>
      <c r="E200" s="733"/>
      <c r="F200" s="733"/>
      <c r="G200" s="733"/>
      <c r="H200" s="733"/>
      <c r="I200" s="733"/>
      <c r="J200" s="733"/>
      <c r="K200" s="733"/>
      <c r="L200" s="733"/>
      <c r="M200" s="733"/>
      <c r="N200" s="733"/>
      <c r="O200" s="733"/>
      <c r="P200" s="733"/>
      <c r="Q200" s="733"/>
      <c r="R200" s="733"/>
      <c r="S200" s="733"/>
      <c r="T200" s="733"/>
      <c r="U200" s="733"/>
      <c r="V200" s="733"/>
      <c r="W200" s="733"/>
      <c r="X200" s="733"/>
      <c r="Y200" s="733"/>
      <c r="Z200" s="733"/>
      <c r="AA200" s="733"/>
      <c r="AB200" s="732"/>
      <c r="AC200" s="733"/>
      <c r="AD200" s="733"/>
      <c r="AE200" s="733"/>
      <c r="AF200" s="733"/>
      <c r="AG200" s="733"/>
      <c r="AH200" s="732"/>
      <c r="AI200" s="732"/>
      <c r="AJ200" s="732"/>
      <c r="AK200" s="732"/>
      <c r="AL200" s="733"/>
      <c r="AM200" s="733"/>
      <c r="AN200" s="733"/>
      <c r="AO200" s="733"/>
      <c r="AP200" s="733"/>
      <c r="AQ200" s="733"/>
      <c r="AR200" s="733"/>
      <c r="AS200" s="733"/>
      <c r="AT200" s="733"/>
      <c r="AU200" s="733"/>
      <c r="AV200" s="733"/>
      <c r="AW200" s="733"/>
      <c r="AX200" s="732"/>
      <c r="AY200" s="732"/>
      <c r="AZ200" s="732"/>
      <c r="BA200" s="732"/>
      <c r="BB200" s="732"/>
      <c r="BC200" s="732"/>
      <c r="BD200" s="732"/>
      <c r="BE200" s="732"/>
      <c r="BF200" s="732"/>
      <c r="BG200" s="791"/>
      <c r="BH200" s="732"/>
      <c r="BI200" s="732"/>
      <c r="BJ200" s="732"/>
      <c r="BK200" s="732"/>
      <c r="BL200" s="732"/>
      <c r="BW200" s="790"/>
      <c r="BX200" s="790"/>
      <c r="BY200" s="792"/>
      <c r="BZ200" s="731"/>
      <c r="CA200" s="731"/>
      <c r="CB200" s="731"/>
      <c r="CC200" s="731"/>
      <c r="CD200" s="731"/>
      <c r="CE200" s="731"/>
      <c r="CF200" s="731"/>
    </row>
    <row r="201" spans="1:84" ht="15.75" customHeight="1">
      <c r="A201" s="732"/>
      <c r="B201" s="733"/>
      <c r="C201" s="733"/>
      <c r="D201" s="733"/>
      <c r="E201" s="733"/>
      <c r="F201" s="733"/>
      <c r="G201" s="733"/>
      <c r="H201" s="733"/>
      <c r="I201" s="733"/>
      <c r="J201" s="733"/>
      <c r="K201" s="733"/>
      <c r="L201" s="733"/>
      <c r="M201" s="733"/>
      <c r="N201" s="733"/>
      <c r="O201" s="733"/>
      <c r="P201" s="733"/>
      <c r="Q201" s="733"/>
      <c r="R201" s="733"/>
      <c r="S201" s="733"/>
      <c r="T201" s="733"/>
      <c r="U201" s="733"/>
      <c r="V201" s="733"/>
      <c r="W201" s="733"/>
      <c r="X201" s="733"/>
      <c r="Y201" s="733"/>
      <c r="Z201" s="733"/>
      <c r="AA201" s="733"/>
      <c r="AB201" s="732"/>
      <c r="AC201" s="733"/>
      <c r="AD201" s="733"/>
      <c r="AE201" s="733"/>
      <c r="AF201" s="733"/>
      <c r="AG201" s="733"/>
      <c r="AH201" s="732"/>
      <c r="AI201" s="732"/>
      <c r="AJ201" s="732"/>
      <c r="AK201" s="732"/>
      <c r="AL201" s="733"/>
      <c r="AM201" s="733"/>
      <c r="AN201" s="733"/>
      <c r="AO201" s="733"/>
      <c r="AP201" s="733"/>
      <c r="AQ201" s="733"/>
      <c r="AR201" s="733"/>
      <c r="AS201" s="733"/>
      <c r="AT201" s="733"/>
      <c r="AU201" s="733"/>
      <c r="AV201" s="733"/>
      <c r="AW201" s="733"/>
      <c r="AX201" s="732"/>
      <c r="AY201" s="732"/>
      <c r="AZ201" s="732"/>
      <c r="BA201" s="732"/>
      <c r="BB201" s="732"/>
      <c r="BC201" s="732"/>
      <c r="BD201" s="732"/>
      <c r="BE201" s="732"/>
      <c r="BF201" s="732"/>
      <c r="BG201" s="791"/>
      <c r="BH201" s="732"/>
      <c r="BI201" s="732"/>
      <c r="BJ201" s="732"/>
      <c r="BK201" s="732"/>
      <c r="BL201" s="732"/>
      <c r="BW201" s="790"/>
      <c r="BX201" s="790"/>
      <c r="BY201" s="792"/>
      <c r="BZ201" s="731"/>
      <c r="CA201" s="731"/>
      <c r="CB201" s="731"/>
      <c r="CC201" s="731"/>
      <c r="CD201" s="731"/>
      <c r="CE201" s="731"/>
      <c r="CF201" s="731"/>
    </row>
    <row r="202" spans="1:84" ht="15.75" customHeight="1">
      <c r="A202" s="732"/>
      <c r="B202" s="733"/>
      <c r="C202" s="733"/>
      <c r="D202" s="733"/>
      <c r="E202" s="733"/>
      <c r="F202" s="733"/>
      <c r="G202" s="733"/>
      <c r="H202" s="733"/>
      <c r="I202" s="733"/>
      <c r="J202" s="733"/>
      <c r="K202" s="733"/>
      <c r="L202" s="733"/>
      <c r="M202" s="733"/>
      <c r="N202" s="733"/>
      <c r="O202" s="733"/>
      <c r="P202" s="733"/>
      <c r="Q202" s="733"/>
      <c r="R202" s="733"/>
      <c r="S202" s="733"/>
      <c r="T202" s="733"/>
      <c r="U202" s="733"/>
      <c r="V202" s="733"/>
      <c r="W202" s="733"/>
      <c r="X202" s="733"/>
      <c r="Y202" s="733"/>
      <c r="Z202" s="733"/>
      <c r="AA202" s="733"/>
      <c r="AB202" s="732"/>
      <c r="AC202" s="733"/>
      <c r="AD202" s="733"/>
      <c r="AE202" s="733"/>
      <c r="AF202" s="733"/>
      <c r="AG202" s="733"/>
      <c r="AH202" s="732"/>
      <c r="AI202" s="732"/>
      <c r="AJ202" s="732"/>
      <c r="AK202" s="732"/>
      <c r="AL202" s="733"/>
      <c r="AM202" s="733"/>
      <c r="AN202" s="733"/>
      <c r="AO202" s="733"/>
      <c r="AP202" s="733"/>
      <c r="AQ202" s="733"/>
      <c r="AR202" s="733"/>
      <c r="AS202" s="733"/>
      <c r="AT202" s="733"/>
      <c r="AU202" s="733"/>
      <c r="AV202" s="733"/>
      <c r="AW202" s="733"/>
      <c r="AX202" s="732"/>
      <c r="AY202" s="732"/>
      <c r="AZ202" s="732"/>
      <c r="BA202" s="732"/>
      <c r="BB202" s="732"/>
      <c r="BC202" s="732"/>
      <c r="BD202" s="732"/>
      <c r="BE202" s="732"/>
      <c r="BF202" s="732"/>
      <c r="BG202" s="791"/>
      <c r="BH202" s="732"/>
      <c r="BI202" s="732"/>
      <c r="BJ202" s="732"/>
      <c r="BK202" s="732"/>
      <c r="BL202" s="732"/>
      <c r="BW202" s="790"/>
      <c r="BX202" s="790"/>
      <c r="BY202" s="792"/>
      <c r="BZ202" s="731"/>
      <c r="CA202" s="731"/>
      <c r="CB202" s="731"/>
      <c r="CC202" s="731"/>
      <c r="CD202" s="731"/>
      <c r="CE202" s="731"/>
      <c r="CF202" s="731"/>
    </row>
    <row r="203" spans="1:84" ht="15.75" customHeight="1">
      <c r="A203" s="732"/>
      <c r="B203" s="733"/>
      <c r="C203" s="733"/>
      <c r="D203" s="733"/>
      <c r="E203" s="733"/>
      <c r="F203" s="733"/>
      <c r="G203" s="733"/>
      <c r="H203" s="733"/>
      <c r="I203" s="733"/>
      <c r="J203" s="733"/>
      <c r="K203" s="733"/>
      <c r="L203" s="733"/>
      <c r="M203" s="733"/>
      <c r="N203" s="733"/>
      <c r="O203" s="733"/>
      <c r="P203" s="733"/>
      <c r="Q203" s="733"/>
      <c r="R203" s="733"/>
      <c r="S203" s="733"/>
      <c r="T203" s="733"/>
      <c r="U203" s="733"/>
      <c r="V203" s="733"/>
      <c r="W203" s="733"/>
      <c r="X203" s="733"/>
      <c r="Y203" s="733"/>
      <c r="Z203" s="733"/>
      <c r="AA203" s="733"/>
      <c r="AB203" s="732"/>
      <c r="AC203" s="733"/>
      <c r="AD203" s="733"/>
      <c r="AE203" s="733"/>
      <c r="AF203" s="733"/>
      <c r="AG203" s="733"/>
      <c r="AH203" s="732"/>
      <c r="AI203" s="732"/>
      <c r="AJ203" s="732"/>
      <c r="AK203" s="732"/>
      <c r="AL203" s="733"/>
      <c r="AM203" s="733"/>
      <c r="AN203" s="733"/>
      <c r="AO203" s="733"/>
      <c r="AP203" s="733"/>
      <c r="AQ203" s="733"/>
      <c r="AR203" s="733"/>
      <c r="AS203" s="733"/>
      <c r="AT203" s="733"/>
      <c r="AU203" s="733"/>
      <c r="AV203" s="733"/>
      <c r="AW203" s="733"/>
      <c r="AX203" s="732"/>
      <c r="AY203" s="732"/>
      <c r="AZ203" s="732"/>
      <c r="BA203" s="732"/>
      <c r="BB203" s="732"/>
      <c r="BC203" s="732"/>
      <c r="BD203" s="732"/>
      <c r="BE203" s="732"/>
      <c r="BF203" s="732"/>
      <c r="BG203" s="791"/>
      <c r="BH203" s="732"/>
      <c r="BI203" s="732"/>
      <c r="BJ203" s="732"/>
      <c r="BK203" s="732"/>
      <c r="BL203" s="732"/>
      <c r="BW203" s="790"/>
      <c r="BX203" s="790"/>
      <c r="BY203" s="792"/>
      <c r="BZ203" s="731"/>
      <c r="CA203" s="731"/>
      <c r="CB203" s="731"/>
      <c r="CC203" s="731"/>
      <c r="CD203" s="731"/>
      <c r="CE203" s="731"/>
      <c r="CF203" s="731"/>
    </row>
    <row r="204" spans="1:84" ht="15.75" customHeight="1">
      <c r="A204" s="732"/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733"/>
      <c r="AB204" s="732"/>
      <c r="AC204" s="733"/>
      <c r="AD204" s="733"/>
      <c r="AE204" s="733"/>
      <c r="AF204" s="733"/>
      <c r="AG204" s="733"/>
      <c r="AH204" s="732"/>
      <c r="AI204" s="732"/>
      <c r="AJ204" s="732"/>
      <c r="AK204" s="732"/>
      <c r="AL204" s="733"/>
      <c r="AM204" s="733"/>
      <c r="AN204" s="733"/>
      <c r="AO204" s="733"/>
      <c r="AP204" s="733"/>
      <c r="AQ204" s="733"/>
      <c r="AR204" s="733"/>
      <c r="AS204" s="733"/>
      <c r="AT204" s="733"/>
      <c r="AU204" s="733"/>
      <c r="AV204" s="733"/>
      <c r="AW204" s="733"/>
      <c r="AX204" s="732"/>
      <c r="AY204" s="732"/>
      <c r="AZ204" s="732"/>
      <c r="BA204" s="732"/>
      <c r="BB204" s="732"/>
      <c r="BC204" s="732"/>
      <c r="BD204" s="732"/>
      <c r="BE204" s="732"/>
      <c r="BF204" s="732"/>
      <c r="BG204" s="791"/>
      <c r="BH204" s="732"/>
      <c r="BI204" s="732"/>
      <c r="BJ204" s="732"/>
      <c r="BK204" s="732"/>
      <c r="BL204" s="732"/>
      <c r="BW204" s="790"/>
      <c r="BX204" s="790"/>
      <c r="BY204" s="792"/>
      <c r="BZ204" s="731"/>
      <c r="CA204" s="731"/>
      <c r="CB204" s="731"/>
      <c r="CC204" s="731"/>
      <c r="CD204" s="731"/>
      <c r="CE204" s="731"/>
      <c r="CF204" s="731"/>
    </row>
    <row r="205" spans="1:84" ht="15.75" customHeight="1">
      <c r="A205" s="732"/>
      <c r="B205" s="733"/>
      <c r="C205" s="733"/>
      <c r="D205" s="733"/>
      <c r="E205" s="733"/>
      <c r="F205" s="733"/>
      <c r="G205" s="733"/>
      <c r="H205" s="733"/>
      <c r="I205" s="733"/>
      <c r="J205" s="733"/>
      <c r="K205" s="733"/>
      <c r="L205" s="733"/>
      <c r="M205" s="733"/>
      <c r="N205" s="733"/>
      <c r="O205" s="733"/>
      <c r="P205" s="733"/>
      <c r="Q205" s="733"/>
      <c r="R205" s="733"/>
      <c r="S205" s="733"/>
      <c r="T205" s="733"/>
      <c r="U205" s="733"/>
      <c r="V205" s="733"/>
      <c r="W205" s="733"/>
      <c r="X205" s="733"/>
      <c r="Y205" s="733"/>
      <c r="Z205" s="733"/>
      <c r="AA205" s="733"/>
      <c r="AB205" s="732"/>
      <c r="AC205" s="733"/>
      <c r="AD205" s="733"/>
      <c r="AE205" s="733"/>
      <c r="AF205" s="733"/>
      <c r="AG205" s="733"/>
      <c r="AH205" s="732"/>
      <c r="AI205" s="732"/>
      <c r="AJ205" s="732"/>
      <c r="AK205" s="732"/>
      <c r="AL205" s="733"/>
      <c r="AM205" s="733"/>
      <c r="AN205" s="733"/>
      <c r="AO205" s="733"/>
      <c r="AP205" s="733"/>
      <c r="AQ205" s="733"/>
      <c r="AR205" s="733"/>
      <c r="AS205" s="733"/>
      <c r="AT205" s="733"/>
      <c r="AU205" s="733"/>
      <c r="AV205" s="733"/>
      <c r="AW205" s="733"/>
      <c r="AX205" s="732"/>
      <c r="AY205" s="732"/>
      <c r="AZ205" s="732"/>
      <c r="BA205" s="732"/>
      <c r="BB205" s="732"/>
      <c r="BC205" s="732"/>
      <c r="BD205" s="732"/>
      <c r="BE205" s="732"/>
      <c r="BF205" s="732"/>
      <c r="BG205" s="791"/>
      <c r="BH205" s="732"/>
      <c r="BI205" s="732"/>
      <c r="BJ205" s="732"/>
      <c r="BK205" s="732"/>
      <c r="BL205" s="732"/>
      <c r="BW205" s="790"/>
      <c r="BX205" s="790"/>
      <c r="BY205" s="792"/>
      <c r="BZ205" s="731"/>
      <c r="CA205" s="731"/>
      <c r="CB205" s="731"/>
      <c r="CC205" s="731"/>
      <c r="CD205" s="731"/>
      <c r="CE205" s="731"/>
      <c r="CF205" s="731"/>
    </row>
    <row r="206" spans="1:84" ht="15.75" customHeight="1">
      <c r="A206" s="732"/>
      <c r="B206" s="733"/>
      <c r="C206" s="733"/>
      <c r="D206" s="733"/>
      <c r="E206" s="733"/>
      <c r="F206" s="733"/>
      <c r="G206" s="733"/>
      <c r="H206" s="733"/>
      <c r="I206" s="733"/>
      <c r="J206" s="733"/>
      <c r="K206" s="733"/>
      <c r="L206" s="733"/>
      <c r="M206" s="733"/>
      <c r="N206" s="733"/>
      <c r="O206" s="733"/>
      <c r="P206" s="733"/>
      <c r="Q206" s="733"/>
      <c r="R206" s="733"/>
      <c r="S206" s="733"/>
      <c r="T206" s="733"/>
      <c r="U206" s="733"/>
      <c r="V206" s="733"/>
      <c r="W206" s="733"/>
      <c r="X206" s="733"/>
      <c r="Y206" s="733"/>
      <c r="Z206" s="733"/>
      <c r="AA206" s="733"/>
      <c r="AB206" s="732"/>
      <c r="AC206" s="733"/>
      <c r="AD206" s="733"/>
      <c r="AE206" s="733"/>
      <c r="AF206" s="733"/>
      <c r="AG206" s="733"/>
      <c r="AH206" s="732"/>
      <c r="AI206" s="732"/>
      <c r="AJ206" s="732"/>
      <c r="AK206" s="732"/>
      <c r="AL206" s="733"/>
      <c r="AM206" s="733"/>
      <c r="AN206" s="733"/>
      <c r="AO206" s="733"/>
      <c r="AP206" s="733"/>
      <c r="AQ206" s="733"/>
      <c r="AR206" s="733"/>
      <c r="AS206" s="733"/>
      <c r="AT206" s="733"/>
      <c r="AU206" s="733"/>
      <c r="AV206" s="733"/>
      <c r="AW206" s="733"/>
      <c r="AX206" s="732"/>
      <c r="AY206" s="732"/>
      <c r="AZ206" s="732"/>
      <c r="BA206" s="732"/>
      <c r="BB206" s="732"/>
      <c r="BC206" s="732"/>
      <c r="BD206" s="732"/>
      <c r="BE206" s="732"/>
      <c r="BF206" s="732"/>
      <c r="BG206" s="791"/>
      <c r="BH206" s="732"/>
      <c r="BI206" s="732"/>
      <c r="BJ206" s="732"/>
      <c r="BK206" s="732"/>
      <c r="BL206" s="732"/>
      <c r="BW206" s="790"/>
      <c r="BX206" s="790"/>
      <c r="BY206" s="792"/>
      <c r="BZ206" s="731"/>
      <c r="CA206" s="731"/>
      <c r="CB206" s="731"/>
      <c r="CC206" s="731"/>
      <c r="CD206" s="731"/>
      <c r="CE206" s="731"/>
      <c r="CF206" s="731"/>
    </row>
    <row r="207" spans="1:84" ht="15.75" customHeight="1">
      <c r="A207" s="732"/>
      <c r="B207" s="733"/>
      <c r="C207" s="733"/>
      <c r="D207" s="733"/>
      <c r="E207" s="733"/>
      <c r="F207" s="733"/>
      <c r="G207" s="733"/>
      <c r="H207" s="733"/>
      <c r="I207" s="733"/>
      <c r="J207" s="733"/>
      <c r="K207" s="733"/>
      <c r="L207" s="733"/>
      <c r="M207" s="733"/>
      <c r="N207" s="733"/>
      <c r="O207" s="733"/>
      <c r="P207" s="733"/>
      <c r="Q207" s="733"/>
      <c r="R207" s="733"/>
      <c r="S207" s="733"/>
      <c r="T207" s="733"/>
      <c r="U207" s="733"/>
      <c r="V207" s="733"/>
      <c r="W207" s="733"/>
      <c r="X207" s="733"/>
      <c r="Y207" s="733"/>
      <c r="Z207" s="733"/>
      <c r="AA207" s="733"/>
      <c r="AB207" s="732"/>
      <c r="AC207" s="733"/>
      <c r="AD207" s="733"/>
      <c r="AE207" s="733"/>
      <c r="AF207" s="733"/>
      <c r="AG207" s="733"/>
      <c r="AH207" s="732"/>
      <c r="AI207" s="732"/>
      <c r="AJ207" s="732"/>
      <c r="AK207" s="732"/>
      <c r="AL207" s="733"/>
      <c r="AM207" s="733"/>
      <c r="AN207" s="733"/>
      <c r="AO207" s="733"/>
      <c r="AP207" s="733"/>
      <c r="AQ207" s="733"/>
      <c r="AR207" s="733"/>
      <c r="AS207" s="733"/>
      <c r="AT207" s="733"/>
      <c r="AU207" s="733"/>
      <c r="AV207" s="733"/>
      <c r="AW207" s="733"/>
      <c r="AX207" s="732"/>
      <c r="AY207" s="732"/>
      <c r="AZ207" s="732"/>
      <c r="BA207" s="732"/>
      <c r="BB207" s="732"/>
      <c r="BC207" s="732"/>
      <c r="BD207" s="732"/>
      <c r="BE207" s="732"/>
      <c r="BF207" s="732"/>
      <c r="BG207" s="791"/>
      <c r="BH207" s="732"/>
      <c r="BI207" s="732"/>
      <c r="BJ207" s="732"/>
      <c r="BK207" s="732"/>
      <c r="BL207" s="732"/>
      <c r="BW207" s="790"/>
      <c r="BX207" s="790"/>
      <c r="BY207" s="792"/>
      <c r="BZ207" s="731"/>
      <c r="CA207" s="731"/>
      <c r="CB207" s="731"/>
      <c r="CC207" s="731"/>
      <c r="CD207" s="731"/>
      <c r="CE207" s="731"/>
      <c r="CF207" s="731"/>
    </row>
    <row r="208" spans="1:84" ht="15.75" customHeight="1">
      <c r="A208" s="732"/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733"/>
      <c r="AB208" s="732"/>
      <c r="AC208" s="733"/>
      <c r="AD208" s="733"/>
      <c r="AE208" s="733"/>
      <c r="AF208" s="733"/>
      <c r="AG208" s="733"/>
      <c r="AH208" s="732"/>
      <c r="AI208" s="732"/>
      <c r="AJ208" s="732"/>
      <c r="AK208" s="732"/>
      <c r="AL208" s="733"/>
      <c r="AM208" s="733"/>
      <c r="AN208" s="733"/>
      <c r="AO208" s="733"/>
      <c r="AP208" s="733"/>
      <c r="AQ208" s="733"/>
      <c r="AR208" s="733"/>
      <c r="AS208" s="733"/>
      <c r="AT208" s="733"/>
      <c r="AU208" s="733"/>
      <c r="AV208" s="733"/>
      <c r="AW208" s="733"/>
      <c r="AX208" s="732"/>
      <c r="AY208" s="732"/>
      <c r="AZ208" s="732"/>
      <c r="BA208" s="732"/>
      <c r="BB208" s="732"/>
      <c r="BC208" s="732"/>
      <c r="BD208" s="732"/>
      <c r="BE208" s="732"/>
      <c r="BF208" s="732"/>
      <c r="BG208" s="791"/>
      <c r="BH208" s="732"/>
      <c r="BI208" s="732"/>
      <c r="BJ208" s="732"/>
      <c r="BK208" s="732"/>
      <c r="BL208" s="732"/>
      <c r="BW208" s="790"/>
      <c r="BX208" s="790"/>
      <c r="BY208" s="792"/>
      <c r="BZ208" s="731"/>
      <c r="CA208" s="731"/>
      <c r="CB208" s="731"/>
      <c r="CC208" s="731"/>
      <c r="CD208" s="731"/>
      <c r="CE208" s="731"/>
      <c r="CF208" s="731"/>
    </row>
    <row r="209" spans="1:84" ht="15.75" customHeight="1">
      <c r="A209" s="732"/>
      <c r="B209" s="733"/>
      <c r="C209" s="733"/>
      <c r="D209" s="733"/>
      <c r="E209" s="733"/>
      <c r="F209" s="733"/>
      <c r="G209" s="733"/>
      <c r="H209" s="733"/>
      <c r="I209" s="733"/>
      <c r="J209" s="733"/>
      <c r="K209" s="733"/>
      <c r="L209" s="733"/>
      <c r="M209" s="733"/>
      <c r="N209" s="733"/>
      <c r="O209" s="733"/>
      <c r="P209" s="733"/>
      <c r="Q209" s="733"/>
      <c r="R209" s="733"/>
      <c r="S209" s="733"/>
      <c r="T209" s="733"/>
      <c r="U209" s="733"/>
      <c r="V209" s="733"/>
      <c r="W209" s="733"/>
      <c r="X209" s="733"/>
      <c r="Y209" s="733"/>
      <c r="Z209" s="733"/>
      <c r="AA209" s="733"/>
      <c r="AB209" s="732"/>
      <c r="AC209" s="733"/>
      <c r="AD209" s="733"/>
      <c r="AE209" s="733"/>
      <c r="AF209" s="733"/>
      <c r="AG209" s="733"/>
      <c r="AH209" s="732"/>
      <c r="AI209" s="732"/>
      <c r="AJ209" s="732"/>
      <c r="AK209" s="732"/>
      <c r="AL209" s="733"/>
      <c r="AM209" s="733"/>
      <c r="AN209" s="733"/>
      <c r="AO209" s="733"/>
      <c r="AP209" s="733"/>
      <c r="AQ209" s="733"/>
      <c r="AR209" s="733"/>
      <c r="AS209" s="733"/>
      <c r="AT209" s="733"/>
      <c r="AU209" s="733"/>
      <c r="AV209" s="733"/>
      <c r="AW209" s="733"/>
      <c r="AX209" s="732"/>
      <c r="AY209" s="732"/>
      <c r="AZ209" s="732"/>
      <c r="BA209" s="732"/>
      <c r="BB209" s="732"/>
      <c r="BC209" s="732"/>
      <c r="BD209" s="732"/>
      <c r="BE209" s="732"/>
      <c r="BF209" s="732"/>
      <c r="BG209" s="791"/>
      <c r="BH209" s="732"/>
      <c r="BI209" s="732"/>
      <c r="BJ209" s="732"/>
      <c r="BK209" s="732"/>
      <c r="BL209" s="732"/>
      <c r="BW209" s="790"/>
      <c r="BX209" s="790"/>
      <c r="BY209" s="792"/>
      <c r="BZ209" s="731"/>
      <c r="CA209" s="731"/>
      <c r="CB209" s="731"/>
      <c r="CC209" s="731"/>
      <c r="CD209" s="731"/>
      <c r="CE209" s="731"/>
      <c r="CF209" s="731"/>
    </row>
    <row r="210" spans="1:84" ht="15.75" customHeight="1">
      <c r="A210" s="732"/>
      <c r="B210" s="733"/>
      <c r="C210" s="733"/>
      <c r="D210" s="733"/>
      <c r="E210" s="733"/>
      <c r="F210" s="733"/>
      <c r="G210" s="733"/>
      <c r="H210" s="733"/>
      <c r="I210" s="733"/>
      <c r="J210" s="733"/>
      <c r="K210" s="733"/>
      <c r="L210" s="733"/>
      <c r="M210" s="733"/>
      <c r="N210" s="733"/>
      <c r="O210" s="733"/>
      <c r="P210" s="733"/>
      <c r="Q210" s="733"/>
      <c r="R210" s="733"/>
      <c r="S210" s="733"/>
      <c r="T210" s="733"/>
      <c r="U210" s="733"/>
      <c r="V210" s="733"/>
      <c r="W210" s="733"/>
      <c r="X210" s="733"/>
      <c r="Y210" s="733"/>
      <c r="Z210" s="733"/>
      <c r="AA210" s="733"/>
      <c r="AB210" s="732"/>
      <c r="AC210" s="733"/>
      <c r="AD210" s="733"/>
      <c r="AE210" s="733"/>
      <c r="AF210" s="733"/>
      <c r="AG210" s="733"/>
      <c r="AH210" s="732"/>
      <c r="AI210" s="732"/>
      <c r="AJ210" s="732"/>
      <c r="AK210" s="732"/>
      <c r="AL210" s="733"/>
      <c r="AM210" s="733"/>
      <c r="AN210" s="733"/>
      <c r="AO210" s="733"/>
      <c r="AP210" s="733"/>
      <c r="AQ210" s="733"/>
      <c r="AR210" s="733"/>
      <c r="AS210" s="733"/>
      <c r="AT210" s="733"/>
      <c r="AU210" s="733"/>
      <c r="AV210" s="733"/>
      <c r="AW210" s="733"/>
      <c r="AX210" s="732"/>
      <c r="AY210" s="732"/>
      <c r="AZ210" s="732"/>
      <c r="BA210" s="732"/>
      <c r="BB210" s="732"/>
      <c r="BC210" s="732"/>
      <c r="BD210" s="732"/>
      <c r="BE210" s="732"/>
      <c r="BF210" s="732"/>
      <c r="BG210" s="791"/>
      <c r="BH210" s="732"/>
      <c r="BI210" s="732"/>
      <c r="BJ210" s="732"/>
      <c r="BK210" s="732"/>
      <c r="BL210" s="732"/>
      <c r="BW210" s="790"/>
      <c r="BX210" s="790"/>
      <c r="BY210" s="792"/>
      <c r="BZ210" s="731"/>
      <c r="CA210" s="731"/>
      <c r="CB210" s="731"/>
      <c r="CC210" s="731"/>
      <c r="CD210" s="731"/>
      <c r="CE210" s="731"/>
      <c r="CF210" s="731"/>
    </row>
    <row r="211" spans="1:84" ht="15.75" customHeight="1">
      <c r="A211" s="732"/>
      <c r="B211" s="733"/>
      <c r="C211" s="733"/>
      <c r="D211" s="733"/>
      <c r="E211" s="733"/>
      <c r="F211" s="733"/>
      <c r="G211" s="733"/>
      <c r="H211" s="733"/>
      <c r="I211" s="733"/>
      <c r="J211" s="733"/>
      <c r="K211" s="733"/>
      <c r="L211" s="733"/>
      <c r="M211" s="733"/>
      <c r="N211" s="733"/>
      <c r="O211" s="733"/>
      <c r="P211" s="733"/>
      <c r="Q211" s="733"/>
      <c r="R211" s="733"/>
      <c r="S211" s="733"/>
      <c r="T211" s="733"/>
      <c r="U211" s="733"/>
      <c r="V211" s="733"/>
      <c r="W211" s="733"/>
      <c r="X211" s="733"/>
      <c r="Y211" s="733"/>
      <c r="Z211" s="733"/>
      <c r="AA211" s="733"/>
      <c r="AB211" s="732"/>
      <c r="AC211" s="733"/>
      <c r="AD211" s="733"/>
      <c r="AE211" s="733"/>
      <c r="AF211" s="733"/>
      <c r="AG211" s="733"/>
      <c r="AH211" s="732"/>
      <c r="AI211" s="732"/>
      <c r="AJ211" s="732"/>
      <c r="AK211" s="732"/>
      <c r="AL211" s="733"/>
      <c r="AM211" s="733"/>
      <c r="AN211" s="733"/>
      <c r="AO211" s="733"/>
      <c r="AP211" s="733"/>
      <c r="AQ211" s="733"/>
      <c r="AR211" s="733"/>
      <c r="AS211" s="733"/>
      <c r="AT211" s="733"/>
      <c r="AU211" s="733"/>
      <c r="AV211" s="733"/>
      <c r="AW211" s="733"/>
      <c r="AX211" s="732"/>
      <c r="AY211" s="732"/>
      <c r="AZ211" s="732"/>
      <c r="BA211" s="732"/>
      <c r="BB211" s="732"/>
      <c r="BC211" s="732"/>
      <c r="BD211" s="732"/>
      <c r="BE211" s="732"/>
      <c r="BF211" s="732"/>
      <c r="BG211" s="791"/>
      <c r="BH211" s="732"/>
      <c r="BI211" s="732"/>
      <c r="BJ211" s="732"/>
      <c r="BK211" s="732"/>
      <c r="BL211" s="732"/>
      <c r="BW211" s="790"/>
      <c r="BX211" s="790"/>
      <c r="BY211" s="792"/>
      <c r="BZ211" s="731"/>
      <c r="CA211" s="731"/>
      <c r="CB211" s="731"/>
      <c r="CC211" s="731"/>
      <c r="CD211" s="731"/>
      <c r="CE211" s="731"/>
      <c r="CF211" s="731"/>
    </row>
    <row r="212" spans="1:84" ht="15.75" customHeight="1">
      <c r="A212" s="732"/>
      <c r="B212" s="733"/>
      <c r="C212" s="733"/>
      <c r="D212" s="733"/>
      <c r="E212" s="733"/>
      <c r="F212" s="733"/>
      <c r="G212" s="733"/>
      <c r="H212" s="733"/>
      <c r="I212" s="733"/>
      <c r="J212" s="733"/>
      <c r="K212" s="733"/>
      <c r="L212" s="733"/>
      <c r="M212" s="733"/>
      <c r="N212" s="733"/>
      <c r="O212" s="733"/>
      <c r="P212" s="733"/>
      <c r="Q212" s="733"/>
      <c r="R212" s="733"/>
      <c r="S212" s="733"/>
      <c r="T212" s="733"/>
      <c r="U212" s="733"/>
      <c r="V212" s="733"/>
      <c r="W212" s="733"/>
      <c r="X212" s="733"/>
      <c r="Y212" s="733"/>
      <c r="Z212" s="733"/>
      <c r="AA212" s="733"/>
      <c r="AB212" s="732"/>
      <c r="AC212" s="733"/>
      <c r="AD212" s="733"/>
      <c r="AE212" s="733"/>
      <c r="AF212" s="733"/>
      <c r="AG212" s="733"/>
      <c r="AH212" s="732"/>
      <c r="AI212" s="732"/>
      <c r="AJ212" s="732"/>
      <c r="AK212" s="732"/>
      <c r="AL212" s="733"/>
      <c r="AM212" s="733"/>
      <c r="AN212" s="733"/>
      <c r="AO212" s="733"/>
      <c r="AP212" s="733"/>
      <c r="AQ212" s="733"/>
      <c r="AR212" s="733"/>
      <c r="AS212" s="733"/>
      <c r="AT212" s="733"/>
      <c r="AU212" s="733"/>
      <c r="AV212" s="733"/>
      <c r="AW212" s="733"/>
      <c r="AX212" s="732"/>
      <c r="AY212" s="732"/>
      <c r="AZ212" s="732"/>
      <c r="BA212" s="732"/>
      <c r="BB212" s="732"/>
      <c r="BC212" s="732"/>
      <c r="BD212" s="732"/>
      <c r="BE212" s="732"/>
      <c r="BF212" s="732"/>
      <c r="BG212" s="791"/>
      <c r="BH212" s="732"/>
      <c r="BI212" s="732"/>
      <c r="BJ212" s="732"/>
      <c r="BK212" s="732"/>
      <c r="BL212" s="732"/>
      <c r="BW212" s="790"/>
      <c r="BX212" s="790"/>
      <c r="BY212" s="792"/>
      <c r="BZ212" s="731"/>
      <c r="CA212" s="731"/>
      <c r="CB212" s="731"/>
      <c r="CC212" s="731"/>
      <c r="CD212" s="731"/>
      <c r="CE212" s="731"/>
      <c r="CF212" s="731"/>
    </row>
    <row r="213" spans="1:84" ht="15.75" customHeight="1">
      <c r="A213" s="732"/>
      <c r="B213" s="733"/>
      <c r="C213" s="733"/>
      <c r="D213" s="733"/>
      <c r="E213" s="733"/>
      <c r="F213" s="733"/>
      <c r="G213" s="733"/>
      <c r="H213" s="733"/>
      <c r="I213" s="733"/>
      <c r="J213" s="733"/>
      <c r="K213" s="733"/>
      <c r="L213" s="733"/>
      <c r="M213" s="733"/>
      <c r="N213" s="733"/>
      <c r="O213" s="733"/>
      <c r="P213" s="733"/>
      <c r="Q213" s="733"/>
      <c r="R213" s="733"/>
      <c r="S213" s="733"/>
      <c r="T213" s="733"/>
      <c r="U213" s="733"/>
      <c r="V213" s="733"/>
      <c r="W213" s="733"/>
      <c r="X213" s="733"/>
      <c r="Y213" s="733"/>
      <c r="Z213" s="733"/>
      <c r="AA213" s="733"/>
      <c r="AB213" s="732"/>
      <c r="AC213" s="733"/>
      <c r="AD213" s="733"/>
      <c r="AE213" s="733"/>
      <c r="AF213" s="733"/>
      <c r="AG213" s="733"/>
      <c r="AH213" s="732"/>
      <c r="AI213" s="732"/>
      <c r="AJ213" s="732"/>
      <c r="AK213" s="732"/>
      <c r="AL213" s="733"/>
      <c r="AM213" s="733"/>
      <c r="AN213" s="733"/>
      <c r="AO213" s="733"/>
      <c r="AP213" s="733"/>
      <c r="AQ213" s="733"/>
      <c r="AR213" s="733"/>
      <c r="AS213" s="733"/>
      <c r="AT213" s="733"/>
      <c r="AU213" s="733"/>
      <c r="AV213" s="733"/>
      <c r="AW213" s="733"/>
      <c r="AX213" s="732"/>
      <c r="AY213" s="732"/>
      <c r="AZ213" s="732"/>
      <c r="BA213" s="732"/>
      <c r="BB213" s="732"/>
      <c r="BC213" s="732"/>
      <c r="BD213" s="732"/>
      <c r="BE213" s="732"/>
      <c r="BF213" s="732"/>
      <c r="BG213" s="791"/>
      <c r="BH213" s="732"/>
      <c r="BI213" s="732"/>
      <c r="BJ213" s="732"/>
      <c r="BK213" s="732"/>
      <c r="BL213" s="732"/>
      <c r="BW213" s="790"/>
      <c r="BX213" s="790"/>
      <c r="BY213" s="792"/>
      <c r="BZ213" s="731"/>
      <c r="CA213" s="731"/>
      <c r="CB213" s="731"/>
      <c r="CC213" s="731"/>
      <c r="CD213" s="731"/>
      <c r="CE213" s="731"/>
      <c r="CF213" s="731"/>
    </row>
    <row r="214" spans="1:84" ht="15.75" customHeight="1">
      <c r="A214" s="732"/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733"/>
      <c r="AB214" s="732"/>
      <c r="AC214" s="733"/>
      <c r="AD214" s="733"/>
      <c r="AE214" s="733"/>
      <c r="AF214" s="733"/>
      <c r="AG214" s="733"/>
      <c r="AH214" s="732"/>
      <c r="AI214" s="732"/>
      <c r="AJ214" s="732"/>
      <c r="AK214" s="732"/>
      <c r="AL214" s="733"/>
      <c r="AM214" s="733"/>
      <c r="AN214" s="733"/>
      <c r="AO214" s="733"/>
      <c r="AP214" s="733"/>
      <c r="AQ214" s="733"/>
      <c r="AR214" s="733"/>
      <c r="AS214" s="733"/>
      <c r="AT214" s="733"/>
      <c r="AU214" s="733"/>
      <c r="AV214" s="733"/>
      <c r="AW214" s="733"/>
      <c r="AX214" s="732"/>
      <c r="AY214" s="732"/>
      <c r="AZ214" s="732"/>
      <c r="BA214" s="732"/>
      <c r="BB214" s="732"/>
      <c r="BC214" s="732"/>
      <c r="BD214" s="732"/>
      <c r="BE214" s="732"/>
      <c r="BF214" s="732"/>
      <c r="BG214" s="791"/>
      <c r="BH214" s="732"/>
      <c r="BI214" s="732"/>
      <c r="BJ214" s="732"/>
      <c r="BK214" s="732"/>
      <c r="BL214" s="732"/>
      <c r="BW214" s="790"/>
      <c r="BX214" s="790"/>
      <c r="BY214" s="792"/>
      <c r="BZ214" s="731"/>
      <c r="CA214" s="731"/>
      <c r="CB214" s="731"/>
      <c r="CC214" s="731"/>
      <c r="CD214" s="731"/>
      <c r="CE214" s="731"/>
      <c r="CF214" s="731"/>
    </row>
    <row r="215" spans="1:84" ht="15.75" customHeight="1">
      <c r="A215" s="732"/>
      <c r="B215" s="733"/>
      <c r="C215" s="733"/>
      <c r="D215" s="733"/>
      <c r="E215" s="733"/>
      <c r="F215" s="733"/>
      <c r="G215" s="733"/>
      <c r="H215" s="733"/>
      <c r="I215" s="733"/>
      <c r="J215" s="733"/>
      <c r="K215" s="733"/>
      <c r="L215" s="733"/>
      <c r="M215" s="733"/>
      <c r="N215" s="733"/>
      <c r="O215" s="733"/>
      <c r="P215" s="733"/>
      <c r="Q215" s="733"/>
      <c r="R215" s="733"/>
      <c r="S215" s="733"/>
      <c r="T215" s="733"/>
      <c r="U215" s="733"/>
      <c r="V215" s="733"/>
      <c r="W215" s="733"/>
      <c r="X215" s="733"/>
      <c r="Y215" s="733"/>
      <c r="Z215" s="733"/>
      <c r="AA215" s="733"/>
      <c r="AB215" s="732"/>
      <c r="AC215" s="733"/>
      <c r="AD215" s="733"/>
      <c r="AE215" s="733"/>
      <c r="AF215" s="733"/>
      <c r="AG215" s="733"/>
      <c r="AH215" s="732"/>
      <c r="AI215" s="732"/>
      <c r="AJ215" s="732"/>
      <c r="AK215" s="732"/>
      <c r="AL215" s="733"/>
      <c r="AM215" s="733"/>
      <c r="AN215" s="733"/>
      <c r="AO215" s="733"/>
      <c r="AP215" s="733"/>
      <c r="AQ215" s="733"/>
      <c r="AR215" s="733"/>
      <c r="AS215" s="733"/>
      <c r="AT215" s="733"/>
      <c r="AU215" s="733"/>
      <c r="AV215" s="733"/>
      <c r="AW215" s="733"/>
      <c r="AX215" s="732"/>
      <c r="AY215" s="732"/>
      <c r="AZ215" s="732"/>
      <c r="BA215" s="732"/>
      <c r="BB215" s="732"/>
      <c r="BC215" s="732"/>
      <c r="BD215" s="732"/>
      <c r="BE215" s="732"/>
      <c r="BF215" s="732"/>
      <c r="BG215" s="791"/>
      <c r="BH215" s="732"/>
      <c r="BI215" s="732"/>
      <c r="BJ215" s="732"/>
      <c r="BK215" s="732"/>
      <c r="BL215" s="732"/>
      <c r="BW215" s="790"/>
      <c r="BX215" s="790"/>
      <c r="BY215" s="792"/>
      <c r="BZ215" s="731"/>
      <c r="CA215" s="731"/>
      <c r="CB215" s="731"/>
      <c r="CC215" s="731"/>
      <c r="CD215" s="731"/>
      <c r="CE215" s="731"/>
      <c r="CF215" s="731"/>
    </row>
    <row r="216" spans="1:84" ht="15.75" customHeight="1">
      <c r="A216" s="732"/>
      <c r="B216" s="733"/>
      <c r="C216" s="733"/>
      <c r="D216" s="733"/>
      <c r="E216" s="733"/>
      <c r="F216" s="733"/>
      <c r="G216" s="733"/>
      <c r="H216" s="733"/>
      <c r="I216" s="733"/>
      <c r="J216" s="733"/>
      <c r="K216" s="733"/>
      <c r="L216" s="733"/>
      <c r="M216" s="733"/>
      <c r="N216" s="733"/>
      <c r="O216" s="733"/>
      <c r="P216" s="733"/>
      <c r="Q216" s="733"/>
      <c r="R216" s="733"/>
      <c r="S216" s="733"/>
      <c r="T216" s="733"/>
      <c r="U216" s="733"/>
      <c r="V216" s="733"/>
      <c r="W216" s="733"/>
      <c r="X216" s="733"/>
      <c r="Y216" s="733"/>
      <c r="Z216" s="733"/>
      <c r="AA216" s="733"/>
      <c r="AB216" s="732"/>
      <c r="AC216" s="733"/>
      <c r="AD216" s="733"/>
      <c r="AE216" s="733"/>
      <c r="AF216" s="733"/>
      <c r="AG216" s="733"/>
      <c r="AH216" s="732"/>
      <c r="AI216" s="732"/>
      <c r="AJ216" s="732"/>
      <c r="AK216" s="732"/>
      <c r="AL216" s="733"/>
      <c r="AM216" s="733"/>
      <c r="AN216" s="733"/>
      <c r="AO216" s="733"/>
      <c r="AP216" s="733"/>
      <c r="AQ216" s="733"/>
      <c r="AR216" s="733"/>
      <c r="AS216" s="733"/>
      <c r="AT216" s="733"/>
      <c r="AU216" s="733"/>
      <c r="AV216" s="733"/>
      <c r="AW216" s="733"/>
      <c r="AX216" s="732"/>
      <c r="AY216" s="732"/>
      <c r="AZ216" s="732"/>
      <c r="BA216" s="732"/>
      <c r="BB216" s="732"/>
      <c r="BC216" s="732"/>
      <c r="BD216" s="732"/>
      <c r="BE216" s="732"/>
      <c r="BF216" s="732"/>
      <c r="BG216" s="791"/>
      <c r="BH216" s="732"/>
      <c r="BI216" s="732"/>
      <c r="BJ216" s="732"/>
      <c r="BK216" s="732"/>
      <c r="BL216" s="732"/>
      <c r="BW216" s="790"/>
      <c r="BX216" s="790"/>
      <c r="BY216" s="792"/>
      <c r="BZ216" s="731"/>
      <c r="CA216" s="731"/>
      <c r="CB216" s="731"/>
      <c r="CC216" s="731"/>
      <c r="CD216" s="731"/>
      <c r="CE216" s="731"/>
      <c r="CF216" s="731"/>
    </row>
    <row r="217" spans="1:84" ht="15.75" customHeight="1">
      <c r="A217" s="732"/>
      <c r="B217" s="733"/>
      <c r="C217" s="733"/>
      <c r="D217" s="733"/>
      <c r="E217" s="733"/>
      <c r="F217" s="733"/>
      <c r="G217" s="733"/>
      <c r="H217" s="733"/>
      <c r="I217" s="733"/>
      <c r="J217" s="733"/>
      <c r="K217" s="733"/>
      <c r="L217" s="733"/>
      <c r="M217" s="733"/>
      <c r="N217" s="733"/>
      <c r="O217" s="733"/>
      <c r="P217" s="733"/>
      <c r="Q217" s="733"/>
      <c r="R217" s="733"/>
      <c r="S217" s="733"/>
      <c r="T217" s="733"/>
      <c r="U217" s="733"/>
      <c r="V217" s="733"/>
      <c r="W217" s="733"/>
      <c r="X217" s="733"/>
      <c r="Y217" s="733"/>
      <c r="Z217" s="733"/>
      <c r="AA217" s="733"/>
      <c r="AB217" s="732"/>
      <c r="AC217" s="733"/>
      <c r="AD217" s="733"/>
      <c r="AE217" s="733"/>
      <c r="AF217" s="733"/>
      <c r="AG217" s="733"/>
      <c r="AH217" s="732"/>
      <c r="AI217" s="732"/>
      <c r="AJ217" s="732"/>
      <c r="AK217" s="732"/>
      <c r="AL217" s="733"/>
      <c r="AM217" s="733"/>
      <c r="AN217" s="733"/>
      <c r="AO217" s="733"/>
      <c r="AP217" s="733"/>
      <c r="AQ217" s="733"/>
      <c r="AR217" s="733"/>
      <c r="AS217" s="733"/>
      <c r="AT217" s="733"/>
      <c r="AU217" s="733"/>
      <c r="AV217" s="733"/>
      <c r="AW217" s="733"/>
      <c r="AX217" s="732"/>
      <c r="AY217" s="732"/>
      <c r="AZ217" s="732"/>
      <c r="BA217" s="732"/>
      <c r="BB217" s="732"/>
      <c r="BC217" s="732"/>
      <c r="BD217" s="732"/>
      <c r="BE217" s="732"/>
      <c r="BF217" s="732"/>
      <c r="BG217" s="791"/>
      <c r="BH217" s="732"/>
      <c r="BI217" s="732"/>
      <c r="BJ217" s="732"/>
      <c r="BK217" s="732"/>
      <c r="BL217" s="732"/>
      <c r="BW217" s="790"/>
      <c r="BX217" s="790"/>
      <c r="BY217" s="792"/>
      <c r="BZ217" s="731"/>
      <c r="CA217" s="731"/>
      <c r="CB217" s="731"/>
      <c r="CC217" s="731"/>
      <c r="CD217" s="731"/>
      <c r="CE217" s="731"/>
      <c r="CF217" s="731"/>
    </row>
    <row r="218" spans="1:84" ht="15.75" customHeight="1">
      <c r="A218" s="732"/>
      <c r="B218" s="733"/>
      <c r="C218" s="733"/>
      <c r="D218" s="733"/>
      <c r="E218" s="733"/>
      <c r="F218" s="733"/>
      <c r="G218" s="733"/>
      <c r="H218" s="733"/>
      <c r="I218" s="733"/>
      <c r="J218" s="733"/>
      <c r="K218" s="733"/>
      <c r="L218" s="733"/>
      <c r="M218" s="733"/>
      <c r="N218" s="733"/>
      <c r="O218" s="733"/>
      <c r="P218" s="733"/>
      <c r="Q218" s="733"/>
      <c r="R218" s="733"/>
      <c r="S218" s="733"/>
      <c r="T218" s="733"/>
      <c r="U218" s="733"/>
      <c r="V218" s="733"/>
      <c r="W218" s="733"/>
      <c r="X218" s="733"/>
      <c r="Y218" s="733"/>
      <c r="Z218" s="733"/>
      <c r="AA218" s="733"/>
      <c r="AB218" s="732"/>
      <c r="AC218" s="733"/>
      <c r="AD218" s="733"/>
      <c r="AE218" s="733"/>
      <c r="AF218" s="733"/>
      <c r="AG218" s="733"/>
      <c r="AH218" s="732"/>
      <c r="AI218" s="732"/>
      <c r="AJ218" s="732"/>
      <c r="AK218" s="732"/>
      <c r="AL218" s="733"/>
      <c r="AM218" s="733"/>
      <c r="AN218" s="733"/>
      <c r="AO218" s="733"/>
      <c r="AP218" s="733"/>
      <c r="AQ218" s="733"/>
      <c r="AR218" s="733"/>
      <c r="AS218" s="733"/>
      <c r="AT218" s="733"/>
      <c r="AU218" s="733"/>
      <c r="AV218" s="733"/>
      <c r="AW218" s="733"/>
      <c r="AX218" s="732"/>
      <c r="AY218" s="732"/>
      <c r="AZ218" s="732"/>
      <c r="BA218" s="732"/>
      <c r="BB218" s="732"/>
      <c r="BC218" s="732"/>
      <c r="BD218" s="732"/>
      <c r="BE218" s="732"/>
      <c r="BF218" s="732"/>
      <c r="BG218" s="791"/>
      <c r="BH218" s="732"/>
      <c r="BI218" s="732"/>
      <c r="BJ218" s="732"/>
      <c r="BK218" s="732"/>
      <c r="BL218" s="732"/>
      <c r="BW218" s="790"/>
      <c r="BX218" s="790"/>
      <c r="BY218" s="792"/>
      <c r="BZ218" s="731"/>
      <c r="CA218" s="731"/>
      <c r="CB218" s="731"/>
      <c r="CC218" s="731"/>
      <c r="CD218" s="731"/>
      <c r="CE218" s="731"/>
      <c r="CF218" s="731"/>
    </row>
    <row r="219" spans="1:84" ht="15.75" customHeight="1">
      <c r="A219" s="732"/>
      <c r="B219" s="733"/>
      <c r="C219" s="733"/>
      <c r="D219" s="733"/>
      <c r="E219" s="733"/>
      <c r="F219" s="733"/>
      <c r="G219" s="733"/>
      <c r="H219" s="733"/>
      <c r="I219" s="733"/>
      <c r="J219" s="733"/>
      <c r="K219" s="733"/>
      <c r="L219" s="733"/>
      <c r="M219" s="733"/>
      <c r="N219" s="733"/>
      <c r="O219" s="733"/>
      <c r="P219" s="733"/>
      <c r="Q219" s="733"/>
      <c r="R219" s="733"/>
      <c r="S219" s="733"/>
      <c r="T219" s="733"/>
      <c r="U219" s="733"/>
      <c r="V219" s="733"/>
      <c r="W219" s="733"/>
      <c r="X219" s="733"/>
      <c r="Y219" s="733"/>
      <c r="Z219" s="733"/>
      <c r="AA219" s="733"/>
      <c r="AB219" s="732"/>
      <c r="AC219" s="733"/>
      <c r="AD219" s="733"/>
      <c r="AE219" s="733"/>
      <c r="AF219" s="733"/>
      <c r="AG219" s="733"/>
      <c r="AH219" s="732"/>
      <c r="AI219" s="732"/>
      <c r="AJ219" s="732"/>
      <c r="AK219" s="732"/>
      <c r="AL219" s="733"/>
      <c r="AM219" s="733"/>
      <c r="AN219" s="733"/>
      <c r="AO219" s="733"/>
      <c r="AP219" s="733"/>
      <c r="AQ219" s="733"/>
      <c r="AR219" s="733"/>
      <c r="AS219" s="733"/>
      <c r="AT219" s="733"/>
      <c r="AU219" s="733"/>
      <c r="AV219" s="733"/>
      <c r="AW219" s="733"/>
      <c r="AX219" s="732"/>
      <c r="AY219" s="732"/>
      <c r="AZ219" s="732"/>
      <c r="BA219" s="732"/>
      <c r="BB219" s="732"/>
      <c r="BC219" s="732"/>
      <c r="BD219" s="732"/>
      <c r="BE219" s="732"/>
      <c r="BF219" s="732"/>
      <c r="BG219" s="791"/>
      <c r="BH219" s="732"/>
      <c r="BI219" s="732"/>
      <c r="BJ219" s="732"/>
      <c r="BK219" s="732"/>
      <c r="BL219" s="732"/>
      <c r="BW219" s="790"/>
      <c r="BX219" s="790"/>
      <c r="BY219" s="792"/>
      <c r="BZ219" s="731"/>
      <c r="CA219" s="731"/>
      <c r="CB219" s="731"/>
      <c r="CC219" s="731"/>
      <c r="CD219" s="731"/>
      <c r="CE219" s="731"/>
      <c r="CF219" s="731"/>
    </row>
    <row r="220" spans="1:84" ht="15.75" customHeight="1">
      <c r="A220" s="732"/>
      <c r="B220" s="733"/>
      <c r="C220" s="733"/>
      <c r="D220" s="733"/>
      <c r="E220" s="733"/>
      <c r="F220" s="733"/>
      <c r="G220" s="733"/>
      <c r="H220" s="733"/>
      <c r="I220" s="733"/>
      <c r="J220" s="733"/>
      <c r="K220" s="733"/>
      <c r="L220" s="733"/>
      <c r="M220" s="733"/>
      <c r="N220" s="733"/>
      <c r="O220" s="733"/>
      <c r="P220" s="733"/>
      <c r="Q220" s="733"/>
      <c r="R220" s="733"/>
      <c r="S220" s="733"/>
      <c r="T220" s="733"/>
      <c r="U220" s="733"/>
      <c r="V220" s="733"/>
      <c r="W220" s="733"/>
      <c r="X220" s="733"/>
      <c r="Y220" s="733"/>
      <c r="Z220" s="733"/>
      <c r="AA220" s="733"/>
      <c r="AB220" s="732"/>
      <c r="AC220" s="733"/>
      <c r="AD220" s="733"/>
      <c r="AE220" s="733"/>
      <c r="AF220" s="733"/>
      <c r="AG220" s="733"/>
      <c r="AH220" s="732"/>
      <c r="AI220" s="732"/>
      <c r="AJ220" s="732"/>
      <c r="AK220" s="732"/>
      <c r="AL220" s="733"/>
      <c r="AM220" s="733"/>
      <c r="AN220" s="733"/>
      <c r="AO220" s="733"/>
      <c r="AP220" s="733"/>
      <c r="AQ220" s="733"/>
      <c r="AR220" s="733"/>
      <c r="AS220" s="733"/>
      <c r="AT220" s="733"/>
      <c r="AU220" s="733"/>
      <c r="AV220" s="733"/>
      <c r="AW220" s="733"/>
      <c r="AX220" s="732"/>
      <c r="AY220" s="732"/>
      <c r="AZ220" s="732"/>
      <c r="BA220" s="732"/>
      <c r="BB220" s="732"/>
      <c r="BC220" s="732"/>
      <c r="BD220" s="732"/>
      <c r="BE220" s="732"/>
      <c r="BF220" s="732"/>
      <c r="BG220" s="791"/>
      <c r="BH220" s="732"/>
      <c r="BI220" s="732"/>
      <c r="BJ220" s="732"/>
      <c r="BK220" s="732"/>
      <c r="BL220" s="732"/>
      <c r="BW220" s="790"/>
      <c r="BX220" s="790"/>
      <c r="BY220" s="792"/>
      <c r="BZ220" s="731"/>
      <c r="CA220" s="731"/>
      <c r="CB220" s="731"/>
      <c r="CC220" s="731"/>
      <c r="CD220" s="731"/>
      <c r="CE220" s="731"/>
      <c r="CF220" s="731"/>
    </row>
    <row r="221" spans="1:84" ht="15.75" customHeight="1">
      <c r="A221" s="732"/>
      <c r="B221" s="733"/>
      <c r="C221" s="733"/>
      <c r="D221" s="733"/>
      <c r="E221" s="733"/>
      <c r="F221" s="733"/>
      <c r="G221" s="733"/>
      <c r="H221" s="733"/>
      <c r="I221" s="733"/>
      <c r="J221" s="733"/>
      <c r="K221" s="733"/>
      <c r="L221" s="733"/>
      <c r="M221" s="733"/>
      <c r="N221" s="733"/>
      <c r="O221" s="733"/>
      <c r="P221" s="733"/>
      <c r="Q221" s="733"/>
      <c r="R221" s="733"/>
      <c r="S221" s="733"/>
      <c r="T221" s="733"/>
      <c r="U221" s="733"/>
      <c r="V221" s="733"/>
      <c r="W221" s="733"/>
      <c r="X221" s="733"/>
      <c r="Y221" s="733"/>
      <c r="Z221" s="733"/>
      <c r="AA221" s="733"/>
      <c r="AB221" s="732"/>
      <c r="AC221" s="733"/>
      <c r="AD221" s="733"/>
      <c r="AE221" s="733"/>
      <c r="AF221" s="733"/>
      <c r="AG221" s="733"/>
      <c r="AH221" s="732"/>
      <c r="AI221" s="732"/>
      <c r="AJ221" s="732"/>
      <c r="AK221" s="732"/>
      <c r="AL221" s="733"/>
      <c r="AM221" s="733"/>
      <c r="AN221" s="733"/>
      <c r="AO221" s="733"/>
      <c r="AP221" s="733"/>
      <c r="AQ221" s="733"/>
      <c r="AR221" s="733"/>
      <c r="AS221" s="733"/>
      <c r="AT221" s="733"/>
      <c r="AU221" s="733"/>
      <c r="AV221" s="733"/>
      <c r="AW221" s="733"/>
      <c r="AX221" s="732"/>
      <c r="AY221" s="732"/>
      <c r="AZ221" s="732"/>
      <c r="BA221" s="732"/>
      <c r="BB221" s="732"/>
      <c r="BC221" s="732"/>
      <c r="BD221" s="732"/>
      <c r="BE221" s="732"/>
      <c r="BF221" s="732"/>
      <c r="BG221" s="791"/>
      <c r="BH221" s="732"/>
      <c r="BI221" s="732"/>
      <c r="BJ221" s="732"/>
      <c r="BK221" s="732"/>
      <c r="BL221" s="732"/>
      <c r="BW221" s="790"/>
      <c r="BX221" s="790"/>
      <c r="BY221" s="792"/>
      <c r="BZ221" s="731"/>
      <c r="CA221" s="731"/>
      <c r="CB221" s="731"/>
      <c r="CC221" s="731"/>
      <c r="CD221" s="731"/>
      <c r="CE221" s="731"/>
      <c r="CF221" s="731"/>
    </row>
    <row r="222" spans="1:84" ht="15.75" customHeight="1">
      <c r="A222" s="732"/>
      <c r="B222" s="733"/>
      <c r="C222" s="733"/>
      <c r="D222" s="733"/>
      <c r="E222" s="733"/>
      <c r="F222" s="733"/>
      <c r="G222" s="733"/>
      <c r="H222" s="733"/>
      <c r="I222" s="733"/>
      <c r="J222" s="733"/>
      <c r="K222" s="733"/>
      <c r="L222" s="733"/>
      <c r="M222" s="733"/>
      <c r="N222" s="733"/>
      <c r="O222" s="733"/>
      <c r="P222" s="733"/>
      <c r="Q222" s="733"/>
      <c r="R222" s="733"/>
      <c r="S222" s="733"/>
      <c r="T222" s="733"/>
      <c r="U222" s="733"/>
      <c r="V222" s="733"/>
      <c r="W222" s="733"/>
      <c r="X222" s="733"/>
      <c r="Y222" s="733"/>
      <c r="Z222" s="733"/>
      <c r="AA222" s="733"/>
      <c r="AB222" s="732"/>
      <c r="AC222" s="733"/>
      <c r="AD222" s="733"/>
      <c r="AE222" s="733"/>
      <c r="AF222" s="733"/>
      <c r="AG222" s="733"/>
      <c r="AH222" s="732"/>
      <c r="AI222" s="732"/>
      <c r="AJ222" s="732"/>
      <c r="AK222" s="732"/>
      <c r="AL222" s="733"/>
      <c r="AM222" s="733"/>
      <c r="AN222" s="733"/>
      <c r="AO222" s="733"/>
      <c r="AP222" s="733"/>
      <c r="AQ222" s="733"/>
      <c r="AR222" s="733"/>
      <c r="AS222" s="733"/>
      <c r="AT222" s="733"/>
      <c r="AU222" s="733"/>
      <c r="AV222" s="733"/>
      <c r="AW222" s="733"/>
      <c r="AX222" s="732"/>
      <c r="AY222" s="732"/>
      <c r="AZ222" s="732"/>
      <c r="BA222" s="732"/>
      <c r="BB222" s="732"/>
      <c r="BC222" s="732"/>
      <c r="BD222" s="732"/>
      <c r="BE222" s="732"/>
      <c r="BF222" s="732"/>
      <c r="BG222" s="791"/>
      <c r="BH222" s="732"/>
      <c r="BI222" s="732"/>
      <c r="BJ222" s="732"/>
      <c r="BK222" s="732"/>
      <c r="BL222" s="732"/>
      <c r="BW222" s="790"/>
      <c r="BX222" s="790"/>
      <c r="BY222" s="792"/>
      <c r="BZ222" s="731"/>
      <c r="CA222" s="731"/>
      <c r="CB222" s="731"/>
      <c r="CC222" s="731"/>
      <c r="CD222" s="731"/>
      <c r="CE222" s="731"/>
      <c r="CF222" s="731"/>
    </row>
    <row r="223" spans="1:84" ht="15.75" customHeight="1">
      <c r="A223" s="732"/>
      <c r="B223" s="733"/>
      <c r="C223" s="733"/>
      <c r="D223" s="733"/>
      <c r="E223" s="733"/>
      <c r="F223" s="733"/>
      <c r="G223" s="733"/>
      <c r="H223" s="733"/>
      <c r="I223" s="733"/>
      <c r="J223" s="733"/>
      <c r="K223" s="733"/>
      <c r="L223" s="733"/>
      <c r="M223" s="733"/>
      <c r="N223" s="733"/>
      <c r="O223" s="733"/>
      <c r="P223" s="733"/>
      <c r="Q223" s="733"/>
      <c r="R223" s="733"/>
      <c r="S223" s="733"/>
      <c r="T223" s="733"/>
      <c r="U223" s="733"/>
      <c r="V223" s="733"/>
      <c r="W223" s="733"/>
      <c r="X223" s="733"/>
      <c r="Y223" s="733"/>
      <c r="Z223" s="733"/>
      <c r="AA223" s="733"/>
      <c r="AB223" s="732"/>
      <c r="AC223" s="733"/>
      <c r="AD223" s="733"/>
      <c r="AE223" s="733"/>
      <c r="AF223" s="733"/>
      <c r="AG223" s="733"/>
      <c r="AH223" s="732"/>
      <c r="AI223" s="732"/>
      <c r="AJ223" s="732"/>
      <c r="AK223" s="732"/>
      <c r="AL223" s="733"/>
      <c r="AM223" s="733"/>
      <c r="AN223" s="733"/>
      <c r="AO223" s="733"/>
      <c r="AP223" s="733"/>
      <c r="AQ223" s="733"/>
      <c r="AR223" s="733"/>
      <c r="AS223" s="733"/>
      <c r="AT223" s="733"/>
      <c r="AU223" s="733"/>
      <c r="AV223" s="733"/>
      <c r="AW223" s="733"/>
      <c r="AX223" s="732"/>
      <c r="AY223" s="732"/>
      <c r="AZ223" s="732"/>
      <c r="BA223" s="732"/>
      <c r="BB223" s="732"/>
      <c r="BC223" s="732"/>
      <c r="BD223" s="732"/>
      <c r="BE223" s="732"/>
      <c r="BF223" s="732"/>
      <c r="BG223" s="791"/>
      <c r="BH223" s="732"/>
      <c r="BI223" s="732"/>
      <c r="BJ223" s="732"/>
      <c r="BK223" s="732"/>
      <c r="BL223" s="732"/>
      <c r="BW223" s="790"/>
      <c r="BX223" s="790"/>
      <c r="BY223" s="792"/>
      <c r="BZ223" s="731"/>
      <c r="CA223" s="731"/>
      <c r="CB223" s="731"/>
      <c r="CC223" s="731"/>
      <c r="CD223" s="731"/>
      <c r="CE223" s="731"/>
      <c r="CF223" s="731"/>
    </row>
    <row r="224" spans="1:84" ht="15.75" customHeight="1">
      <c r="A224" s="732"/>
      <c r="B224" s="733"/>
      <c r="C224" s="733"/>
      <c r="D224" s="733"/>
      <c r="E224" s="733"/>
      <c r="F224" s="733"/>
      <c r="G224" s="733"/>
      <c r="H224" s="733"/>
      <c r="I224" s="733"/>
      <c r="J224" s="733"/>
      <c r="K224" s="733"/>
      <c r="L224" s="733"/>
      <c r="M224" s="733"/>
      <c r="N224" s="733"/>
      <c r="O224" s="733"/>
      <c r="P224" s="733"/>
      <c r="Q224" s="733"/>
      <c r="R224" s="733"/>
      <c r="S224" s="733"/>
      <c r="T224" s="733"/>
      <c r="U224" s="733"/>
      <c r="V224" s="733"/>
      <c r="W224" s="733"/>
      <c r="X224" s="733"/>
      <c r="Y224" s="733"/>
      <c r="Z224" s="733"/>
      <c r="AA224" s="733"/>
      <c r="AB224" s="732"/>
      <c r="AC224" s="733"/>
      <c r="AD224" s="733"/>
      <c r="AE224" s="733"/>
      <c r="AF224" s="733"/>
      <c r="AG224" s="733"/>
      <c r="AH224" s="732"/>
      <c r="AI224" s="732"/>
      <c r="AJ224" s="732"/>
      <c r="AK224" s="732"/>
      <c r="AL224" s="733"/>
      <c r="AM224" s="733"/>
      <c r="AN224" s="733"/>
      <c r="AO224" s="733"/>
      <c r="AP224" s="733"/>
      <c r="AQ224" s="733"/>
      <c r="AR224" s="733"/>
      <c r="AS224" s="733"/>
      <c r="AT224" s="733"/>
      <c r="AU224" s="733"/>
      <c r="AV224" s="733"/>
      <c r="AW224" s="733"/>
      <c r="AX224" s="732"/>
      <c r="AY224" s="732"/>
      <c r="AZ224" s="732"/>
      <c r="BA224" s="732"/>
      <c r="BB224" s="732"/>
      <c r="BC224" s="732"/>
      <c r="BD224" s="732"/>
      <c r="BE224" s="732"/>
      <c r="BF224" s="732"/>
      <c r="BG224" s="791"/>
      <c r="BH224" s="732"/>
      <c r="BI224" s="732"/>
      <c r="BJ224" s="732"/>
      <c r="BK224" s="732"/>
      <c r="BL224" s="732"/>
      <c r="BW224" s="790"/>
      <c r="BX224" s="790"/>
      <c r="BY224" s="792"/>
      <c r="BZ224" s="731"/>
      <c r="CA224" s="731"/>
      <c r="CB224" s="731"/>
      <c r="CC224" s="731"/>
      <c r="CD224" s="731"/>
      <c r="CE224" s="731"/>
      <c r="CF224" s="731"/>
    </row>
    <row r="225" spans="1:84" ht="15.75" customHeight="1">
      <c r="A225" s="732"/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733"/>
      <c r="AB225" s="732"/>
      <c r="AC225" s="733"/>
      <c r="AD225" s="733"/>
      <c r="AE225" s="733"/>
      <c r="AF225" s="733"/>
      <c r="AG225" s="733"/>
      <c r="AH225" s="732"/>
      <c r="AI225" s="732"/>
      <c r="AJ225" s="732"/>
      <c r="AK225" s="732"/>
      <c r="AL225" s="733"/>
      <c r="AM225" s="733"/>
      <c r="AN225" s="733"/>
      <c r="AO225" s="733"/>
      <c r="AP225" s="733"/>
      <c r="AQ225" s="733"/>
      <c r="AR225" s="733"/>
      <c r="AS225" s="733"/>
      <c r="AT225" s="733"/>
      <c r="AU225" s="733"/>
      <c r="AV225" s="733"/>
      <c r="AW225" s="733"/>
      <c r="AX225" s="732"/>
      <c r="AY225" s="732"/>
      <c r="AZ225" s="732"/>
      <c r="BA225" s="732"/>
      <c r="BB225" s="732"/>
      <c r="BC225" s="732"/>
      <c r="BD225" s="732"/>
      <c r="BE225" s="732"/>
      <c r="BF225" s="732"/>
      <c r="BG225" s="791"/>
      <c r="BH225" s="732"/>
      <c r="BI225" s="732"/>
      <c r="BJ225" s="732"/>
      <c r="BK225" s="732"/>
      <c r="BL225" s="732"/>
      <c r="BW225" s="790"/>
      <c r="BX225" s="790"/>
      <c r="BY225" s="792"/>
      <c r="BZ225" s="731"/>
      <c r="CA225" s="731"/>
      <c r="CB225" s="731"/>
      <c r="CC225" s="731"/>
      <c r="CD225" s="731"/>
      <c r="CE225" s="731"/>
      <c r="CF225" s="731"/>
    </row>
    <row r="226" spans="1:84" ht="15.75" customHeight="1">
      <c r="A226" s="732"/>
      <c r="B226" s="733"/>
      <c r="C226" s="733"/>
      <c r="D226" s="733"/>
      <c r="E226" s="733"/>
      <c r="F226" s="733"/>
      <c r="G226" s="733"/>
      <c r="H226" s="733"/>
      <c r="I226" s="733"/>
      <c r="J226" s="733"/>
      <c r="K226" s="733"/>
      <c r="L226" s="733"/>
      <c r="M226" s="733"/>
      <c r="N226" s="733"/>
      <c r="O226" s="733"/>
      <c r="P226" s="733"/>
      <c r="Q226" s="733"/>
      <c r="R226" s="733"/>
      <c r="S226" s="733"/>
      <c r="T226" s="733"/>
      <c r="U226" s="733"/>
      <c r="V226" s="733"/>
      <c r="W226" s="733"/>
      <c r="X226" s="733"/>
      <c r="Y226" s="733"/>
      <c r="Z226" s="733"/>
      <c r="AA226" s="733"/>
      <c r="AB226" s="732"/>
      <c r="AC226" s="733"/>
      <c r="AD226" s="733"/>
      <c r="AE226" s="733"/>
      <c r="AF226" s="733"/>
      <c r="AG226" s="733"/>
      <c r="AH226" s="732"/>
      <c r="AI226" s="732"/>
      <c r="AJ226" s="732"/>
      <c r="AK226" s="732"/>
      <c r="AL226" s="733"/>
      <c r="AM226" s="733"/>
      <c r="AN226" s="733"/>
      <c r="AO226" s="733"/>
      <c r="AP226" s="733"/>
      <c r="AQ226" s="733"/>
      <c r="AR226" s="733"/>
      <c r="AS226" s="733"/>
      <c r="AT226" s="733"/>
      <c r="AU226" s="733"/>
      <c r="AV226" s="733"/>
      <c r="AW226" s="733"/>
      <c r="AX226" s="732"/>
      <c r="AY226" s="732"/>
      <c r="AZ226" s="732"/>
      <c r="BA226" s="732"/>
      <c r="BB226" s="732"/>
      <c r="BC226" s="732"/>
      <c r="BD226" s="732"/>
      <c r="BE226" s="732"/>
      <c r="BF226" s="732"/>
      <c r="BG226" s="791"/>
      <c r="BH226" s="732"/>
      <c r="BI226" s="732"/>
      <c r="BJ226" s="732"/>
      <c r="BK226" s="732"/>
      <c r="BL226" s="732"/>
      <c r="BW226" s="790"/>
      <c r="BX226" s="790"/>
      <c r="BY226" s="792"/>
      <c r="BZ226" s="731"/>
      <c r="CA226" s="731"/>
      <c r="CB226" s="731"/>
      <c r="CC226" s="731"/>
      <c r="CD226" s="731"/>
      <c r="CE226" s="731"/>
      <c r="CF226" s="731"/>
    </row>
    <row r="227" spans="1:84" ht="15.75" customHeight="1">
      <c r="A227" s="732"/>
      <c r="B227" s="733"/>
      <c r="C227" s="733"/>
      <c r="D227" s="733"/>
      <c r="E227" s="733"/>
      <c r="F227" s="733"/>
      <c r="G227" s="733"/>
      <c r="H227" s="733"/>
      <c r="I227" s="733"/>
      <c r="J227" s="733"/>
      <c r="K227" s="733"/>
      <c r="L227" s="733"/>
      <c r="M227" s="733"/>
      <c r="N227" s="733"/>
      <c r="O227" s="733"/>
      <c r="P227" s="733"/>
      <c r="Q227" s="733"/>
      <c r="R227" s="733"/>
      <c r="S227" s="733"/>
      <c r="T227" s="733"/>
      <c r="U227" s="733"/>
      <c r="V227" s="733"/>
      <c r="W227" s="733"/>
      <c r="X227" s="733"/>
      <c r="Y227" s="733"/>
      <c r="Z227" s="733"/>
      <c r="AA227" s="733"/>
      <c r="AB227" s="732"/>
      <c r="AC227" s="733"/>
      <c r="AD227" s="733"/>
      <c r="AE227" s="733"/>
      <c r="AF227" s="733"/>
      <c r="AG227" s="733"/>
      <c r="AH227" s="732"/>
      <c r="AI227" s="732"/>
      <c r="AJ227" s="732"/>
      <c r="AK227" s="732"/>
      <c r="AL227" s="733"/>
      <c r="AM227" s="733"/>
      <c r="AN227" s="733"/>
      <c r="AO227" s="733"/>
      <c r="AP227" s="733"/>
      <c r="AQ227" s="733"/>
      <c r="AR227" s="733"/>
      <c r="AS227" s="733"/>
      <c r="AT227" s="733"/>
      <c r="AU227" s="733"/>
      <c r="AV227" s="733"/>
      <c r="AW227" s="733"/>
      <c r="AX227" s="732"/>
      <c r="AY227" s="732"/>
      <c r="AZ227" s="732"/>
      <c r="BA227" s="732"/>
      <c r="BB227" s="732"/>
      <c r="BC227" s="732"/>
      <c r="BD227" s="732"/>
      <c r="BE227" s="732"/>
      <c r="BF227" s="732"/>
      <c r="BG227" s="791"/>
      <c r="BH227" s="732"/>
      <c r="BI227" s="732"/>
      <c r="BJ227" s="732"/>
      <c r="BK227" s="732"/>
      <c r="BL227" s="732"/>
      <c r="BW227" s="790"/>
      <c r="BX227" s="790"/>
      <c r="BY227" s="792"/>
      <c r="BZ227" s="731"/>
      <c r="CA227" s="731"/>
      <c r="CB227" s="731"/>
      <c r="CC227" s="731"/>
      <c r="CD227" s="731"/>
      <c r="CE227" s="731"/>
      <c r="CF227" s="731"/>
    </row>
    <row r="228" spans="1:84" ht="15.75" customHeight="1">
      <c r="A228" s="732"/>
      <c r="B228" s="733"/>
      <c r="C228" s="733"/>
      <c r="D228" s="733"/>
      <c r="E228" s="733"/>
      <c r="F228" s="733"/>
      <c r="G228" s="733"/>
      <c r="H228" s="733"/>
      <c r="I228" s="733"/>
      <c r="J228" s="733"/>
      <c r="K228" s="733"/>
      <c r="L228" s="733"/>
      <c r="M228" s="733"/>
      <c r="N228" s="733"/>
      <c r="O228" s="733"/>
      <c r="P228" s="733"/>
      <c r="Q228" s="733"/>
      <c r="R228" s="733"/>
      <c r="S228" s="733"/>
      <c r="T228" s="733"/>
      <c r="U228" s="733"/>
      <c r="V228" s="733"/>
      <c r="W228" s="733"/>
      <c r="X228" s="733"/>
      <c r="Y228" s="733"/>
      <c r="Z228" s="733"/>
      <c r="AA228" s="733"/>
      <c r="AB228" s="732"/>
      <c r="AC228" s="733"/>
      <c r="AD228" s="733"/>
      <c r="AE228" s="733"/>
      <c r="AF228" s="733"/>
      <c r="AG228" s="733"/>
      <c r="AH228" s="732"/>
      <c r="AI228" s="732"/>
      <c r="AJ228" s="732"/>
      <c r="AK228" s="732"/>
      <c r="AL228" s="733"/>
      <c r="AM228" s="733"/>
      <c r="AN228" s="733"/>
      <c r="AO228" s="733"/>
      <c r="AP228" s="733"/>
      <c r="AQ228" s="733"/>
      <c r="AR228" s="733"/>
      <c r="AS228" s="733"/>
      <c r="AT228" s="733"/>
      <c r="AU228" s="733"/>
      <c r="AV228" s="733"/>
      <c r="AW228" s="733"/>
      <c r="AX228" s="732"/>
      <c r="AY228" s="732"/>
      <c r="AZ228" s="732"/>
      <c r="BA228" s="732"/>
      <c r="BB228" s="732"/>
      <c r="BC228" s="732"/>
      <c r="BD228" s="732"/>
      <c r="BE228" s="732"/>
      <c r="BF228" s="732"/>
      <c r="BG228" s="791"/>
      <c r="BH228" s="732"/>
      <c r="BI228" s="732"/>
      <c r="BJ228" s="732"/>
      <c r="BK228" s="732"/>
      <c r="BL228" s="732"/>
      <c r="BW228" s="790"/>
      <c r="BX228" s="790"/>
      <c r="BY228" s="792"/>
      <c r="BZ228" s="731"/>
      <c r="CA228" s="731"/>
      <c r="CB228" s="731"/>
      <c r="CC228" s="731"/>
      <c r="CD228" s="731"/>
      <c r="CE228" s="731"/>
      <c r="CF228" s="731"/>
    </row>
    <row r="229" spans="1:84" ht="15.75" customHeight="1">
      <c r="A229" s="732"/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733"/>
      <c r="AB229" s="732"/>
      <c r="AC229" s="733"/>
      <c r="AD229" s="733"/>
      <c r="AE229" s="733"/>
      <c r="AF229" s="733"/>
      <c r="AG229" s="733"/>
      <c r="AH229" s="732"/>
      <c r="AI229" s="732"/>
      <c r="AJ229" s="732"/>
      <c r="AK229" s="732"/>
      <c r="AL229" s="733"/>
      <c r="AM229" s="733"/>
      <c r="AN229" s="733"/>
      <c r="AO229" s="733"/>
      <c r="AP229" s="733"/>
      <c r="AQ229" s="733"/>
      <c r="AR229" s="733"/>
      <c r="AS229" s="733"/>
      <c r="AT229" s="733"/>
      <c r="AU229" s="733"/>
      <c r="AV229" s="733"/>
      <c r="AW229" s="733"/>
      <c r="AX229" s="732"/>
      <c r="AY229" s="732"/>
      <c r="AZ229" s="732"/>
      <c r="BA229" s="732"/>
      <c r="BB229" s="732"/>
      <c r="BC229" s="732"/>
      <c r="BD229" s="732"/>
      <c r="BE229" s="732"/>
      <c r="BF229" s="732"/>
      <c r="BG229" s="791"/>
      <c r="BH229" s="732"/>
      <c r="BI229" s="732"/>
      <c r="BJ229" s="732"/>
      <c r="BK229" s="732"/>
      <c r="BL229" s="732"/>
      <c r="BW229" s="790"/>
      <c r="BX229" s="790"/>
      <c r="BY229" s="792"/>
      <c r="BZ229" s="731"/>
      <c r="CA229" s="731"/>
      <c r="CB229" s="731"/>
      <c r="CC229" s="731"/>
      <c r="CD229" s="731"/>
      <c r="CE229" s="731"/>
      <c r="CF229" s="731"/>
    </row>
    <row r="230" spans="1:84" ht="15.75" customHeight="1">
      <c r="A230" s="732"/>
      <c r="B230" s="733"/>
      <c r="C230" s="733"/>
      <c r="D230" s="733"/>
      <c r="E230" s="733"/>
      <c r="F230" s="733"/>
      <c r="G230" s="733"/>
      <c r="H230" s="733"/>
      <c r="I230" s="733"/>
      <c r="J230" s="733"/>
      <c r="K230" s="733"/>
      <c r="L230" s="733"/>
      <c r="M230" s="733"/>
      <c r="N230" s="733"/>
      <c r="O230" s="733"/>
      <c r="P230" s="733"/>
      <c r="Q230" s="733"/>
      <c r="R230" s="733"/>
      <c r="S230" s="733"/>
      <c r="T230" s="733"/>
      <c r="U230" s="733"/>
      <c r="V230" s="733"/>
      <c r="W230" s="733"/>
      <c r="X230" s="733"/>
      <c r="Y230" s="733"/>
      <c r="Z230" s="733"/>
      <c r="AA230" s="733"/>
      <c r="AB230" s="732"/>
      <c r="AC230" s="733"/>
      <c r="AD230" s="733"/>
      <c r="AE230" s="733"/>
      <c r="AF230" s="733"/>
      <c r="AG230" s="733"/>
      <c r="AH230" s="732"/>
      <c r="AI230" s="732"/>
      <c r="AJ230" s="732"/>
      <c r="AK230" s="732"/>
      <c r="AL230" s="733"/>
      <c r="AM230" s="733"/>
      <c r="AN230" s="733"/>
      <c r="AO230" s="733"/>
      <c r="AP230" s="733"/>
      <c r="AQ230" s="733"/>
      <c r="AR230" s="733"/>
      <c r="AS230" s="733"/>
      <c r="AT230" s="733"/>
      <c r="AU230" s="733"/>
      <c r="AV230" s="733"/>
      <c r="AW230" s="733"/>
      <c r="AX230" s="732"/>
      <c r="AY230" s="732"/>
      <c r="AZ230" s="732"/>
      <c r="BA230" s="732"/>
      <c r="BB230" s="732"/>
      <c r="BC230" s="732"/>
      <c r="BD230" s="732"/>
      <c r="BE230" s="732"/>
      <c r="BF230" s="732"/>
      <c r="BG230" s="791"/>
      <c r="BH230" s="732"/>
      <c r="BI230" s="732"/>
      <c r="BJ230" s="732"/>
      <c r="BK230" s="732"/>
      <c r="BL230" s="732"/>
      <c r="BW230" s="790"/>
      <c r="BX230" s="790"/>
      <c r="BY230" s="792"/>
      <c r="BZ230" s="731"/>
      <c r="CA230" s="731"/>
      <c r="CB230" s="731"/>
      <c r="CC230" s="731"/>
      <c r="CD230" s="731"/>
      <c r="CE230" s="731"/>
      <c r="CF230" s="731"/>
    </row>
    <row r="231" spans="1:84" ht="15.75" customHeight="1">
      <c r="A231" s="732"/>
      <c r="B231" s="733"/>
      <c r="C231" s="733"/>
      <c r="D231" s="733"/>
      <c r="E231" s="733"/>
      <c r="F231" s="733"/>
      <c r="G231" s="733"/>
      <c r="H231" s="733"/>
      <c r="I231" s="733"/>
      <c r="J231" s="733"/>
      <c r="K231" s="733"/>
      <c r="L231" s="733"/>
      <c r="M231" s="733"/>
      <c r="N231" s="733"/>
      <c r="O231" s="733"/>
      <c r="P231" s="733"/>
      <c r="Q231" s="733"/>
      <c r="R231" s="733"/>
      <c r="S231" s="733"/>
      <c r="T231" s="733"/>
      <c r="U231" s="733"/>
      <c r="V231" s="733"/>
      <c r="W231" s="733"/>
      <c r="X231" s="733"/>
      <c r="Y231" s="733"/>
      <c r="Z231" s="733"/>
      <c r="AA231" s="733"/>
      <c r="AB231" s="732"/>
      <c r="AC231" s="733"/>
      <c r="AD231" s="733"/>
      <c r="AE231" s="733"/>
      <c r="AF231" s="733"/>
      <c r="AG231" s="733"/>
      <c r="AH231" s="732"/>
      <c r="AI231" s="732"/>
      <c r="AJ231" s="732"/>
      <c r="AK231" s="732"/>
      <c r="AL231" s="733"/>
      <c r="AM231" s="733"/>
      <c r="AN231" s="733"/>
      <c r="AO231" s="733"/>
      <c r="AP231" s="733"/>
      <c r="AQ231" s="733"/>
      <c r="AR231" s="733"/>
      <c r="AS231" s="733"/>
      <c r="AT231" s="733"/>
      <c r="AU231" s="733"/>
      <c r="AV231" s="733"/>
      <c r="AW231" s="733"/>
      <c r="AX231" s="732"/>
      <c r="AY231" s="732"/>
      <c r="AZ231" s="732"/>
      <c r="BA231" s="732"/>
      <c r="BB231" s="732"/>
      <c r="BC231" s="732"/>
      <c r="BD231" s="732"/>
      <c r="BE231" s="732"/>
      <c r="BF231" s="732"/>
      <c r="BG231" s="791"/>
      <c r="BH231" s="732"/>
      <c r="BI231" s="732"/>
      <c r="BJ231" s="732"/>
      <c r="BK231" s="732"/>
      <c r="BL231" s="732"/>
      <c r="BW231" s="790"/>
      <c r="BX231" s="790"/>
      <c r="BY231" s="792"/>
      <c r="BZ231" s="731"/>
      <c r="CA231" s="731"/>
      <c r="CB231" s="731"/>
      <c r="CC231" s="731"/>
      <c r="CD231" s="731"/>
      <c r="CE231" s="731"/>
      <c r="CF231" s="731"/>
    </row>
    <row r="232" spans="1:84" ht="15.75" customHeight="1">
      <c r="A232" s="732"/>
      <c r="B232" s="733"/>
      <c r="C232" s="733"/>
      <c r="D232" s="733"/>
      <c r="E232" s="733"/>
      <c r="F232" s="733"/>
      <c r="G232" s="733"/>
      <c r="H232" s="733"/>
      <c r="I232" s="733"/>
      <c r="J232" s="733"/>
      <c r="K232" s="733"/>
      <c r="L232" s="733"/>
      <c r="M232" s="733"/>
      <c r="N232" s="733"/>
      <c r="O232" s="733"/>
      <c r="P232" s="733"/>
      <c r="Q232" s="733"/>
      <c r="R232" s="733"/>
      <c r="S232" s="733"/>
      <c r="T232" s="733"/>
      <c r="U232" s="733"/>
      <c r="V232" s="733"/>
      <c r="W232" s="733"/>
      <c r="X232" s="733"/>
      <c r="Y232" s="733"/>
      <c r="Z232" s="733"/>
      <c r="AA232" s="733"/>
      <c r="AB232" s="732"/>
      <c r="AC232" s="733"/>
      <c r="AD232" s="733"/>
      <c r="AE232" s="733"/>
      <c r="AF232" s="733"/>
      <c r="AG232" s="733"/>
      <c r="AH232" s="732"/>
      <c r="AI232" s="732"/>
      <c r="AJ232" s="732"/>
      <c r="AK232" s="732"/>
      <c r="AL232" s="733"/>
      <c r="AM232" s="733"/>
      <c r="AN232" s="733"/>
      <c r="AO232" s="733"/>
      <c r="AP232" s="733"/>
      <c r="AQ232" s="733"/>
      <c r="AR232" s="733"/>
      <c r="AS232" s="733"/>
      <c r="AT232" s="733"/>
      <c r="AU232" s="733"/>
      <c r="AV232" s="733"/>
      <c r="AW232" s="733"/>
      <c r="AX232" s="732"/>
      <c r="AY232" s="732"/>
      <c r="AZ232" s="732"/>
      <c r="BA232" s="732"/>
      <c r="BB232" s="732"/>
      <c r="BC232" s="732"/>
      <c r="BD232" s="732"/>
      <c r="BE232" s="732"/>
      <c r="BF232" s="732"/>
      <c r="BG232" s="791"/>
      <c r="BH232" s="732"/>
      <c r="BI232" s="732"/>
      <c r="BJ232" s="732"/>
      <c r="BK232" s="732"/>
      <c r="BL232" s="732"/>
      <c r="BW232" s="790"/>
      <c r="BX232" s="790"/>
      <c r="BY232" s="792"/>
      <c r="BZ232" s="731"/>
      <c r="CA232" s="731"/>
      <c r="CB232" s="731"/>
      <c r="CC232" s="731"/>
      <c r="CD232" s="731"/>
      <c r="CE232" s="731"/>
      <c r="CF232" s="731"/>
    </row>
    <row r="233" spans="1:84" ht="15.75" customHeight="1">
      <c r="A233" s="732"/>
      <c r="B233" s="733"/>
      <c r="C233" s="733"/>
      <c r="D233" s="733"/>
      <c r="E233" s="733"/>
      <c r="F233" s="733"/>
      <c r="G233" s="733"/>
      <c r="H233" s="733"/>
      <c r="I233" s="733"/>
      <c r="J233" s="733"/>
      <c r="K233" s="733"/>
      <c r="L233" s="733"/>
      <c r="M233" s="733"/>
      <c r="N233" s="733"/>
      <c r="O233" s="733"/>
      <c r="P233" s="733"/>
      <c r="Q233" s="733"/>
      <c r="R233" s="733"/>
      <c r="S233" s="733"/>
      <c r="T233" s="733"/>
      <c r="U233" s="733"/>
      <c r="V233" s="733"/>
      <c r="W233" s="733"/>
      <c r="X233" s="733"/>
      <c r="Y233" s="733"/>
      <c r="Z233" s="733"/>
      <c r="AA233" s="733"/>
      <c r="AB233" s="732"/>
      <c r="AC233" s="733"/>
      <c r="AD233" s="733"/>
      <c r="AE233" s="733"/>
      <c r="AF233" s="733"/>
      <c r="AG233" s="733"/>
      <c r="AH233" s="732"/>
      <c r="AI233" s="732"/>
      <c r="AJ233" s="732"/>
      <c r="AK233" s="732"/>
      <c r="AL233" s="733"/>
      <c r="AM233" s="733"/>
      <c r="AN233" s="733"/>
      <c r="AO233" s="733"/>
      <c r="AP233" s="733"/>
      <c r="AQ233" s="733"/>
      <c r="AR233" s="733"/>
      <c r="AS233" s="733"/>
      <c r="AT233" s="733"/>
      <c r="AU233" s="733"/>
      <c r="AV233" s="733"/>
      <c r="AW233" s="733"/>
      <c r="AX233" s="732"/>
      <c r="AY233" s="732"/>
      <c r="AZ233" s="732"/>
      <c r="BA233" s="732"/>
      <c r="BB233" s="732"/>
      <c r="BC233" s="732"/>
      <c r="BD233" s="732"/>
      <c r="BE233" s="732"/>
      <c r="BF233" s="732"/>
      <c r="BG233" s="791"/>
      <c r="BH233" s="732"/>
      <c r="BI233" s="732"/>
      <c r="BJ233" s="732"/>
      <c r="BK233" s="732"/>
      <c r="BL233" s="732"/>
      <c r="BW233" s="790"/>
      <c r="BX233" s="790"/>
      <c r="BY233" s="792"/>
      <c r="BZ233" s="731"/>
      <c r="CA233" s="731"/>
      <c r="CB233" s="731"/>
      <c r="CC233" s="731"/>
      <c r="CD233" s="731"/>
      <c r="CE233" s="731"/>
      <c r="CF233" s="731"/>
    </row>
    <row r="234" spans="1:84" ht="15.75" customHeight="1">
      <c r="A234" s="732"/>
      <c r="B234" s="733"/>
      <c r="C234" s="733"/>
      <c r="D234" s="733"/>
      <c r="E234" s="733"/>
      <c r="F234" s="733"/>
      <c r="G234" s="733"/>
      <c r="H234" s="733"/>
      <c r="I234" s="733"/>
      <c r="J234" s="733"/>
      <c r="K234" s="733"/>
      <c r="L234" s="733"/>
      <c r="M234" s="733"/>
      <c r="N234" s="733"/>
      <c r="O234" s="733"/>
      <c r="P234" s="733"/>
      <c r="Q234" s="733"/>
      <c r="R234" s="733"/>
      <c r="S234" s="733"/>
      <c r="T234" s="733"/>
      <c r="U234" s="733"/>
      <c r="V234" s="733"/>
      <c r="W234" s="733"/>
      <c r="X234" s="733"/>
      <c r="Y234" s="733"/>
      <c r="Z234" s="733"/>
      <c r="AA234" s="733"/>
      <c r="AB234" s="732"/>
      <c r="AC234" s="733"/>
      <c r="AD234" s="733"/>
      <c r="AE234" s="733"/>
      <c r="AF234" s="733"/>
      <c r="AG234" s="733"/>
      <c r="AH234" s="732"/>
      <c r="AI234" s="732"/>
      <c r="AJ234" s="732"/>
      <c r="AK234" s="732"/>
      <c r="AL234" s="733"/>
      <c r="AM234" s="733"/>
      <c r="AN234" s="733"/>
      <c r="AO234" s="733"/>
      <c r="AP234" s="733"/>
      <c r="AQ234" s="733"/>
      <c r="AR234" s="733"/>
      <c r="AS234" s="733"/>
      <c r="AT234" s="733"/>
      <c r="AU234" s="733"/>
      <c r="AV234" s="733"/>
      <c r="AW234" s="733"/>
      <c r="AX234" s="732"/>
      <c r="AY234" s="732"/>
      <c r="AZ234" s="732"/>
      <c r="BA234" s="732"/>
      <c r="BB234" s="732"/>
      <c r="BC234" s="732"/>
      <c r="BD234" s="732"/>
      <c r="BE234" s="732"/>
      <c r="BF234" s="732"/>
      <c r="BG234" s="791"/>
      <c r="BH234" s="732"/>
      <c r="BI234" s="732"/>
      <c r="BJ234" s="732"/>
      <c r="BK234" s="732"/>
      <c r="BL234" s="732"/>
      <c r="BW234" s="790"/>
      <c r="BX234" s="790"/>
      <c r="BY234" s="792"/>
      <c r="BZ234" s="731"/>
      <c r="CA234" s="731"/>
      <c r="CB234" s="731"/>
      <c r="CC234" s="731"/>
      <c r="CD234" s="731"/>
      <c r="CE234" s="731"/>
      <c r="CF234" s="731"/>
    </row>
    <row r="235" spans="1:84" ht="15.75" customHeight="1">
      <c r="A235" s="732"/>
      <c r="B235" s="733"/>
      <c r="C235" s="733"/>
      <c r="D235" s="733"/>
      <c r="E235" s="733"/>
      <c r="F235" s="733"/>
      <c r="G235" s="733"/>
      <c r="H235" s="733"/>
      <c r="I235" s="733"/>
      <c r="J235" s="733"/>
      <c r="K235" s="733"/>
      <c r="L235" s="733"/>
      <c r="M235" s="733"/>
      <c r="N235" s="733"/>
      <c r="O235" s="733"/>
      <c r="P235" s="733"/>
      <c r="Q235" s="733"/>
      <c r="R235" s="733"/>
      <c r="S235" s="733"/>
      <c r="T235" s="733"/>
      <c r="U235" s="733"/>
      <c r="V235" s="733"/>
      <c r="W235" s="733"/>
      <c r="X235" s="733"/>
      <c r="Y235" s="733"/>
      <c r="Z235" s="733"/>
      <c r="AA235" s="733"/>
      <c r="AB235" s="732"/>
      <c r="AC235" s="733"/>
      <c r="AD235" s="733"/>
      <c r="AE235" s="733"/>
      <c r="AF235" s="733"/>
      <c r="AG235" s="733"/>
      <c r="AH235" s="732"/>
      <c r="AI235" s="732"/>
      <c r="AJ235" s="732"/>
      <c r="AK235" s="732"/>
      <c r="AL235" s="733"/>
      <c r="AM235" s="733"/>
      <c r="AN235" s="733"/>
      <c r="AO235" s="733"/>
      <c r="AP235" s="733"/>
      <c r="AQ235" s="733"/>
      <c r="AR235" s="733"/>
      <c r="AS235" s="733"/>
      <c r="AT235" s="733"/>
      <c r="AU235" s="733"/>
      <c r="AV235" s="733"/>
      <c r="AW235" s="733"/>
      <c r="AX235" s="732"/>
      <c r="AY235" s="732"/>
      <c r="AZ235" s="732"/>
      <c r="BA235" s="732"/>
      <c r="BB235" s="732"/>
      <c r="BC235" s="732"/>
      <c r="BD235" s="732"/>
      <c r="BE235" s="732"/>
      <c r="BF235" s="732"/>
      <c r="BG235" s="791"/>
      <c r="BH235" s="732"/>
      <c r="BI235" s="732"/>
      <c r="BJ235" s="732"/>
      <c r="BK235" s="732"/>
      <c r="BL235" s="732"/>
      <c r="BW235" s="790"/>
      <c r="BX235" s="790"/>
      <c r="BY235" s="792"/>
      <c r="BZ235" s="731"/>
      <c r="CA235" s="731"/>
      <c r="CB235" s="731"/>
      <c r="CC235" s="731"/>
      <c r="CD235" s="731"/>
      <c r="CE235" s="731"/>
      <c r="CF235" s="731"/>
    </row>
    <row r="236" spans="1:84" ht="15.75" customHeight="1">
      <c r="A236" s="732"/>
      <c r="B236" s="733"/>
      <c r="C236" s="733"/>
      <c r="D236" s="733"/>
      <c r="E236" s="733"/>
      <c r="F236" s="733"/>
      <c r="G236" s="733"/>
      <c r="H236" s="733"/>
      <c r="I236" s="733"/>
      <c r="J236" s="733"/>
      <c r="K236" s="733"/>
      <c r="L236" s="733"/>
      <c r="M236" s="733"/>
      <c r="N236" s="733"/>
      <c r="O236" s="733"/>
      <c r="P236" s="733"/>
      <c r="Q236" s="733"/>
      <c r="R236" s="733"/>
      <c r="S236" s="733"/>
      <c r="T236" s="733"/>
      <c r="U236" s="733"/>
      <c r="V236" s="733"/>
      <c r="W236" s="733"/>
      <c r="X236" s="733"/>
      <c r="Y236" s="733"/>
      <c r="Z236" s="733"/>
      <c r="AA236" s="733"/>
      <c r="AB236" s="732"/>
      <c r="AC236" s="733"/>
      <c r="AD236" s="733"/>
      <c r="AE236" s="733"/>
      <c r="AF236" s="733"/>
      <c r="AG236" s="733"/>
      <c r="AH236" s="732"/>
      <c r="AI236" s="732"/>
      <c r="AJ236" s="732"/>
      <c r="AK236" s="732"/>
      <c r="AL236" s="733"/>
      <c r="AM236" s="733"/>
      <c r="AN236" s="733"/>
      <c r="AO236" s="733"/>
      <c r="AP236" s="733"/>
      <c r="AQ236" s="733"/>
      <c r="AR236" s="733"/>
      <c r="AS236" s="733"/>
      <c r="AT236" s="733"/>
      <c r="AU236" s="733"/>
      <c r="AV236" s="733"/>
      <c r="AW236" s="733"/>
      <c r="AX236" s="732"/>
      <c r="AY236" s="732"/>
      <c r="AZ236" s="732"/>
      <c r="BA236" s="732"/>
      <c r="BB236" s="732"/>
      <c r="BC236" s="732"/>
      <c r="BD236" s="732"/>
      <c r="BE236" s="732"/>
      <c r="BF236" s="732"/>
      <c r="BG236" s="791"/>
      <c r="BH236" s="732"/>
      <c r="BI236" s="732"/>
      <c r="BJ236" s="732"/>
      <c r="BK236" s="732"/>
      <c r="BL236" s="732"/>
      <c r="BW236" s="790"/>
      <c r="BX236" s="790"/>
      <c r="BY236" s="792"/>
      <c r="BZ236" s="731"/>
      <c r="CA236" s="731"/>
      <c r="CB236" s="731"/>
      <c r="CC236" s="731"/>
      <c r="CD236" s="731"/>
      <c r="CE236" s="731"/>
      <c r="CF236" s="731"/>
    </row>
    <row r="237" spans="1:84" ht="15.75" customHeight="1">
      <c r="A237" s="732"/>
      <c r="B237" s="733"/>
      <c r="C237" s="733"/>
      <c r="D237" s="733"/>
      <c r="E237" s="733"/>
      <c r="F237" s="733"/>
      <c r="G237" s="733"/>
      <c r="H237" s="733"/>
      <c r="I237" s="733"/>
      <c r="J237" s="733"/>
      <c r="K237" s="733"/>
      <c r="L237" s="733"/>
      <c r="M237" s="733"/>
      <c r="N237" s="733"/>
      <c r="O237" s="733"/>
      <c r="P237" s="733"/>
      <c r="Q237" s="733"/>
      <c r="R237" s="733"/>
      <c r="S237" s="733"/>
      <c r="T237" s="733"/>
      <c r="U237" s="733"/>
      <c r="V237" s="733"/>
      <c r="W237" s="733"/>
      <c r="X237" s="733"/>
      <c r="Y237" s="733"/>
      <c r="Z237" s="733"/>
      <c r="AA237" s="733"/>
      <c r="AB237" s="732"/>
      <c r="AC237" s="733"/>
      <c r="AD237" s="733"/>
      <c r="AE237" s="733"/>
      <c r="AF237" s="733"/>
      <c r="AG237" s="733"/>
      <c r="AH237" s="732"/>
      <c r="AI237" s="732"/>
      <c r="AJ237" s="732"/>
      <c r="AK237" s="732"/>
      <c r="AL237" s="733"/>
      <c r="AM237" s="733"/>
      <c r="AN237" s="733"/>
      <c r="AO237" s="733"/>
      <c r="AP237" s="733"/>
      <c r="AQ237" s="733"/>
      <c r="AR237" s="733"/>
      <c r="AS237" s="733"/>
      <c r="AT237" s="733"/>
      <c r="AU237" s="733"/>
      <c r="AV237" s="733"/>
      <c r="AW237" s="733"/>
      <c r="AX237" s="732"/>
      <c r="AY237" s="732"/>
      <c r="AZ237" s="732"/>
      <c r="BA237" s="732"/>
      <c r="BB237" s="732"/>
      <c r="BC237" s="732"/>
      <c r="BD237" s="732"/>
      <c r="BE237" s="732"/>
      <c r="BF237" s="732"/>
      <c r="BG237" s="791"/>
      <c r="BH237" s="732"/>
      <c r="BI237" s="732"/>
      <c r="BJ237" s="732"/>
      <c r="BK237" s="732"/>
      <c r="BL237" s="732"/>
      <c r="BW237" s="790"/>
      <c r="BX237" s="790"/>
      <c r="BY237" s="792"/>
      <c r="BZ237" s="731"/>
      <c r="CA237" s="731"/>
      <c r="CB237" s="731"/>
      <c r="CC237" s="731"/>
      <c r="CD237" s="731"/>
      <c r="CE237" s="731"/>
      <c r="CF237" s="731"/>
    </row>
    <row r="238" spans="1:84" ht="15.75" customHeight="1">
      <c r="A238" s="732"/>
      <c r="B238" s="733"/>
      <c r="C238" s="733"/>
      <c r="D238" s="733"/>
      <c r="E238" s="733"/>
      <c r="F238" s="733"/>
      <c r="G238" s="733"/>
      <c r="H238" s="733"/>
      <c r="I238" s="733"/>
      <c r="J238" s="733"/>
      <c r="K238" s="733"/>
      <c r="L238" s="733"/>
      <c r="M238" s="733"/>
      <c r="N238" s="733"/>
      <c r="O238" s="733"/>
      <c r="P238" s="733"/>
      <c r="Q238" s="733"/>
      <c r="R238" s="733"/>
      <c r="S238" s="733"/>
      <c r="T238" s="733"/>
      <c r="U238" s="733"/>
      <c r="V238" s="733"/>
      <c r="W238" s="733"/>
      <c r="X238" s="733"/>
      <c r="Y238" s="733"/>
      <c r="Z238" s="733"/>
      <c r="AA238" s="733"/>
      <c r="AB238" s="732"/>
      <c r="AC238" s="733"/>
      <c r="AD238" s="733"/>
      <c r="AE238" s="733"/>
      <c r="AF238" s="733"/>
      <c r="AG238" s="733"/>
      <c r="AH238" s="732"/>
      <c r="AI238" s="732"/>
      <c r="AJ238" s="732"/>
      <c r="AK238" s="732"/>
      <c r="AL238" s="733"/>
      <c r="AM238" s="733"/>
      <c r="AN238" s="733"/>
      <c r="AO238" s="733"/>
      <c r="AP238" s="733"/>
      <c r="AQ238" s="733"/>
      <c r="AR238" s="733"/>
      <c r="AS238" s="733"/>
      <c r="AT238" s="733"/>
      <c r="AU238" s="733"/>
      <c r="AV238" s="733"/>
      <c r="AW238" s="733"/>
      <c r="AX238" s="732"/>
      <c r="AY238" s="732"/>
      <c r="AZ238" s="732"/>
      <c r="BA238" s="732"/>
      <c r="BB238" s="732"/>
      <c r="BC238" s="732"/>
      <c r="BD238" s="732"/>
      <c r="BE238" s="732"/>
      <c r="BF238" s="732"/>
      <c r="BG238" s="791"/>
      <c r="BH238" s="732"/>
      <c r="BI238" s="732"/>
      <c r="BJ238" s="732"/>
      <c r="BK238" s="732"/>
      <c r="BL238" s="732"/>
      <c r="BW238" s="790"/>
      <c r="BX238" s="790"/>
      <c r="BY238" s="792"/>
      <c r="BZ238" s="731"/>
      <c r="CA238" s="731"/>
      <c r="CB238" s="731"/>
      <c r="CC238" s="731"/>
      <c r="CD238" s="731"/>
      <c r="CE238" s="731"/>
      <c r="CF238" s="731"/>
    </row>
    <row r="239" spans="1:84" ht="15.75" customHeight="1">
      <c r="A239" s="732"/>
      <c r="B239" s="733"/>
      <c r="C239" s="733"/>
      <c r="D239" s="733"/>
      <c r="E239" s="733"/>
      <c r="F239" s="733"/>
      <c r="G239" s="733"/>
      <c r="H239" s="733"/>
      <c r="I239" s="733"/>
      <c r="J239" s="733"/>
      <c r="K239" s="733"/>
      <c r="L239" s="733"/>
      <c r="M239" s="733"/>
      <c r="N239" s="733"/>
      <c r="O239" s="733"/>
      <c r="P239" s="733"/>
      <c r="Q239" s="733"/>
      <c r="R239" s="733"/>
      <c r="S239" s="733"/>
      <c r="T239" s="733"/>
      <c r="U239" s="733"/>
      <c r="V239" s="733"/>
      <c r="W239" s="733"/>
      <c r="X239" s="733"/>
      <c r="Y239" s="733"/>
      <c r="Z239" s="733"/>
      <c r="AA239" s="733"/>
      <c r="AB239" s="732"/>
      <c r="AC239" s="733"/>
      <c r="AD239" s="733"/>
      <c r="AE239" s="733"/>
      <c r="AF239" s="733"/>
      <c r="AG239" s="733"/>
      <c r="AH239" s="732"/>
      <c r="AI239" s="732"/>
      <c r="AJ239" s="732"/>
      <c r="AK239" s="732"/>
      <c r="AL239" s="733"/>
      <c r="AM239" s="733"/>
      <c r="AN239" s="733"/>
      <c r="AO239" s="733"/>
      <c r="AP239" s="733"/>
      <c r="AQ239" s="733"/>
      <c r="AR239" s="733"/>
      <c r="AS239" s="733"/>
      <c r="AT239" s="733"/>
      <c r="AU239" s="733"/>
      <c r="AV239" s="733"/>
      <c r="AW239" s="733"/>
      <c r="AX239" s="732"/>
      <c r="AY239" s="732"/>
      <c r="AZ239" s="732"/>
      <c r="BA239" s="732"/>
      <c r="BB239" s="732"/>
      <c r="BC239" s="732"/>
      <c r="BD239" s="732"/>
      <c r="BE239" s="732"/>
      <c r="BF239" s="732"/>
      <c r="BG239" s="791"/>
      <c r="BH239" s="732"/>
      <c r="BI239" s="732"/>
      <c r="BJ239" s="732"/>
      <c r="BK239" s="732"/>
      <c r="BL239" s="732"/>
      <c r="BW239" s="790"/>
      <c r="BX239" s="790"/>
      <c r="BY239" s="792"/>
      <c r="BZ239" s="731"/>
      <c r="CA239" s="731"/>
      <c r="CB239" s="731"/>
      <c r="CC239" s="731"/>
      <c r="CD239" s="731"/>
      <c r="CE239" s="731"/>
      <c r="CF239" s="731"/>
    </row>
    <row r="240" spans="1:84" ht="15.75" customHeight="1">
      <c r="A240" s="732"/>
      <c r="B240" s="733"/>
      <c r="C240" s="733"/>
      <c r="D240" s="733"/>
      <c r="E240" s="733"/>
      <c r="F240" s="733"/>
      <c r="G240" s="733"/>
      <c r="H240" s="733"/>
      <c r="I240" s="733"/>
      <c r="J240" s="733"/>
      <c r="K240" s="733"/>
      <c r="L240" s="733"/>
      <c r="M240" s="733"/>
      <c r="N240" s="733"/>
      <c r="O240" s="733"/>
      <c r="P240" s="733"/>
      <c r="Q240" s="733"/>
      <c r="R240" s="733"/>
      <c r="S240" s="733"/>
      <c r="T240" s="733"/>
      <c r="U240" s="733"/>
      <c r="V240" s="733"/>
      <c r="W240" s="733"/>
      <c r="X240" s="733"/>
      <c r="Y240" s="733"/>
      <c r="Z240" s="733"/>
      <c r="AA240" s="733"/>
      <c r="AB240" s="732"/>
      <c r="AC240" s="733"/>
      <c r="AD240" s="733"/>
      <c r="AE240" s="733"/>
      <c r="AF240" s="733"/>
      <c r="AG240" s="733"/>
      <c r="AH240" s="732"/>
      <c r="AI240" s="732"/>
      <c r="AJ240" s="732"/>
      <c r="AK240" s="732"/>
      <c r="AL240" s="733"/>
      <c r="AM240" s="733"/>
      <c r="AN240" s="733"/>
      <c r="AO240" s="733"/>
      <c r="AP240" s="733"/>
      <c r="AQ240" s="733"/>
      <c r="AR240" s="733"/>
      <c r="AS240" s="733"/>
      <c r="AT240" s="733"/>
      <c r="AU240" s="733"/>
      <c r="AV240" s="733"/>
      <c r="AW240" s="733"/>
      <c r="AX240" s="732"/>
      <c r="AY240" s="732"/>
      <c r="AZ240" s="732"/>
      <c r="BA240" s="732"/>
      <c r="BB240" s="732"/>
      <c r="BC240" s="732"/>
      <c r="BD240" s="732"/>
      <c r="BE240" s="732"/>
      <c r="BF240" s="732"/>
      <c r="BG240" s="791"/>
      <c r="BH240" s="732"/>
      <c r="BI240" s="732"/>
      <c r="BJ240" s="732"/>
      <c r="BK240" s="732"/>
      <c r="BL240" s="732"/>
      <c r="BW240" s="790"/>
      <c r="BX240" s="790"/>
      <c r="BY240" s="792"/>
      <c r="BZ240" s="731"/>
      <c r="CA240" s="731"/>
      <c r="CB240" s="731"/>
      <c r="CC240" s="731"/>
      <c r="CD240" s="731"/>
      <c r="CE240" s="731"/>
      <c r="CF240" s="731"/>
    </row>
    <row r="241" spans="1:84" ht="15.75" customHeight="1">
      <c r="A241" s="732"/>
      <c r="B241" s="733"/>
      <c r="C241" s="733"/>
      <c r="D241" s="733"/>
      <c r="E241" s="733"/>
      <c r="F241" s="733"/>
      <c r="G241" s="733"/>
      <c r="H241" s="733"/>
      <c r="I241" s="733"/>
      <c r="J241" s="733"/>
      <c r="K241" s="733"/>
      <c r="L241" s="733"/>
      <c r="M241" s="733"/>
      <c r="N241" s="733"/>
      <c r="O241" s="733"/>
      <c r="P241" s="733"/>
      <c r="Q241" s="733"/>
      <c r="R241" s="733"/>
      <c r="S241" s="733"/>
      <c r="T241" s="733"/>
      <c r="U241" s="733"/>
      <c r="V241" s="733"/>
      <c r="W241" s="733"/>
      <c r="X241" s="733"/>
      <c r="Y241" s="733"/>
      <c r="Z241" s="733"/>
      <c r="AA241" s="733"/>
      <c r="AB241" s="732"/>
      <c r="AC241" s="733"/>
      <c r="AD241" s="733"/>
      <c r="AE241" s="733"/>
      <c r="AF241" s="733"/>
      <c r="AG241" s="733"/>
      <c r="AH241" s="732"/>
      <c r="AI241" s="732"/>
      <c r="AJ241" s="732"/>
      <c r="AK241" s="732"/>
      <c r="AL241" s="733"/>
      <c r="AM241" s="733"/>
      <c r="AN241" s="733"/>
      <c r="AO241" s="733"/>
      <c r="AP241" s="733"/>
      <c r="AQ241" s="733"/>
      <c r="AR241" s="733"/>
      <c r="AS241" s="733"/>
      <c r="AT241" s="733"/>
      <c r="AU241" s="733"/>
      <c r="AV241" s="733"/>
      <c r="AW241" s="733"/>
      <c r="AX241" s="732"/>
      <c r="AY241" s="732"/>
      <c r="AZ241" s="732"/>
      <c r="BA241" s="732"/>
      <c r="BB241" s="732"/>
      <c r="BC241" s="732"/>
      <c r="BD241" s="732"/>
      <c r="BE241" s="732"/>
      <c r="BF241" s="732"/>
      <c r="BG241" s="791"/>
      <c r="BH241" s="732"/>
      <c r="BI241" s="732"/>
      <c r="BJ241" s="732"/>
      <c r="BK241" s="732"/>
      <c r="BL241" s="732"/>
      <c r="BW241" s="790"/>
      <c r="BX241" s="790"/>
      <c r="BY241" s="792"/>
      <c r="BZ241" s="731"/>
      <c r="CA241" s="731"/>
      <c r="CB241" s="731"/>
      <c r="CC241" s="731"/>
      <c r="CD241" s="731"/>
      <c r="CE241" s="731"/>
      <c r="CF241" s="731"/>
    </row>
    <row r="242" spans="1:84" ht="15.75" customHeight="1">
      <c r="A242" s="732"/>
      <c r="B242" s="733"/>
      <c r="C242" s="733"/>
      <c r="D242" s="733"/>
      <c r="E242" s="733"/>
      <c r="F242" s="733"/>
      <c r="G242" s="733"/>
      <c r="H242" s="733"/>
      <c r="I242" s="733"/>
      <c r="J242" s="733"/>
      <c r="K242" s="733"/>
      <c r="L242" s="733"/>
      <c r="M242" s="733"/>
      <c r="N242" s="733"/>
      <c r="O242" s="733"/>
      <c r="P242" s="733"/>
      <c r="Q242" s="733"/>
      <c r="R242" s="733"/>
      <c r="S242" s="733"/>
      <c r="T242" s="733"/>
      <c r="U242" s="733"/>
      <c r="V242" s="733"/>
      <c r="W242" s="733"/>
      <c r="X242" s="733"/>
      <c r="Y242" s="733"/>
      <c r="Z242" s="733"/>
      <c r="AA242" s="733"/>
      <c r="AB242" s="732"/>
      <c r="AC242" s="733"/>
      <c r="AD242" s="733"/>
      <c r="AE242" s="733"/>
      <c r="AF242" s="733"/>
      <c r="AG242" s="733"/>
      <c r="AH242" s="732"/>
      <c r="AI242" s="732"/>
      <c r="AJ242" s="732"/>
      <c r="AK242" s="732"/>
      <c r="AL242" s="733"/>
      <c r="AM242" s="733"/>
      <c r="AN242" s="733"/>
      <c r="AO242" s="733"/>
      <c r="AP242" s="733"/>
      <c r="AQ242" s="733"/>
      <c r="AR242" s="733"/>
      <c r="AS242" s="733"/>
      <c r="AT242" s="733"/>
      <c r="AU242" s="733"/>
      <c r="AV242" s="733"/>
      <c r="AW242" s="733"/>
      <c r="AX242" s="732"/>
      <c r="AY242" s="732"/>
      <c r="AZ242" s="732"/>
      <c r="BA242" s="732"/>
      <c r="BB242" s="732"/>
      <c r="BC242" s="732"/>
      <c r="BD242" s="732"/>
      <c r="BE242" s="732"/>
      <c r="BF242" s="732"/>
      <c r="BG242" s="791"/>
      <c r="BH242" s="732"/>
      <c r="BI242" s="732"/>
      <c r="BJ242" s="732"/>
      <c r="BK242" s="732"/>
      <c r="BL242" s="732"/>
      <c r="BW242" s="790"/>
      <c r="BX242" s="790"/>
      <c r="BY242" s="792"/>
      <c r="BZ242" s="731"/>
      <c r="CA242" s="731"/>
      <c r="CB242" s="731"/>
      <c r="CC242" s="731"/>
      <c r="CD242" s="731"/>
      <c r="CE242" s="731"/>
      <c r="CF242" s="731"/>
    </row>
    <row r="243" spans="1:84" ht="15.75" customHeight="1">
      <c r="A243" s="732"/>
      <c r="B243" s="733"/>
      <c r="C243" s="733"/>
      <c r="D243" s="733"/>
      <c r="E243" s="733"/>
      <c r="F243" s="733"/>
      <c r="G243" s="733"/>
      <c r="H243" s="733"/>
      <c r="I243" s="733"/>
      <c r="J243" s="733"/>
      <c r="K243" s="733"/>
      <c r="L243" s="733"/>
      <c r="M243" s="733"/>
      <c r="N243" s="733"/>
      <c r="O243" s="733"/>
      <c r="P243" s="733"/>
      <c r="Q243" s="733"/>
      <c r="R243" s="733"/>
      <c r="S243" s="733"/>
      <c r="T243" s="733"/>
      <c r="U243" s="733"/>
      <c r="V243" s="733"/>
      <c r="W243" s="733"/>
      <c r="X243" s="733"/>
      <c r="Y243" s="733"/>
      <c r="Z243" s="733"/>
      <c r="AA243" s="733"/>
      <c r="AB243" s="732"/>
      <c r="AC243" s="733"/>
      <c r="AD243" s="733"/>
      <c r="AE243" s="733"/>
      <c r="AF243" s="733"/>
      <c r="AG243" s="733"/>
      <c r="AH243" s="732"/>
      <c r="AI243" s="732"/>
      <c r="AJ243" s="732"/>
      <c r="AK243" s="732"/>
      <c r="AL243" s="733"/>
      <c r="AM243" s="733"/>
      <c r="AN243" s="733"/>
      <c r="AO243" s="733"/>
      <c r="AP243" s="733"/>
      <c r="AQ243" s="733"/>
      <c r="AR243" s="733"/>
      <c r="AS243" s="733"/>
      <c r="AT243" s="733"/>
      <c r="AU243" s="733"/>
      <c r="AV243" s="733"/>
      <c r="AW243" s="733"/>
      <c r="AX243" s="732"/>
      <c r="AY243" s="732"/>
      <c r="AZ243" s="732"/>
      <c r="BA243" s="732"/>
      <c r="BB243" s="732"/>
      <c r="BC243" s="732"/>
      <c r="BD243" s="732"/>
      <c r="BE243" s="732"/>
      <c r="BF243" s="732"/>
      <c r="BG243" s="791"/>
      <c r="BH243" s="732"/>
      <c r="BI243" s="732"/>
      <c r="BJ243" s="732"/>
      <c r="BK243" s="732"/>
      <c r="BL243" s="732"/>
      <c r="BW243" s="790"/>
      <c r="BX243" s="790"/>
      <c r="BY243" s="792"/>
      <c r="BZ243" s="731"/>
      <c r="CA243" s="731"/>
      <c r="CB243" s="731"/>
      <c r="CC243" s="731"/>
      <c r="CD243" s="731"/>
      <c r="CE243" s="731"/>
      <c r="CF243" s="731"/>
    </row>
    <row r="244" spans="1:84" ht="15.75" customHeight="1">
      <c r="A244" s="732"/>
      <c r="B244" s="733"/>
      <c r="C244" s="733"/>
      <c r="D244" s="733"/>
      <c r="E244" s="733"/>
      <c r="F244" s="733"/>
      <c r="G244" s="733"/>
      <c r="H244" s="733"/>
      <c r="I244" s="733"/>
      <c r="J244" s="733"/>
      <c r="K244" s="733"/>
      <c r="L244" s="733"/>
      <c r="M244" s="733"/>
      <c r="N244" s="733"/>
      <c r="O244" s="733"/>
      <c r="P244" s="733"/>
      <c r="Q244" s="733"/>
      <c r="R244" s="733"/>
      <c r="S244" s="733"/>
      <c r="T244" s="733"/>
      <c r="U244" s="733"/>
      <c r="V244" s="733"/>
      <c r="W244" s="733"/>
      <c r="X244" s="733"/>
      <c r="Y244" s="733"/>
      <c r="Z244" s="733"/>
      <c r="AA244" s="733"/>
      <c r="AB244" s="732"/>
      <c r="AC244" s="733"/>
      <c r="AD244" s="733"/>
      <c r="AE244" s="733"/>
      <c r="AF244" s="733"/>
      <c r="AG244" s="733"/>
      <c r="AH244" s="732"/>
      <c r="AI244" s="732"/>
      <c r="AJ244" s="732"/>
      <c r="AK244" s="732"/>
      <c r="AL244" s="733"/>
      <c r="AM244" s="733"/>
      <c r="AN244" s="733"/>
      <c r="AO244" s="733"/>
      <c r="AP244" s="733"/>
      <c r="AQ244" s="733"/>
      <c r="AR244" s="733"/>
      <c r="AS244" s="733"/>
      <c r="AT244" s="733"/>
      <c r="AU244" s="733"/>
      <c r="AV244" s="733"/>
      <c r="AW244" s="733"/>
      <c r="AX244" s="732"/>
      <c r="AY244" s="732"/>
      <c r="AZ244" s="732"/>
      <c r="BA244" s="732"/>
      <c r="BB244" s="732"/>
      <c r="BC244" s="732"/>
      <c r="BD244" s="732"/>
      <c r="BE244" s="732"/>
      <c r="BF244" s="732"/>
      <c r="BG244" s="791"/>
      <c r="BH244" s="732"/>
      <c r="BI244" s="732"/>
      <c r="BJ244" s="732"/>
      <c r="BK244" s="732"/>
      <c r="BL244" s="732"/>
      <c r="BW244" s="790"/>
      <c r="BX244" s="790"/>
      <c r="BY244" s="792"/>
      <c r="BZ244" s="731"/>
      <c r="CA244" s="731"/>
      <c r="CB244" s="731"/>
      <c r="CC244" s="731"/>
      <c r="CD244" s="731"/>
      <c r="CE244" s="731"/>
      <c r="CF244" s="731"/>
    </row>
    <row r="245" spans="1:84" ht="15.75" customHeight="1">
      <c r="A245" s="732"/>
      <c r="B245" s="733"/>
      <c r="C245" s="733"/>
      <c r="D245" s="733"/>
      <c r="E245" s="733"/>
      <c r="F245" s="733"/>
      <c r="G245" s="733"/>
      <c r="H245" s="733"/>
      <c r="I245" s="733"/>
      <c r="J245" s="733"/>
      <c r="K245" s="733"/>
      <c r="L245" s="733"/>
      <c r="M245" s="733"/>
      <c r="N245" s="733"/>
      <c r="O245" s="733"/>
      <c r="P245" s="733"/>
      <c r="Q245" s="733"/>
      <c r="R245" s="733"/>
      <c r="S245" s="733"/>
      <c r="T245" s="733"/>
      <c r="U245" s="733"/>
      <c r="V245" s="733"/>
      <c r="W245" s="733"/>
      <c r="X245" s="733"/>
      <c r="Y245" s="733"/>
      <c r="Z245" s="733"/>
      <c r="AA245" s="733"/>
      <c r="AB245" s="732"/>
      <c r="AC245" s="733"/>
      <c r="AD245" s="733"/>
      <c r="AE245" s="733"/>
      <c r="AF245" s="733"/>
      <c r="AG245" s="733"/>
      <c r="AH245" s="732"/>
      <c r="AI245" s="732"/>
      <c r="AJ245" s="732"/>
      <c r="AK245" s="732"/>
      <c r="AL245" s="733"/>
      <c r="AM245" s="733"/>
      <c r="AN245" s="733"/>
      <c r="AO245" s="733"/>
      <c r="AP245" s="733"/>
      <c r="AQ245" s="733"/>
      <c r="AR245" s="733"/>
      <c r="AS245" s="733"/>
      <c r="AT245" s="733"/>
      <c r="AU245" s="733"/>
      <c r="AV245" s="733"/>
      <c r="AW245" s="733"/>
      <c r="AX245" s="732"/>
      <c r="AY245" s="732"/>
      <c r="AZ245" s="732"/>
      <c r="BA245" s="732"/>
      <c r="BB245" s="732"/>
      <c r="BC245" s="732"/>
      <c r="BD245" s="732"/>
      <c r="BE245" s="732"/>
      <c r="BF245" s="732"/>
      <c r="BG245" s="791"/>
      <c r="BH245" s="732"/>
      <c r="BI245" s="732"/>
      <c r="BJ245" s="732"/>
      <c r="BK245" s="732"/>
      <c r="BL245" s="732"/>
      <c r="BW245" s="790"/>
      <c r="BX245" s="790"/>
      <c r="BY245" s="792"/>
      <c r="BZ245" s="731"/>
      <c r="CA245" s="731"/>
      <c r="CB245" s="731"/>
      <c r="CC245" s="731"/>
      <c r="CD245" s="731"/>
      <c r="CE245" s="731"/>
      <c r="CF245" s="731"/>
    </row>
    <row r="246" spans="1:84" ht="15.75" customHeight="1">
      <c r="A246" s="732"/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733"/>
      <c r="AB246" s="732"/>
      <c r="AC246" s="733"/>
      <c r="AD246" s="733"/>
      <c r="AE246" s="733"/>
      <c r="AF246" s="733"/>
      <c r="AG246" s="733"/>
      <c r="AH246" s="732"/>
      <c r="AI246" s="732"/>
      <c r="AJ246" s="732"/>
      <c r="AK246" s="732"/>
      <c r="AL246" s="733"/>
      <c r="AM246" s="733"/>
      <c r="AN246" s="733"/>
      <c r="AO246" s="733"/>
      <c r="AP246" s="733"/>
      <c r="AQ246" s="733"/>
      <c r="AR246" s="733"/>
      <c r="AS246" s="733"/>
      <c r="AT246" s="733"/>
      <c r="AU246" s="733"/>
      <c r="AV246" s="733"/>
      <c r="AW246" s="733"/>
      <c r="AX246" s="732"/>
      <c r="AY246" s="732"/>
      <c r="AZ246" s="732"/>
      <c r="BA246" s="732"/>
      <c r="BB246" s="732"/>
      <c r="BC246" s="732"/>
      <c r="BD246" s="732"/>
      <c r="BE246" s="732"/>
      <c r="BF246" s="732"/>
      <c r="BG246" s="791"/>
      <c r="BH246" s="732"/>
      <c r="BI246" s="732"/>
      <c r="BJ246" s="732"/>
      <c r="BK246" s="732"/>
      <c r="BL246" s="732"/>
      <c r="BW246" s="790"/>
      <c r="BX246" s="790"/>
      <c r="BY246" s="792"/>
      <c r="BZ246" s="731"/>
      <c r="CA246" s="731"/>
      <c r="CB246" s="731"/>
      <c r="CC246" s="731"/>
      <c r="CD246" s="731"/>
      <c r="CE246" s="731"/>
      <c r="CF246" s="731"/>
    </row>
    <row r="247" spans="1:84" ht="15.75" customHeight="1">
      <c r="A247" s="732"/>
      <c r="B247" s="733"/>
      <c r="C247" s="733"/>
      <c r="D247" s="733"/>
      <c r="E247" s="733"/>
      <c r="F247" s="733"/>
      <c r="G247" s="733"/>
      <c r="H247" s="733"/>
      <c r="I247" s="733"/>
      <c r="J247" s="733"/>
      <c r="K247" s="733"/>
      <c r="L247" s="733"/>
      <c r="M247" s="733"/>
      <c r="N247" s="733"/>
      <c r="O247" s="733"/>
      <c r="P247" s="733"/>
      <c r="Q247" s="733"/>
      <c r="R247" s="733"/>
      <c r="S247" s="733"/>
      <c r="T247" s="733"/>
      <c r="U247" s="733"/>
      <c r="V247" s="733"/>
      <c r="W247" s="733"/>
      <c r="X247" s="733"/>
      <c r="Y247" s="733"/>
      <c r="Z247" s="733"/>
      <c r="AA247" s="733"/>
      <c r="AB247" s="732"/>
      <c r="AC247" s="733"/>
      <c r="AD247" s="733"/>
      <c r="AE247" s="733"/>
      <c r="AF247" s="733"/>
      <c r="AG247" s="733"/>
      <c r="AH247" s="732"/>
      <c r="AI247" s="732"/>
      <c r="AJ247" s="732"/>
      <c r="AK247" s="732"/>
      <c r="AL247" s="733"/>
      <c r="AM247" s="733"/>
      <c r="AN247" s="733"/>
      <c r="AO247" s="733"/>
      <c r="AP247" s="733"/>
      <c r="AQ247" s="733"/>
      <c r="AR247" s="733"/>
      <c r="AS247" s="733"/>
      <c r="AT247" s="733"/>
      <c r="AU247" s="733"/>
      <c r="AV247" s="733"/>
      <c r="AW247" s="733"/>
      <c r="AX247" s="732"/>
      <c r="AY247" s="732"/>
      <c r="AZ247" s="732"/>
      <c r="BA247" s="732"/>
      <c r="BB247" s="732"/>
      <c r="BC247" s="732"/>
      <c r="BD247" s="732"/>
      <c r="BE247" s="732"/>
      <c r="BF247" s="732"/>
      <c r="BG247" s="791"/>
      <c r="BH247" s="732"/>
      <c r="BI247" s="732"/>
      <c r="BJ247" s="732"/>
      <c r="BK247" s="732"/>
      <c r="BL247" s="732"/>
      <c r="BW247" s="790"/>
      <c r="BX247" s="790"/>
      <c r="BY247" s="792"/>
      <c r="BZ247" s="731"/>
      <c r="CA247" s="731"/>
      <c r="CB247" s="731"/>
      <c r="CC247" s="731"/>
      <c r="CD247" s="731"/>
      <c r="CE247" s="731"/>
      <c r="CF247" s="731"/>
    </row>
    <row r="248" spans="1:84" ht="15.75" customHeight="1">
      <c r="A248" s="732"/>
      <c r="B248" s="733"/>
      <c r="C248" s="733"/>
      <c r="D248" s="733"/>
      <c r="E248" s="733"/>
      <c r="F248" s="733"/>
      <c r="G248" s="733"/>
      <c r="H248" s="733"/>
      <c r="I248" s="733"/>
      <c r="J248" s="733"/>
      <c r="K248" s="733"/>
      <c r="L248" s="733"/>
      <c r="M248" s="733"/>
      <c r="N248" s="733"/>
      <c r="O248" s="733"/>
      <c r="P248" s="733"/>
      <c r="Q248" s="733"/>
      <c r="R248" s="733"/>
      <c r="S248" s="733"/>
      <c r="T248" s="733"/>
      <c r="U248" s="733"/>
      <c r="V248" s="733"/>
      <c r="W248" s="733"/>
      <c r="X248" s="733"/>
      <c r="Y248" s="733"/>
      <c r="Z248" s="733"/>
      <c r="AA248" s="733"/>
      <c r="AB248" s="732"/>
      <c r="AC248" s="733"/>
      <c r="AD248" s="733"/>
      <c r="AE248" s="733"/>
      <c r="AF248" s="733"/>
      <c r="AG248" s="733"/>
      <c r="AH248" s="732"/>
      <c r="AI248" s="732"/>
      <c r="AJ248" s="732"/>
      <c r="AK248" s="732"/>
      <c r="AL248" s="733"/>
      <c r="AM248" s="733"/>
      <c r="AN248" s="733"/>
      <c r="AO248" s="733"/>
      <c r="AP248" s="733"/>
      <c r="AQ248" s="733"/>
      <c r="AR248" s="733"/>
      <c r="AS248" s="733"/>
      <c r="AT248" s="733"/>
      <c r="AU248" s="733"/>
      <c r="AV248" s="733"/>
      <c r="AW248" s="733"/>
      <c r="AX248" s="732"/>
      <c r="AY248" s="732"/>
      <c r="AZ248" s="732"/>
      <c r="BA248" s="732"/>
      <c r="BB248" s="732"/>
      <c r="BC248" s="732"/>
      <c r="BD248" s="732"/>
      <c r="BE248" s="732"/>
      <c r="BF248" s="732"/>
      <c r="BG248" s="791"/>
      <c r="BH248" s="732"/>
      <c r="BI248" s="732"/>
      <c r="BJ248" s="732"/>
      <c r="BK248" s="732"/>
      <c r="BL248" s="732"/>
      <c r="BW248" s="790"/>
      <c r="BX248" s="790"/>
      <c r="BY248" s="792"/>
      <c r="BZ248" s="731"/>
      <c r="CA248" s="731"/>
      <c r="CB248" s="731"/>
      <c r="CC248" s="731"/>
      <c r="CD248" s="731"/>
      <c r="CE248" s="731"/>
      <c r="CF248" s="731"/>
    </row>
    <row r="249" spans="1:84" ht="15.75" customHeight="1">
      <c r="A249" s="732"/>
      <c r="B249" s="733"/>
      <c r="C249" s="733"/>
      <c r="D249" s="733"/>
      <c r="E249" s="733"/>
      <c r="F249" s="733"/>
      <c r="G249" s="733"/>
      <c r="H249" s="733"/>
      <c r="I249" s="733"/>
      <c r="J249" s="733"/>
      <c r="K249" s="733"/>
      <c r="L249" s="733"/>
      <c r="M249" s="733"/>
      <c r="N249" s="733"/>
      <c r="O249" s="733"/>
      <c r="P249" s="733"/>
      <c r="Q249" s="733"/>
      <c r="R249" s="733"/>
      <c r="S249" s="733"/>
      <c r="T249" s="733"/>
      <c r="U249" s="733"/>
      <c r="V249" s="733"/>
      <c r="W249" s="733"/>
      <c r="X249" s="733"/>
      <c r="Y249" s="733"/>
      <c r="Z249" s="733"/>
      <c r="AA249" s="733"/>
      <c r="AB249" s="732"/>
      <c r="AC249" s="733"/>
      <c r="AD249" s="733"/>
      <c r="AE249" s="733"/>
      <c r="AF249" s="733"/>
      <c r="AG249" s="733"/>
      <c r="AH249" s="732"/>
      <c r="AI249" s="732"/>
      <c r="AJ249" s="732"/>
      <c r="AK249" s="732"/>
      <c r="AL249" s="733"/>
      <c r="AM249" s="733"/>
      <c r="AN249" s="733"/>
      <c r="AO249" s="733"/>
      <c r="AP249" s="733"/>
      <c r="AQ249" s="733"/>
      <c r="AR249" s="733"/>
      <c r="AS249" s="733"/>
      <c r="AT249" s="733"/>
      <c r="AU249" s="733"/>
      <c r="AV249" s="733"/>
      <c r="AW249" s="733"/>
      <c r="AX249" s="732"/>
      <c r="AY249" s="732"/>
      <c r="AZ249" s="732"/>
      <c r="BA249" s="732"/>
      <c r="BB249" s="732"/>
      <c r="BC249" s="732"/>
      <c r="BD249" s="732"/>
      <c r="BE249" s="732"/>
      <c r="BF249" s="732"/>
      <c r="BG249" s="791"/>
      <c r="BH249" s="732"/>
      <c r="BI249" s="732"/>
      <c r="BJ249" s="732"/>
      <c r="BK249" s="732"/>
      <c r="BL249" s="732"/>
      <c r="BW249" s="790"/>
      <c r="BX249" s="790"/>
      <c r="BY249" s="792"/>
      <c r="BZ249" s="731"/>
      <c r="CA249" s="731"/>
      <c r="CB249" s="731"/>
      <c r="CC249" s="731"/>
      <c r="CD249" s="731"/>
      <c r="CE249" s="731"/>
      <c r="CF249" s="731"/>
    </row>
    <row r="250" spans="1:84" ht="15.75" customHeight="1">
      <c r="A250" s="732"/>
      <c r="B250" s="733"/>
      <c r="C250" s="733"/>
      <c r="D250" s="733"/>
      <c r="E250" s="733"/>
      <c r="F250" s="733"/>
      <c r="G250" s="733"/>
      <c r="H250" s="733"/>
      <c r="I250" s="733"/>
      <c r="J250" s="733"/>
      <c r="K250" s="733"/>
      <c r="L250" s="733"/>
      <c r="M250" s="733"/>
      <c r="N250" s="733"/>
      <c r="O250" s="733"/>
      <c r="P250" s="733"/>
      <c r="Q250" s="733"/>
      <c r="R250" s="733"/>
      <c r="S250" s="733"/>
      <c r="T250" s="733"/>
      <c r="U250" s="733"/>
      <c r="V250" s="733"/>
      <c r="W250" s="733"/>
      <c r="X250" s="733"/>
      <c r="Y250" s="733"/>
      <c r="Z250" s="733"/>
      <c r="AA250" s="733"/>
      <c r="AB250" s="732"/>
      <c r="AC250" s="733"/>
      <c r="AD250" s="733"/>
      <c r="AE250" s="733"/>
      <c r="AF250" s="733"/>
      <c r="AG250" s="733"/>
      <c r="AH250" s="732"/>
      <c r="AI250" s="732"/>
      <c r="AJ250" s="732"/>
      <c r="AK250" s="732"/>
      <c r="AL250" s="733"/>
      <c r="AM250" s="733"/>
      <c r="AN250" s="733"/>
      <c r="AO250" s="733"/>
      <c r="AP250" s="733"/>
      <c r="AQ250" s="733"/>
      <c r="AR250" s="733"/>
      <c r="AS250" s="733"/>
      <c r="AT250" s="733"/>
      <c r="AU250" s="733"/>
      <c r="AV250" s="733"/>
      <c r="AW250" s="733"/>
      <c r="AX250" s="732"/>
      <c r="AY250" s="732"/>
      <c r="AZ250" s="732"/>
      <c r="BA250" s="732"/>
      <c r="BB250" s="732"/>
      <c r="BC250" s="732"/>
      <c r="BD250" s="732"/>
      <c r="BE250" s="732"/>
      <c r="BF250" s="732"/>
      <c r="BG250" s="791"/>
      <c r="BH250" s="732"/>
      <c r="BI250" s="732"/>
      <c r="BJ250" s="732"/>
      <c r="BK250" s="732"/>
      <c r="BL250" s="732"/>
      <c r="BW250" s="790"/>
      <c r="BX250" s="790"/>
      <c r="BY250" s="792"/>
      <c r="BZ250" s="731"/>
      <c r="CA250" s="731"/>
      <c r="CB250" s="731"/>
      <c r="CC250" s="731"/>
      <c r="CD250" s="731"/>
      <c r="CE250" s="731"/>
      <c r="CF250" s="731"/>
    </row>
    <row r="251" spans="1:84" ht="15.75" customHeight="1">
      <c r="A251" s="732"/>
      <c r="B251" s="733"/>
      <c r="C251" s="733"/>
      <c r="D251" s="733"/>
      <c r="E251" s="733"/>
      <c r="F251" s="733"/>
      <c r="G251" s="733"/>
      <c r="H251" s="733"/>
      <c r="I251" s="733"/>
      <c r="J251" s="733"/>
      <c r="K251" s="733"/>
      <c r="L251" s="733"/>
      <c r="M251" s="733"/>
      <c r="N251" s="733"/>
      <c r="O251" s="733"/>
      <c r="P251" s="733"/>
      <c r="Q251" s="733"/>
      <c r="R251" s="733"/>
      <c r="S251" s="733"/>
      <c r="T251" s="733"/>
      <c r="U251" s="733"/>
      <c r="V251" s="733"/>
      <c r="W251" s="733"/>
      <c r="X251" s="733"/>
      <c r="Y251" s="733"/>
      <c r="Z251" s="733"/>
      <c r="AA251" s="733"/>
      <c r="AB251" s="732"/>
      <c r="AC251" s="733"/>
      <c r="AD251" s="733"/>
      <c r="AE251" s="733"/>
      <c r="AF251" s="733"/>
      <c r="AG251" s="733"/>
      <c r="AH251" s="732"/>
      <c r="AI251" s="732"/>
      <c r="AJ251" s="732"/>
      <c r="AK251" s="732"/>
      <c r="AL251" s="733"/>
      <c r="AM251" s="733"/>
      <c r="AN251" s="733"/>
      <c r="AO251" s="733"/>
      <c r="AP251" s="733"/>
      <c r="AQ251" s="733"/>
      <c r="AR251" s="733"/>
      <c r="AS251" s="733"/>
      <c r="AT251" s="733"/>
      <c r="AU251" s="733"/>
      <c r="AV251" s="733"/>
      <c r="AW251" s="733"/>
      <c r="AX251" s="732"/>
      <c r="AY251" s="732"/>
      <c r="AZ251" s="732"/>
      <c r="BA251" s="732"/>
      <c r="BB251" s="732"/>
      <c r="BC251" s="732"/>
      <c r="BD251" s="732"/>
      <c r="BE251" s="732"/>
      <c r="BF251" s="732"/>
      <c r="BG251" s="791"/>
      <c r="BH251" s="732"/>
      <c r="BI251" s="732"/>
      <c r="BJ251" s="732"/>
      <c r="BK251" s="732"/>
      <c r="BL251" s="732"/>
      <c r="BW251" s="790"/>
      <c r="BX251" s="790"/>
      <c r="BY251" s="792"/>
      <c r="BZ251" s="731"/>
      <c r="CA251" s="731"/>
      <c r="CB251" s="731"/>
      <c r="CC251" s="731"/>
      <c r="CD251" s="731"/>
      <c r="CE251" s="731"/>
      <c r="CF251" s="731"/>
    </row>
    <row r="252" spans="1:84" ht="15.75" customHeight="1">
      <c r="A252" s="732"/>
      <c r="B252" s="733"/>
      <c r="C252" s="733"/>
      <c r="D252" s="733"/>
      <c r="E252" s="733"/>
      <c r="F252" s="733"/>
      <c r="G252" s="733"/>
      <c r="H252" s="733"/>
      <c r="I252" s="733"/>
      <c r="J252" s="733"/>
      <c r="K252" s="733"/>
      <c r="L252" s="733"/>
      <c r="M252" s="733"/>
      <c r="N252" s="733"/>
      <c r="O252" s="733"/>
      <c r="P252" s="733"/>
      <c r="Q252" s="733"/>
      <c r="R252" s="733"/>
      <c r="S252" s="733"/>
      <c r="T252" s="733"/>
      <c r="U252" s="733"/>
      <c r="V252" s="733"/>
      <c r="W252" s="733"/>
      <c r="X252" s="733"/>
      <c r="Y252" s="733"/>
      <c r="Z252" s="733"/>
      <c r="AA252" s="733"/>
      <c r="AB252" s="732"/>
      <c r="AC252" s="733"/>
      <c r="AD252" s="733"/>
      <c r="AE252" s="733"/>
      <c r="AF252" s="733"/>
      <c r="AG252" s="733"/>
      <c r="AH252" s="732"/>
      <c r="AI252" s="732"/>
      <c r="AJ252" s="732"/>
      <c r="AK252" s="732"/>
      <c r="AL252" s="733"/>
      <c r="AM252" s="733"/>
      <c r="AN252" s="733"/>
      <c r="AO252" s="733"/>
      <c r="AP252" s="733"/>
      <c r="AQ252" s="733"/>
      <c r="AR252" s="733"/>
      <c r="AS252" s="733"/>
      <c r="AT252" s="733"/>
      <c r="AU252" s="733"/>
      <c r="AV252" s="733"/>
      <c r="AW252" s="733"/>
      <c r="AX252" s="732"/>
      <c r="AY252" s="732"/>
      <c r="AZ252" s="732"/>
      <c r="BA252" s="732"/>
      <c r="BB252" s="732"/>
      <c r="BC252" s="732"/>
      <c r="BD252" s="732"/>
      <c r="BE252" s="732"/>
      <c r="BF252" s="732"/>
      <c r="BG252" s="791"/>
      <c r="BH252" s="732"/>
      <c r="BI252" s="732"/>
      <c r="BJ252" s="732"/>
      <c r="BK252" s="732"/>
      <c r="BL252" s="732"/>
      <c r="BW252" s="790"/>
      <c r="BX252" s="790"/>
      <c r="BY252" s="792"/>
      <c r="BZ252" s="731"/>
      <c r="CA252" s="731"/>
      <c r="CB252" s="731"/>
      <c r="CC252" s="731"/>
      <c r="CD252" s="731"/>
      <c r="CE252" s="731"/>
      <c r="CF252" s="731"/>
    </row>
    <row r="253" spans="1:84" ht="15.75" customHeight="1">
      <c r="A253" s="732"/>
      <c r="B253" s="733"/>
      <c r="C253" s="733"/>
      <c r="D253" s="733"/>
      <c r="E253" s="733"/>
      <c r="F253" s="733"/>
      <c r="G253" s="733"/>
      <c r="H253" s="733"/>
      <c r="I253" s="733"/>
      <c r="J253" s="733"/>
      <c r="K253" s="733"/>
      <c r="L253" s="733"/>
      <c r="M253" s="733"/>
      <c r="N253" s="733"/>
      <c r="O253" s="733"/>
      <c r="P253" s="733"/>
      <c r="Q253" s="733"/>
      <c r="R253" s="733"/>
      <c r="S253" s="733"/>
      <c r="T253" s="733"/>
      <c r="U253" s="733"/>
      <c r="V253" s="733"/>
      <c r="W253" s="733"/>
      <c r="X253" s="733"/>
      <c r="Y253" s="733"/>
      <c r="Z253" s="733"/>
      <c r="AA253" s="733"/>
      <c r="AB253" s="732"/>
      <c r="AC253" s="733"/>
      <c r="AD253" s="733"/>
      <c r="AE253" s="733"/>
      <c r="AF253" s="733"/>
      <c r="AG253" s="733"/>
      <c r="AH253" s="732"/>
      <c r="AI253" s="732"/>
      <c r="AJ253" s="732"/>
      <c r="AK253" s="732"/>
      <c r="AL253" s="733"/>
      <c r="AM253" s="733"/>
      <c r="AN253" s="733"/>
      <c r="AO253" s="733"/>
      <c r="AP253" s="733"/>
      <c r="AQ253" s="733"/>
      <c r="AR253" s="733"/>
      <c r="AS253" s="733"/>
      <c r="AT253" s="733"/>
      <c r="AU253" s="733"/>
      <c r="AV253" s="733"/>
      <c r="AW253" s="733"/>
      <c r="AX253" s="732"/>
      <c r="AY253" s="732"/>
      <c r="AZ253" s="732"/>
      <c r="BA253" s="732"/>
      <c r="BB253" s="732"/>
      <c r="BC253" s="732"/>
      <c r="BD253" s="732"/>
      <c r="BE253" s="732"/>
      <c r="BF253" s="732"/>
      <c r="BG253" s="791"/>
      <c r="BH253" s="732"/>
      <c r="BI253" s="732"/>
      <c r="BJ253" s="732"/>
      <c r="BK253" s="732"/>
      <c r="BL253" s="732"/>
      <c r="BW253" s="790"/>
      <c r="BX253" s="790"/>
      <c r="BY253" s="792"/>
      <c r="BZ253" s="731"/>
      <c r="CA253" s="731"/>
      <c r="CB253" s="731"/>
      <c r="CC253" s="731"/>
      <c r="CD253" s="731"/>
      <c r="CE253" s="731"/>
      <c r="CF253" s="731"/>
    </row>
    <row r="254" spans="1:84" ht="15.75" customHeight="1">
      <c r="BG254" s="762"/>
      <c r="BW254" s="790"/>
      <c r="BX254" s="790"/>
      <c r="BY254" s="792"/>
      <c r="BZ254" s="731"/>
      <c r="CA254" s="731"/>
      <c r="CB254" s="731"/>
      <c r="CC254" s="731"/>
      <c r="CD254" s="731"/>
      <c r="CE254" s="731"/>
      <c r="CF254" s="731"/>
    </row>
    <row r="255" spans="1:84" ht="15.75" customHeight="1">
      <c r="BG255" s="762"/>
      <c r="BW255" s="790"/>
      <c r="BX255" s="790"/>
      <c r="BY255" s="792"/>
      <c r="BZ255" s="731"/>
      <c r="CA255" s="731"/>
      <c r="CB255" s="731"/>
      <c r="CC255" s="731"/>
      <c r="CD255" s="731"/>
      <c r="CE255" s="731"/>
      <c r="CF255" s="731"/>
    </row>
    <row r="256" spans="1:84" ht="15.75" customHeight="1">
      <c r="BG256" s="762"/>
      <c r="BW256" s="790"/>
      <c r="BX256" s="790"/>
      <c r="BY256" s="792"/>
      <c r="BZ256" s="731"/>
      <c r="CA256" s="731"/>
      <c r="CB256" s="731"/>
      <c r="CC256" s="731"/>
      <c r="CD256" s="731"/>
      <c r="CE256" s="731"/>
      <c r="CF256" s="731"/>
    </row>
    <row r="257" spans="59:84" ht="15.75" customHeight="1">
      <c r="BG257" s="762"/>
      <c r="BW257" s="790"/>
      <c r="BX257" s="790"/>
      <c r="BY257" s="792"/>
      <c r="BZ257" s="731"/>
      <c r="CA257" s="731"/>
      <c r="CB257" s="731"/>
      <c r="CC257" s="731"/>
      <c r="CD257" s="731"/>
      <c r="CE257" s="731"/>
      <c r="CF257" s="731"/>
    </row>
    <row r="258" spans="59:84" ht="15.75" customHeight="1">
      <c r="BG258" s="762"/>
      <c r="BW258" s="790"/>
      <c r="BX258" s="790"/>
      <c r="BY258" s="792"/>
      <c r="BZ258" s="731"/>
      <c r="CA258" s="731"/>
      <c r="CB258" s="731"/>
      <c r="CC258" s="731"/>
      <c r="CD258" s="731"/>
      <c r="CE258" s="731"/>
      <c r="CF258" s="731"/>
    </row>
    <row r="259" spans="59:84" ht="15.75" customHeight="1">
      <c r="BG259" s="762"/>
      <c r="BW259" s="790"/>
      <c r="BX259" s="790"/>
      <c r="BY259" s="792"/>
      <c r="BZ259" s="731"/>
      <c r="CA259" s="731"/>
      <c r="CB259" s="731"/>
      <c r="CC259" s="731"/>
      <c r="CD259" s="731"/>
      <c r="CE259" s="731"/>
      <c r="CF259" s="731"/>
    </row>
    <row r="260" spans="59:84" ht="15.75" customHeight="1">
      <c r="BG260" s="762"/>
      <c r="BW260" s="790"/>
      <c r="BX260" s="790"/>
      <c r="BY260" s="792"/>
      <c r="BZ260" s="731"/>
      <c r="CA260" s="731"/>
      <c r="CB260" s="731"/>
      <c r="CC260" s="731"/>
      <c r="CD260" s="731"/>
      <c r="CE260" s="731"/>
      <c r="CF260" s="731"/>
    </row>
    <row r="261" spans="59:84" ht="15.75" customHeight="1">
      <c r="BG261" s="762"/>
      <c r="BW261" s="790"/>
      <c r="BX261" s="790"/>
      <c r="BY261" s="792"/>
      <c r="BZ261" s="731"/>
      <c r="CA261" s="731"/>
      <c r="CB261" s="731"/>
      <c r="CC261" s="731"/>
      <c r="CD261" s="731"/>
      <c r="CE261" s="731"/>
      <c r="CF261" s="731"/>
    </row>
    <row r="262" spans="59:84" ht="15.75" customHeight="1">
      <c r="BG262" s="762"/>
      <c r="BW262" s="790"/>
      <c r="BX262" s="790"/>
      <c r="BY262" s="792"/>
      <c r="BZ262" s="731"/>
      <c r="CA262" s="731"/>
      <c r="CB262" s="731"/>
      <c r="CC262" s="731"/>
      <c r="CD262" s="731"/>
      <c r="CE262" s="731"/>
      <c r="CF262" s="731"/>
    </row>
    <row r="263" spans="59:84" ht="15.75" customHeight="1">
      <c r="BG263" s="762"/>
      <c r="BW263" s="790"/>
      <c r="BX263" s="790"/>
      <c r="BY263" s="792"/>
      <c r="BZ263" s="731"/>
      <c r="CA263" s="731"/>
      <c r="CB263" s="731"/>
      <c r="CC263" s="731"/>
      <c r="CD263" s="731"/>
      <c r="CE263" s="731"/>
      <c r="CF263" s="731"/>
    </row>
    <row r="264" spans="59:84" ht="15.75" customHeight="1">
      <c r="BG264" s="762"/>
      <c r="BW264" s="790"/>
      <c r="BX264" s="790"/>
      <c r="BY264" s="792"/>
      <c r="BZ264" s="731"/>
      <c r="CA264" s="731"/>
      <c r="CB264" s="731"/>
      <c r="CC264" s="731"/>
      <c r="CD264" s="731"/>
      <c r="CE264" s="731"/>
      <c r="CF264" s="731"/>
    </row>
    <row r="265" spans="59:84" ht="15.75" customHeight="1">
      <c r="BG265" s="762"/>
      <c r="BW265" s="790"/>
      <c r="BX265" s="790"/>
      <c r="BY265" s="792"/>
      <c r="BZ265" s="731"/>
      <c r="CA265" s="731"/>
      <c r="CB265" s="731"/>
      <c r="CC265" s="731"/>
      <c r="CD265" s="731"/>
      <c r="CE265" s="731"/>
      <c r="CF265" s="731"/>
    </row>
    <row r="266" spans="59:84" ht="15.75" customHeight="1">
      <c r="BG266" s="762"/>
      <c r="BW266" s="790"/>
      <c r="BX266" s="790"/>
      <c r="BY266" s="792"/>
      <c r="BZ266" s="731"/>
      <c r="CA266" s="731"/>
      <c r="CB266" s="731"/>
      <c r="CC266" s="731"/>
      <c r="CD266" s="731"/>
      <c r="CE266" s="731"/>
      <c r="CF266" s="731"/>
    </row>
    <row r="267" spans="59:84" ht="15.75" customHeight="1">
      <c r="BG267" s="762"/>
      <c r="BW267" s="790"/>
      <c r="BX267" s="790"/>
      <c r="BY267" s="792"/>
      <c r="BZ267" s="731"/>
      <c r="CA267" s="731"/>
      <c r="CB267" s="731"/>
      <c r="CC267" s="731"/>
      <c r="CD267" s="731"/>
      <c r="CE267" s="731"/>
      <c r="CF267" s="731"/>
    </row>
    <row r="268" spans="59:84" ht="15.75" customHeight="1">
      <c r="BG268" s="762"/>
      <c r="BW268" s="790"/>
      <c r="BX268" s="790"/>
      <c r="BY268" s="792"/>
      <c r="BZ268" s="731"/>
      <c r="CA268" s="731"/>
      <c r="CB268" s="731"/>
      <c r="CC268" s="731"/>
      <c r="CD268" s="731"/>
      <c r="CE268" s="731"/>
      <c r="CF268" s="731"/>
    </row>
    <row r="269" spans="59:84" ht="15.75" customHeight="1">
      <c r="BG269" s="762"/>
      <c r="BW269" s="790"/>
      <c r="BX269" s="790"/>
      <c r="BY269" s="792"/>
      <c r="BZ269" s="731"/>
      <c r="CA269" s="731"/>
      <c r="CB269" s="731"/>
      <c r="CC269" s="731"/>
      <c r="CD269" s="731"/>
      <c r="CE269" s="731"/>
      <c r="CF269" s="731"/>
    </row>
    <row r="270" spans="59:84" ht="15.75" customHeight="1">
      <c r="BG270" s="762"/>
      <c r="BW270" s="790"/>
      <c r="BX270" s="790"/>
      <c r="BY270" s="792"/>
      <c r="BZ270" s="731"/>
      <c r="CA270" s="731"/>
      <c r="CB270" s="731"/>
      <c r="CC270" s="731"/>
      <c r="CD270" s="731"/>
      <c r="CE270" s="731"/>
      <c r="CF270" s="731"/>
    </row>
    <row r="271" spans="59:84" ht="15.75" customHeight="1">
      <c r="BG271" s="762"/>
      <c r="BW271" s="790"/>
      <c r="BX271" s="790"/>
      <c r="BY271" s="792"/>
      <c r="BZ271" s="731"/>
      <c r="CA271" s="731"/>
      <c r="CB271" s="731"/>
      <c r="CC271" s="731"/>
      <c r="CD271" s="731"/>
      <c r="CE271" s="731"/>
      <c r="CF271" s="731"/>
    </row>
    <row r="272" spans="59:84" ht="15.75" customHeight="1">
      <c r="BG272" s="762"/>
      <c r="BW272" s="790"/>
      <c r="BX272" s="790"/>
      <c r="BY272" s="792"/>
      <c r="BZ272" s="731"/>
      <c r="CA272" s="731"/>
      <c r="CB272" s="731"/>
      <c r="CC272" s="731"/>
      <c r="CD272" s="731"/>
      <c r="CE272" s="731"/>
      <c r="CF272" s="731"/>
    </row>
    <row r="273" spans="59:84" ht="15.75" customHeight="1">
      <c r="BG273" s="762"/>
      <c r="BW273" s="790"/>
      <c r="BX273" s="790"/>
      <c r="BY273" s="792"/>
      <c r="BZ273" s="731"/>
      <c r="CA273" s="731"/>
      <c r="CB273" s="731"/>
      <c r="CC273" s="731"/>
      <c r="CD273" s="731"/>
      <c r="CE273" s="731"/>
      <c r="CF273" s="731"/>
    </row>
    <row r="274" spans="59:84" ht="15.75" customHeight="1">
      <c r="BG274" s="762"/>
      <c r="BW274" s="790"/>
      <c r="BX274" s="790"/>
      <c r="BY274" s="792"/>
      <c r="BZ274" s="731"/>
      <c r="CA274" s="731"/>
      <c r="CB274" s="731"/>
      <c r="CC274" s="731"/>
      <c r="CD274" s="731"/>
      <c r="CE274" s="731"/>
      <c r="CF274" s="731"/>
    </row>
    <row r="275" spans="59:84" ht="15.75" customHeight="1">
      <c r="BG275" s="762"/>
      <c r="BW275" s="790"/>
      <c r="BX275" s="790"/>
      <c r="BY275" s="792"/>
      <c r="BZ275" s="731"/>
      <c r="CA275" s="731"/>
      <c r="CB275" s="731"/>
      <c r="CC275" s="731"/>
      <c r="CD275" s="731"/>
      <c r="CE275" s="731"/>
      <c r="CF275" s="731"/>
    </row>
    <row r="276" spans="59:84" ht="15.75" customHeight="1">
      <c r="BG276" s="762"/>
      <c r="BW276" s="790"/>
      <c r="BX276" s="790"/>
      <c r="BY276" s="792"/>
      <c r="BZ276" s="731"/>
      <c r="CA276" s="731"/>
      <c r="CB276" s="731"/>
      <c r="CC276" s="731"/>
      <c r="CD276" s="731"/>
      <c r="CE276" s="731"/>
      <c r="CF276" s="731"/>
    </row>
    <row r="277" spans="59:84" ht="15.75" customHeight="1">
      <c r="BG277" s="762"/>
      <c r="BW277" s="790"/>
      <c r="BX277" s="790"/>
      <c r="BY277" s="792"/>
      <c r="BZ277" s="731"/>
      <c r="CA277" s="731"/>
      <c r="CB277" s="731"/>
      <c r="CC277" s="731"/>
      <c r="CD277" s="731"/>
      <c r="CE277" s="731"/>
      <c r="CF277" s="731"/>
    </row>
    <row r="278" spans="59:84" ht="15.75" customHeight="1">
      <c r="BG278" s="762"/>
      <c r="BW278" s="790"/>
      <c r="BX278" s="790"/>
      <c r="BY278" s="792"/>
      <c r="BZ278" s="731"/>
      <c r="CA278" s="731"/>
      <c r="CB278" s="731"/>
      <c r="CC278" s="731"/>
      <c r="CD278" s="731"/>
      <c r="CE278" s="731"/>
      <c r="CF278" s="731"/>
    </row>
    <row r="279" spans="59:84" ht="15.75" customHeight="1">
      <c r="BG279" s="762"/>
      <c r="BW279" s="790"/>
      <c r="BX279" s="790"/>
      <c r="BY279" s="792"/>
      <c r="BZ279" s="731"/>
      <c r="CA279" s="731"/>
      <c r="CB279" s="731"/>
      <c r="CC279" s="731"/>
      <c r="CD279" s="731"/>
      <c r="CE279" s="731"/>
      <c r="CF279" s="731"/>
    </row>
    <row r="280" spans="59:84" ht="15.75" customHeight="1">
      <c r="BG280" s="762"/>
      <c r="BW280" s="790"/>
      <c r="BX280" s="790"/>
      <c r="BY280" s="792"/>
      <c r="BZ280" s="731"/>
      <c r="CA280" s="731"/>
      <c r="CB280" s="731"/>
      <c r="CC280" s="731"/>
      <c r="CD280" s="731"/>
      <c r="CE280" s="731"/>
      <c r="CF280" s="731"/>
    </row>
    <row r="281" spans="59:84" ht="15.75" customHeight="1">
      <c r="BG281" s="762"/>
      <c r="BW281" s="790"/>
      <c r="BX281" s="790"/>
      <c r="BY281" s="792"/>
      <c r="BZ281" s="731"/>
      <c r="CA281" s="731"/>
      <c r="CB281" s="731"/>
      <c r="CC281" s="731"/>
      <c r="CD281" s="731"/>
      <c r="CE281" s="731"/>
      <c r="CF281" s="731"/>
    </row>
    <row r="282" spans="59:84" ht="15.75" customHeight="1">
      <c r="BG282" s="762"/>
      <c r="BW282" s="790"/>
      <c r="BX282" s="790"/>
      <c r="BY282" s="792"/>
      <c r="BZ282" s="731"/>
      <c r="CA282" s="731"/>
      <c r="CB282" s="731"/>
      <c r="CC282" s="731"/>
      <c r="CD282" s="731"/>
      <c r="CE282" s="731"/>
      <c r="CF282" s="731"/>
    </row>
    <row r="283" spans="59:84" ht="15.75" customHeight="1">
      <c r="BG283" s="762"/>
      <c r="BW283" s="790"/>
      <c r="BX283" s="790"/>
      <c r="BY283" s="792"/>
      <c r="BZ283" s="731"/>
      <c r="CA283" s="731"/>
      <c r="CB283" s="731"/>
      <c r="CC283" s="731"/>
      <c r="CD283" s="731"/>
      <c r="CE283" s="731"/>
      <c r="CF283" s="731"/>
    </row>
    <row r="284" spans="59:84" ht="15.75" customHeight="1">
      <c r="BG284" s="762"/>
      <c r="BW284" s="790"/>
      <c r="BX284" s="790"/>
      <c r="BY284" s="792"/>
      <c r="BZ284" s="731"/>
      <c r="CA284" s="731"/>
      <c r="CB284" s="731"/>
      <c r="CC284" s="731"/>
      <c r="CD284" s="731"/>
      <c r="CE284" s="731"/>
      <c r="CF284" s="731"/>
    </row>
    <row r="285" spans="59:84" ht="15.75" customHeight="1">
      <c r="BG285" s="762"/>
      <c r="BW285" s="790"/>
      <c r="BX285" s="790"/>
      <c r="BY285" s="792"/>
      <c r="BZ285" s="731"/>
      <c r="CA285" s="731"/>
      <c r="CB285" s="731"/>
      <c r="CC285" s="731"/>
      <c r="CD285" s="731"/>
      <c r="CE285" s="731"/>
      <c r="CF285" s="731"/>
    </row>
    <row r="286" spans="59:84" ht="15.75" customHeight="1">
      <c r="BG286" s="762"/>
      <c r="BW286" s="790"/>
      <c r="BX286" s="790"/>
      <c r="BY286" s="792"/>
      <c r="BZ286" s="731"/>
      <c r="CA286" s="731"/>
      <c r="CB286" s="731"/>
      <c r="CC286" s="731"/>
      <c r="CD286" s="731"/>
      <c r="CE286" s="731"/>
      <c r="CF286" s="731"/>
    </row>
    <row r="287" spans="59:84" ht="15.75" customHeight="1">
      <c r="BG287" s="762"/>
      <c r="BW287" s="790"/>
      <c r="BX287" s="790"/>
      <c r="BY287" s="792"/>
      <c r="BZ287" s="731"/>
      <c r="CA287" s="731"/>
      <c r="CB287" s="731"/>
      <c r="CC287" s="731"/>
      <c r="CD287" s="731"/>
      <c r="CE287" s="731"/>
      <c r="CF287" s="731"/>
    </row>
    <row r="288" spans="59:84" ht="15.75" customHeight="1">
      <c r="BG288" s="762"/>
      <c r="BW288" s="790"/>
      <c r="BX288" s="790"/>
      <c r="BY288" s="792"/>
      <c r="BZ288" s="731"/>
      <c r="CA288" s="731"/>
      <c r="CB288" s="731"/>
      <c r="CC288" s="731"/>
      <c r="CD288" s="731"/>
      <c r="CE288" s="731"/>
      <c r="CF288" s="731"/>
    </row>
    <row r="289" spans="59:84" ht="15.75" customHeight="1">
      <c r="BG289" s="762"/>
      <c r="BW289" s="790"/>
      <c r="BX289" s="790"/>
      <c r="BY289" s="792"/>
      <c r="BZ289" s="731"/>
      <c r="CA289" s="731"/>
      <c r="CB289" s="731"/>
      <c r="CC289" s="731"/>
      <c r="CD289" s="731"/>
      <c r="CE289" s="731"/>
      <c r="CF289" s="731"/>
    </row>
    <row r="290" spans="59:84" ht="15.75" customHeight="1">
      <c r="BG290" s="762"/>
      <c r="BW290" s="790"/>
      <c r="BX290" s="790"/>
      <c r="BY290" s="792"/>
      <c r="BZ290" s="731"/>
      <c r="CA290" s="731"/>
      <c r="CB290" s="731"/>
      <c r="CC290" s="731"/>
      <c r="CD290" s="731"/>
      <c r="CE290" s="731"/>
      <c r="CF290" s="731"/>
    </row>
    <row r="291" spans="59:84" ht="15.75" customHeight="1">
      <c r="BG291" s="762"/>
      <c r="BW291" s="790"/>
      <c r="BX291" s="790"/>
      <c r="BY291" s="792"/>
      <c r="BZ291" s="731"/>
      <c r="CA291" s="731"/>
      <c r="CB291" s="731"/>
      <c r="CC291" s="731"/>
      <c r="CD291" s="731"/>
      <c r="CE291" s="731"/>
      <c r="CF291" s="731"/>
    </row>
    <row r="292" spans="59:84" ht="15.75" customHeight="1">
      <c r="BG292" s="762"/>
      <c r="BW292" s="790"/>
      <c r="BX292" s="790"/>
      <c r="BY292" s="792"/>
      <c r="BZ292" s="731"/>
      <c r="CA292" s="731"/>
      <c r="CB292" s="731"/>
      <c r="CC292" s="731"/>
      <c r="CD292" s="731"/>
      <c r="CE292" s="731"/>
      <c r="CF292" s="731"/>
    </row>
    <row r="293" spans="59:84" ht="15.75" customHeight="1">
      <c r="BG293" s="762"/>
      <c r="BW293" s="790"/>
      <c r="BX293" s="790"/>
      <c r="BY293" s="792"/>
      <c r="BZ293" s="731"/>
      <c r="CA293" s="731"/>
      <c r="CB293" s="731"/>
      <c r="CC293" s="731"/>
      <c r="CD293" s="731"/>
      <c r="CE293" s="731"/>
      <c r="CF293" s="731"/>
    </row>
    <row r="294" spans="59:84" ht="15.75" customHeight="1">
      <c r="BG294" s="762"/>
      <c r="BW294" s="790"/>
      <c r="BX294" s="790"/>
      <c r="BY294" s="792"/>
      <c r="BZ294" s="731"/>
      <c r="CA294" s="731"/>
      <c r="CB294" s="731"/>
      <c r="CC294" s="731"/>
      <c r="CD294" s="731"/>
      <c r="CE294" s="731"/>
      <c r="CF294" s="731"/>
    </row>
    <row r="295" spans="59:84" ht="15.75" customHeight="1">
      <c r="BG295" s="762"/>
      <c r="BW295" s="790"/>
      <c r="BX295" s="790"/>
      <c r="BY295" s="792"/>
      <c r="BZ295" s="731"/>
      <c r="CA295" s="731"/>
      <c r="CB295" s="731"/>
      <c r="CC295" s="731"/>
      <c r="CD295" s="731"/>
      <c r="CE295" s="731"/>
      <c r="CF295" s="731"/>
    </row>
    <row r="296" spans="59:84" ht="15.75" customHeight="1">
      <c r="BG296" s="762"/>
      <c r="BW296" s="790"/>
      <c r="BX296" s="790"/>
      <c r="BY296" s="792"/>
      <c r="BZ296" s="731"/>
      <c r="CA296" s="731"/>
      <c r="CB296" s="731"/>
      <c r="CC296" s="731"/>
      <c r="CD296" s="731"/>
      <c r="CE296" s="731"/>
      <c r="CF296" s="731"/>
    </row>
    <row r="297" spans="59:84" ht="15.75" customHeight="1">
      <c r="BG297" s="762"/>
      <c r="BW297" s="790"/>
      <c r="BX297" s="790"/>
      <c r="BY297" s="792"/>
      <c r="BZ297" s="731"/>
      <c r="CA297" s="731"/>
      <c r="CB297" s="731"/>
      <c r="CC297" s="731"/>
      <c r="CD297" s="731"/>
      <c r="CE297" s="731"/>
      <c r="CF297" s="731"/>
    </row>
    <row r="298" spans="59:84" ht="15.75" customHeight="1">
      <c r="BG298" s="762"/>
      <c r="BW298" s="790"/>
      <c r="BX298" s="790"/>
      <c r="BY298" s="792"/>
      <c r="BZ298" s="731"/>
      <c r="CA298" s="731"/>
      <c r="CB298" s="731"/>
      <c r="CC298" s="731"/>
      <c r="CD298" s="731"/>
      <c r="CE298" s="731"/>
      <c r="CF298" s="731"/>
    </row>
    <row r="299" spans="59:84" ht="15.75" customHeight="1">
      <c r="BG299" s="762"/>
      <c r="BW299" s="790"/>
      <c r="BX299" s="790"/>
      <c r="BY299" s="792"/>
      <c r="BZ299" s="731"/>
      <c r="CA299" s="731"/>
      <c r="CB299" s="731"/>
      <c r="CC299" s="731"/>
      <c r="CD299" s="731"/>
      <c r="CE299" s="731"/>
      <c r="CF299" s="731"/>
    </row>
    <row r="300" spans="59:84" ht="15.75" customHeight="1">
      <c r="BG300" s="762"/>
      <c r="BW300" s="790"/>
      <c r="BX300" s="790"/>
      <c r="BY300" s="792"/>
      <c r="BZ300" s="731"/>
      <c r="CA300" s="731"/>
      <c r="CB300" s="731"/>
      <c r="CC300" s="731"/>
      <c r="CD300" s="731"/>
      <c r="CE300" s="731"/>
      <c r="CF300" s="731"/>
    </row>
    <row r="301" spans="59:84" ht="15.75" customHeight="1">
      <c r="BG301" s="762"/>
      <c r="BW301" s="790"/>
      <c r="BX301" s="790"/>
      <c r="BY301" s="792"/>
      <c r="BZ301" s="731"/>
      <c r="CA301" s="731"/>
      <c r="CB301" s="731"/>
      <c r="CC301" s="731"/>
      <c r="CD301" s="731"/>
      <c r="CE301" s="731"/>
      <c r="CF301" s="731"/>
    </row>
    <row r="302" spans="59:84" ht="15.75" customHeight="1">
      <c r="BG302" s="762"/>
      <c r="BW302" s="790"/>
      <c r="BX302" s="790"/>
      <c r="BY302" s="792"/>
      <c r="BZ302" s="731"/>
      <c r="CA302" s="731"/>
      <c r="CB302" s="731"/>
      <c r="CC302" s="731"/>
      <c r="CD302" s="731"/>
      <c r="CE302" s="731"/>
      <c r="CF302" s="731"/>
    </row>
    <row r="303" spans="59:84" ht="15.75" customHeight="1">
      <c r="BG303" s="762"/>
      <c r="BW303" s="790"/>
      <c r="BX303" s="790"/>
      <c r="BY303" s="792"/>
      <c r="BZ303" s="731"/>
      <c r="CA303" s="731"/>
      <c r="CB303" s="731"/>
      <c r="CC303" s="731"/>
      <c r="CD303" s="731"/>
      <c r="CE303" s="731"/>
      <c r="CF303" s="731"/>
    </row>
    <row r="304" spans="59:84" ht="15.75" customHeight="1">
      <c r="BG304" s="762"/>
      <c r="BW304" s="790"/>
      <c r="BX304" s="790"/>
      <c r="BY304" s="792"/>
      <c r="BZ304" s="731"/>
      <c r="CA304" s="731"/>
      <c r="CB304" s="731"/>
      <c r="CC304" s="731"/>
      <c r="CD304" s="731"/>
      <c r="CE304" s="731"/>
      <c r="CF304" s="731"/>
    </row>
    <row r="305" spans="59:84" ht="15.75" customHeight="1">
      <c r="BG305" s="762"/>
      <c r="BW305" s="790"/>
      <c r="BX305" s="790"/>
      <c r="BY305" s="792"/>
      <c r="BZ305" s="731"/>
      <c r="CA305" s="731"/>
      <c r="CB305" s="731"/>
      <c r="CC305" s="731"/>
      <c r="CD305" s="731"/>
      <c r="CE305" s="731"/>
      <c r="CF305" s="731"/>
    </row>
    <row r="306" spans="59:84" ht="15.75" customHeight="1">
      <c r="BG306" s="762"/>
      <c r="BW306" s="790"/>
      <c r="BX306" s="790"/>
      <c r="BY306" s="792"/>
      <c r="BZ306" s="731"/>
      <c r="CA306" s="731"/>
      <c r="CB306" s="731"/>
      <c r="CC306" s="731"/>
      <c r="CD306" s="731"/>
      <c r="CE306" s="731"/>
      <c r="CF306" s="731"/>
    </row>
    <row r="307" spans="59:84" ht="15.75" customHeight="1">
      <c r="BG307" s="762"/>
      <c r="BW307" s="790"/>
      <c r="BX307" s="790"/>
      <c r="BY307" s="792"/>
      <c r="BZ307" s="731"/>
      <c r="CA307" s="731"/>
      <c r="CB307" s="731"/>
      <c r="CC307" s="731"/>
      <c r="CD307" s="731"/>
      <c r="CE307" s="731"/>
      <c r="CF307" s="731"/>
    </row>
    <row r="308" spans="59:84" ht="15.75" customHeight="1">
      <c r="BG308" s="762"/>
      <c r="BW308" s="790"/>
      <c r="BX308" s="790"/>
      <c r="BY308" s="792"/>
      <c r="BZ308" s="731"/>
      <c r="CA308" s="731"/>
      <c r="CB308" s="731"/>
      <c r="CC308" s="731"/>
      <c r="CD308" s="731"/>
      <c r="CE308" s="731"/>
      <c r="CF308" s="731"/>
    </row>
    <row r="309" spans="59:84" ht="15.75" customHeight="1">
      <c r="BG309" s="762"/>
      <c r="BW309" s="790"/>
      <c r="BX309" s="790"/>
      <c r="BY309" s="792"/>
      <c r="BZ309" s="731"/>
      <c r="CA309" s="731"/>
      <c r="CB309" s="731"/>
      <c r="CC309" s="731"/>
      <c r="CD309" s="731"/>
      <c r="CE309" s="731"/>
      <c r="CF309" s="731"/>
    </row>
    <row r="310" spans="59:84" ht="15.75" customHeight="1">
      <c r="BG310" s="762"/>
      <c r="BW310" s="790"/>
      <c r="BX310" s="790"/>
      <c r="BY310" s="792"/>
      <c r="BZ310" s="731"/>
      <c r="CA310" s="731"/>
      <c r="CB310" s="731"/>
      <c r="CC310" s="731"/>
      <c r="CD310" s="731"/>
      <c r="CE310" s="731"/>
      <c r="CF310" s="731"/>
    </row>
    <row r="311" spans="59:84" ht="15.75" customHeight="1">
      <c r="BG311" s="762"/>
      <c r="BW311" s="790"/>
      <c r="BX311" s="790"/>
      <c r="BY311" s="792"/>
      <c r="BZ311" s="731"/>
      <c r="CA311" s="731"/>
      <c r="CB311" s="731"/>
      <c r="CC311" s="731"/>
      <c r="CD311" s="731"/>
      <c r="CE311" s="731"/>
      <c r="CF311" s="731"/>
    </row>
    <row r="312" spans="59:84" ht="15.75" customHeight="1">
      <c r="BG312" s="762"/>
      <c r="BW312" s="790"/>
      <c r="BX312" s="790"/>
      <c r="BY312" s="792"/>
      <c r="BZ312" s="731"/>
      <c r="CA312" s="731"/>
      <c r="CB312" s="731"/>
      <c r="CC312" s="731"/>
      <c r="CD312" s="731"/>
      <c r="CE312" s="731"/>
      <c r="CF312" s="731"/>
    </row>
    <row r="313" spans="59:84" ht="15.75" customHeight="1">
      <c r="BG313" s="762"/>
      <c r="BW313" s="790"/>
      <c r="BX313" s="790"/>
      <c r="BY313" s="792"/>
      <c r="BZ313" s="731"/>
      <c r="CA313" s="731"/>
      <c r="CB313" s="731"/>
      <c r="CC313" s="731"/>
      <c r="CD313" s="731"/>
      <c r="CE313" s="731"/>
      <c r="CF313" s="731"/>
    </row>
    <row r="314" spans="59:84" ht="15.75" customHeight="1">
      <c r="BG314" s="762"/>
      <c r="BW314" s="790"/>
      <c r="BX314" s="790"/>
      <c r="BY314" s="792"/>
      <c r="BZ314" s="731"/>
      <c r="CA314" s="731"/>
      <c r="CB314" s="731"/>
      <c r="CC314" s="731"/>
      <c r="CD314" s="731"/>
      <c r="CE314" s="731"/>
      <c r="CF314" s="731"/>
    </row>
    <row r="315" spans="59:84" ht="15.75" customHeight="1">
      <c r="BG315" s="762"/>
      <c r="BW315" s="790"/>
      <c r="BX315" s="790"/>
      <c r="BY315" s="792"/>
      <c r="BZ315" s="731"/>
      <c r="CA315" s="731"/>
      <c r="CB315" s="731"/>
      <c r="CC315" s="731"/>
      <c r="CD315" s="731"/>
      <c r="CE315" s="731"/>
      <c r="CF315" s="731"/>
    </row>
    <row r="316" spans="59:84" ht="15.75" customHeight="1">
      <c r="BG316" s="762"/>
      <c r="BW316" s="790"/>
      <c r="BX316" s="790"/>
      <c r="BY316" s="792"/>
      <c r="BZ316" s="731"/>
      <c r="CA316" s="731"/>
      <c r="CB316" s="731"/>
      <c r="CC316" s="731"/>
      <c r="CD316" s="731"/>
      <c r="CE316" s="731"/>
      <c r="CF316" s="731"/>
    </row>
    <row r="317" spans="59:84" ht="15.75" customHeight="1">
      <c r="BG317" s="762"/>
      <c r="BW317" s="790"/>
      <c r="BX317" s="790"/>
      <c r="BY317" s="792"/>
      <c r="BZ317" s="731"/>
      <c r="CA317" s="731"/>
      <c r="CB317" s="731"/>
      <c r="CC317" s="731"/>
      <c r="CD317" s="731"/>
      <c r="CE317" s="731"/>
      <c r="CF317" s="731"/>
    </row>
    <row r="318" spans="59:84" ht="15.75" customHeight="1">
      <c r="BG318" s="762"/>
      <c r="BW318" s="790"/>
      <c r="BX318" s="790"/>
      <c r="BY318" s="792"/>
      <c r="BZ318" s="731"/>
      <c r="CA318" s="731"/>
      <c r="CB318" s="731"/>
      <c r="CC318" s="731"/>
      <c r="CD318" s="731"/>
      <c r="CE318" s="731"/>
      <c r="CF318" s="731"/>
    </row>
    <row r="319" spans="59:84" ht="15.75" customHeight="1">
      <c r="BG319" s="762"/>
      <c r="BW319" s="790"/>
      <c r="BX319" s="790"/>
      <c r="BY319" s="792"/>
      <c r="BZ319" s="731"/>
      <c r="CA319" s="731"/>
      <c r="CB319" s="731"/>
      <c r="CC319" s="731"/>
      <c r="CD319" s="731"/>
      <c r="CE319" s="731"/>
      <c r="CF319" s="731"/>
    </row>
    <row r="320" spans="59:84" ht="15.75" customHeight="1">
      <c r="BG320" s="762"/>
      <c r="BW320" s="790"/>
      <c r="BX320" s="790"/>
      <c r="BY320" s="792"/>
      <c r="BZ320" s="731"/>
      <c r="CA320" s="731"/>
      <c r="CB320" s="731"/>
      <c r="CC320" s="731"/>
      <c r="CD320" s="731"/>
      <c r="CE320" s="731"/>
      <c r="CF320" s="731"/>
    </row>
    <row r="321" spans="59:84" ht="15.75" customHeight="1">
      <c r="BG321" s="762"/>
      <c r="BW321" s="790"/>
      <c r="BX321" s="790"/>
      <c r="BY321" s="792"/>
      <c r="BZ321" s="731"/>
      <c r="CA321" s="731"/>
      <c r="CB321" s="731"/>
      <c r="CC321" s="731"/>
      <c r="CD321" s="731"/>
      <c r="CE321" s="731"/>
      <c r="CF321" s="731"/>
    </row>
    <row r="322" spans="59:84" ht="15.75" customHeight="1">
      <c r="BG322" s="762"/>
      <c r="BW322" s="790"/>
      <c r="BX322" s="790"/>
      <c r="BY322" s="792"/>
      <c r="BZ322" s="731"/>
      <c r="CA322" s="731"/>
      <c r="CB322" s="731"/>
      <c r="CC322" s="731"/>
      <c r="CD322" s="731"/>
      <c r="CE322" s="731"/>
      <c r="CF322" s="731"/>
    </row>
    <row r="323" spans="59:84" ht="15.75" customHeight="1">
      <c r="BG323" s="762"/>
      <c r="BW323" s="790"/>
      <c r="BX323" s="790"/>
      <c r="BY323" s="792"/>
      <c r="BZ323" s="731"/>
      <c r="CA323" s="731"/>
      <c r="CB323" s="731"/>
      <c r="CC323" s="731"/>
      <c r="CD323" s="731"/>
      <c r="CE323" s="731"/>
      <c r="CF323" s="731"/>
    </row>
    <row r="324" spans="59:84" ht="15.75" customHeight="1">
      <c r="BG324" s="762"/>
      <c r="BW324" s="790"/>
      <c r="BX324" s="790"/>
      <c r="BY324" s="792"/>
      <c r="BZ324" s="731"/>
      <c r="CA324" s="731"/>
      <c r="CB324" s="731"/>
      <c r="CC324" s="731"/>
      <c r="CD324" s="731"/>
      <c r="CE324" s="731"/>
      <c r="CF324" s="731"/>
    </row>
    <row r="325" spans="59:84" ht="15.75" customHeight="1">
      <c r="BG325" s="762"/>
      <c r="BW325" s="790"/>
      <c r="BX325" s="790"/>
      <c r="BY325" s="792"/>
      <c r="BZ325" s="731"/>
      <c r="CA325" s="731"/>
      <c r="CB325" s="731"/>
      <c r="CC325" s="731"/>
      <c r="CD325" s="731"/>
      <c r="CE325" s="731"/>
      <c r="CF325" s="731"/>
    </row>
    <row r="326" spans="59:84" ht="15.75" customHeight="1">
      <c r="BG326" s="762"/>
      <c r="BW326" s="790"/>
      <c r="BX326" s="790"/>
      <c r="BY326" s="792"/>
      <c r="BZ326" s="731"/>
      <c r="CA326" s="731"/>
      <c r="CB326" s="731"/>
      <c r="CC326" s="731"/>
      <c r="CD326" s="731"/>
      <c r="CE326" s="731"/>
      <c r="CF326" s="731"/>
    </row>
    <row r="327" spans="59:84" ht="15.75" customHeight="1">
      <c r="BG327" s="762"/>
      <c r="BW327" s="790"/>
      <c r="BX327" s="790"/>
      <c r="BY327" s="792"/>
      <c r="BZ327" s="731"/>
      <c r="CA327" s="731"/>
      <c r="CB327" s="731"/>
      <c r="CC327" s="731"/>
      <c r="CD327" s="731"/>
      <c r="CE327" s="731"/>
      <c r="CF327" s="731"/>
    </row>
    <row r="328" spans="59:84" ht="15.75" customHeight="1">
      <c r="BG328" s="762"/>
      <c r="BW328" s="790"/>
      <c r="BX328" s="790"/>
      <c r="BY328" s="792"/>
      <c r="BZ328" s="731"/>
      <c r="CA328" s="731"/>
      <c r="CB328" s="731"/>
      <c r="CC328" s="731"/>
      <c r="CD328" s="731"/>
      <c r="CE328" s="731"/>
      <c r="CF328" s="731"/>
    </row>
    <row r="329" spans="59:84" ht="15.75" customHeight="1">
      <c r="BG329" s="762"/>
      <c r="BW329" s="790"/>
      <c r="BX329" s="790"/>
      <c r="BY329" s="792"/>
      <c r="BZ329" s="731"/>
      <c r="CA329" s="731"/>
      <c r="CB329" s="731"/>
      <c r="CC329" s="731"/>
      <c r="CD329" s="731"/>
      <c r="CE329" s="731"/>
      <c r="CF329" s="731"/>
    </row>
    <row r="330" spans="59:84" ht="15.75" customHeight="1">
      <c r="BG330" s="762"/>
      <c r="BW330" s="790"/>
      <c r="BX330" s="790"/>
      <c r="BY330" s="792"/>
      <c r="BZ330" s="731"/>
      <c r="CA330" s="731"/>
      <c r="CB330" s="731"/>
      <c r="CC330" s="731"/>
      <c r="CD330" s="731"/>
      <c r="CE330" s="731"/>
      <c r="CF330" s="731"/>
    </row>
    <row r="331" spans="59:84" ht="15.75" customHeight="1">
      <c r="BG331" s="762"/>
      <c r="BW331" s="790"/>
      <c r="BX331" s="790"/>
      <c r="BY331" s="792"/>
      <c r="BZ331" s="731"/>
      <c r="CA331" s="731"/>
      <c r="CB331" s="731"/>
      <c r="CC331" s="731"/>
      <c r="CD331" s="731"/>
      <c r="CE331" s="731"/>
      <c r="CF331" s="731"/>
    </row>
    <row r="332" spans="59:84" ht="15.75" customHeight="1">
      <c r="BG332" s="762"/>
      <c r="BW332" s="790"/>
      <c r="BX332" s="790"/>
      <c r="BY332" s="792"/>
      <c r="BZ332" s="731"/>
      <c r="CA332" s="731"/>
      <c r="CB332" s="731"/>
      <c r="CC332" s="731"/>
      <c r="CD332" s="731"/>
      <c r="CE332" s="731"/>
      <c r="CF332" s="731"/>
    </row>
    <row r="333" spans="59:84" ht="15.75" customHeight="1">
      <c r="BG333" s="762"/>
      <c r="BW333" s="790"/>
      <c r="BX333" s="790"/>
      <c r="BY333" s="792"/>
      <c r="BZ333" s="731"/>
      <c r="CA333" s="731"/>
      <c r="CB333" s="731"/>
      <c r="CC333" s="731"/>
      <c r="CD333" s="731"/>
      <c r="CE333" s="731"/>
      <c r="CF333" s="731"/>
    </row>
    <row r="334" spans="59:84" ht="15.75" customHeight="1">
      <c r="BG334" s="762"/>
      <c r="BW334" s="790"/>
      <c r="BX334" s="790"/>
      <c r="BY334" s="792"/>
      <c r="BZ334" s="731"/>
      <c r="CA334" s="731"/>
      <c r="CB334" s="731"/>
      <c r="CC334" s="731"/>
      <c r="CD334" s="731"/>
      <c r="CE334" s="731"/>
      <c r="CF334" s="731"/>
    </row>
    <row r="335" spans="59:84" ht="15.75" customHeight="1">
      <c r="BG335" s="762"/>
      <c r="BW335" s="790"/>
      <c r="BX335" s="790"/>
      <c r="BY335" s="792"/>
      <c r="BZ335" s="731"/>
      <c r="CA335" s="731"/>
      <c r="CB335" s="731"/>
      <c r="CC335" s="731"/>
      <c r="CD335" s="731"/>
      <c r="CE335" s="731"/>
      <c r="CF335" s="731"/>
    </row>
    <row r="336" spans="59:84" ht="15.75" customHeight="1">
      <c r="BG336" s="762"/>
      <c r="BW336" s="790"/>
      <c r="BX336" s="790"/>
      <c r="BY336" s="792"/>
      <c r="BZ336" s="731"/>
      <c r="CA336" s="731"/>
      <c r="CB336" s="731"/>
      <c r="CC336" s="731"/>
      <c r="CD336" s="731"/>
      <c r="CE336" s="731"/>
      <c r="CF336" s="731"/>
    </row>
    <row r="337" spans="59:84" ht="15.75" customHeight="1">
      <c r="BG337" s="762"/>
      <c r="BW337" s="790"/>
      <c r="BX337" s="790"/>
      <c r="BY337" s="792"/>
      <c r="BZ337" s="731"/>
      <c r="CA337" s="731"/>
      <c r="CB337" s="731"/>
      <c r="CC337" s="731"/>
      <c r="CD337" s="731"/>
      <c r="CE337" s="731"/>
      <c r="CF337" s="731"/>
    </row>
    <row r="338" spans="59:84" ht="15.75" customHeight="1">
      <c r="BG338" s="762"/>
      <c r="BW338" s="790"/>
      <c r="BX338" s="790"/>
      <c r="BY338" s="792"/>
      <c r="BZ338" s="731"/>
      <c r="CA338" s="731"/>
      <c r="CB338" s="731"/>
      <c r="CC338" s="731"/>
      <c r="CD338" s="731"/>
      <c r="CE338" s="731"/>
      <c r="CF338" s="731"/>
    </row>
    <row r="339" spans="59:84" ht="15.75" customHeight="1">
      <c r="BG339" s="762"/>
      <c r="BW339" s="790"/>
      <c r="BX339" s="790"/>
      <c r="BY339" s="792"/>
      <c r="BZ339" s="731"/>
      <c r="CA339" s="731"/>
      <c r="CB339" s="731"/>
      <c r="CC339" s="731"/>
      <c r="CD339" s="731"/>
      <c r="CE339" s="731"/>
      <c r="CF339" s="731"/>
    </row>
    <row r="340" spans="59:84" ht="15.75" customHeight="1">
      <c r="BG340" s="762"/>
      <c r="BW340" s="790"/>
      <c r="BX340" s="790"/>
      <c r="BY340" s="792"/>
      <c r="BZ340" s="731"/>
      <c r="CA340" s="731"/>
      <c r="CB340" s="731"/>
      <c r="CC340" s="731"/>
      <c r="CD340" s="731"/>
      <c r="CE340" s="731"/>
      <c r="CF340" s="731"/>
    </row>
    <row r="341" spans="59:84" ht="15.75" customHeight="1">
      <c r="BG341" s="762"/>
      <c r="BW341" s="790"/>
      <c r="BX341" s="790"/>
      <c r="BY341" s="792"/>
      <c r="BZ341" s="731"/>
      <c r="CA341" s="731"/>
      <c r="CB341" s="731"/>
      <c r="CC341" s="731"/>
      <c r="CD341" s="731"/>
      <c r="CE341" s="731"/>
      <c r="CF341" s="731"/>
    </row>
    <row r="342" spans="59:84" ht="15.75" customHeight="1">
      <c r="BG342" s="762"/>
      <c r="BW342" s="790"/>
      <c r="BX342" s="790"/>
      <c r="BY342" s="792"/>
      <c r="BZ342" s="731"/>
      <c r="CA342" s="731"/>
      <c r="CB342" s="731"/>
      <c r="CC342" s="731"/>
      <c r="CD342" s="731"/>
      <c r="CE342" s="731"/>
      <c r="CF342" s="731"/>
    </row>
    <row r="343" spans="59:84" ht="15.75" customHeight="1">
      <c r="BG343" s="762"/>
      <c r="BW343" s="790"/>
      <c r="BX343" s="790"/>
      <c r="BY343" s="792"/>
      <c r="BZ343" s="731"/>
      <c r="CA343" s="731"/>
      <c r="CB343" s="731"/>
      <c r="CC343" s="731"/>
      <c r="CD343" s="731"/>
      <c r="CE343" s="731"/>
      <c r="CF343" s="731"/>
    </row>
    <row r="344" spans="59:84" ht="15.75" customHeight="1">
      <c r="BG344" s="762"/>
      <c r="BW344" s="790"/>
      <c r="BX344" s="790"/>
      <c r="BY344" s="792"/>
      <c r="BZ344" s="731"/>
      <c r="CA344" s="731"/>
      <c r="CB344" s="731"/>
      <c r="CC344" s="731"/>
      <c r="CD344" s="731"/>
      <c r="CE344" s="731"/>
      <c r="CF344" s="731"/>
    </row>
    <row r="345" spans="59:84" ht="15.75" customHeight="1">
      <c r="BG345" s="762"/>
      <c r="BW345" s="790"/>
      <c r="BX345" s="790"/>
      <c r="BY345" s="792"/>
      <c r="BZ345" s="731"/>
      <c r="CA345" s="731"/>
      <c r="CB345" s="731"/>
      <c r="CC345" s="731"/>
      <c r="CD345" s="731"/>
      <c r="CE345" s="731"/>
      <c r="CF345" s="731"/>
    </row>
    <row r="346" spans="59:84" ht="15.75" customHeight="1">
      <c r="BG346" s="762"/>
      <c r="BW346" s="790"/>
      <c r="BX346" s="790"/>
      <c r="BY346" s="792"/>
      <c r="BZ346" s="731"/>
      <c r="CA346" s="731"/>
      <c r="CB346" s="731"/>
      <c r="CC346" s="731"/>
      <c r="CD346" s="731"/>
      <c r="CE346" s="731"/>
      <c r="CF346" s="731"/>
    </row>
    <row r="347" spans="59:84" ht="15.75" customHeight="1">
      <c r="BG347" s="762"/>
      <c r="BW347" s="790"/>
      <c r="BX347" s="790"/>
      <c r="BY347" s="792"/>
      <c r="BZ347" s="731"/>
      <c r="CA347" s="731"/>
      <c r="CB347" s="731"/>
      <c r="CC347" s="731"/>
      <c r="CD347" s="731"/>
      <c r="CE347" s="731"/>
      <c r="CF347" s="731"/>
    </row>
    <row r="348" spans="59:84" ht="15.75" customHeight="1">
      <c r="BG348" s="762"/>
      <c r="BW348" s="790"/>
      <c r="BX348" s="790"/>
      <c r="BY348" s="792"/>
      <c r="BZ348" s="731"/>
      <c r="CA348" s="731"/>
      <c r="CB348" s="731"/>
      <c r="CC348" s="731"/>
      <c r="CD348" s="731"/>
      <c r="CE348" s="731"/>
      <c r="CF348" s="731"/>
    </row>
    <row r="349" spans="59:84" ht="15.75" customHeight="1">
      <c r="BG349" s="762"/>
      <c r="BW349" s="790"/>
      <c r="BX349" s="790"/>
      <c r="BY349" s="792"/>
      <c r="BZ349" s="731"/>
      <c r="CA349" s="731"/>
      <c r="CB349" s="731"/>
      <c r="CC349" s="731"/>
      <c r="CD349" s="731"/>
      <c r="CE349" s="731"/>
      <c r="CF349" s="731"/>
    </row>
    <row r="350" spans="59:84" ht="15.75" customHeight="1">
      <c r="BG350" s="762"/>
      <c r="BW350" s="790"/>
      <c r="BX350" s="790"/>
      <c r="BY350" s="792"/>
      <c r="BZ350" s="731"/>
      <c r="CA350" s="731"/>
      <c r="CB350" s="731"/>
      <c r="CC350" s="731"/>
      <c r="CD350" s="731"/>
      <c r="CE350" s="731"/>
      <c r="CF350" s="731"/>
    </row>
    <row r="351" spans="59:84" ht="15.75" customHeight="1">
      <c r="BG351" s="762"/>
      <c r="BW351" s="790"/>
      <c r="BX351" s="790"/>
      <c r="BY351" s="792"/>
      <c r="BZ351" s="731"/>
      <c r="CA351" s="731"/>
      <c r="CB351" s="731"/>
      <c r="CC351" s="731"/>
      <c r="CD351" s="731"/>
      <c r="CE351" s="731"/>
      <c r="CF351" s="731"/>
    </row>
    <row r="352" spans="59:84" ht="15.75" customHeight="1">
      <c r="BG352" s="762"/>
      <c r="BW352" s="790"/>
      <c r="BX352" s="790"/>
      <c r="BY352" s="792"/>
      <c r="BZ352" s="731"/>
      <c r="CA352" s="731"/>
      <c r="CB352" s="731"/>
      <c r="CC352" s="731"/>
      <c r="CD352" s="731"/>
      <c r="CE352" s="731"/>
      <c r="CF352" s="731"/>
    </row>
    <row r="353" spans="59:84" ht="15.75" customHeight="1">
      <c r="BG353" s="762"/>
      <c r="BW353" s="790"/>
      <c r="BX353" s="790"/>
      <c r="BY353" s="792"/>
      <c r="BZ353" s="731"/>
      <c r="CA353" s="731"/>
      <c r="CB353" s="731"/>
      <c r="CC353" s="731"/>
      <c r="CD353" s="731"/>
      <c r="CE353" s="731"/>
      <c r="CF353" s="731"/>
    </row>
    <row r="354" spans="59:84" ht="15.75" customHeight="1">
      <c r="BG354" s="762"/>
      <c r="BW354" s="790"/>
      <c r="BX354" s="790"/>
      <c r="BY354" s="792"/>
      <c r="BZ354" s="731"/>
      <c r="CA354" s="731"/>
      <c r="CB354" s="731"/>
      <c r="CC354" s="731"/>
      <c r="CD354" s="731"/>
      <c r="CE354" s="731"/>
      <c r="CF354" s="731"/>
    </row>
    <row r="355" spans="59:84" ht="15.75" customHeight="1">
      <c r="BG355" s="762"/>
      <c r="BW355" s="790"/>
      <c r="BX355" s="790"/>
      <c r="BY355" s="792"/>
      <c r="BZ355" s="731"/>
      <c r="CA355" s="731"/>
      <c r="CB355" s="731"/>
      <c r="CC355" s="731"/>
      <c r="CD355" s="731"/>
      <c r="CE355" s="731"/>
      <c r="CF355" s="731"/>
    </row>
    <row r="356" spans="59:84" ht="15.75" customHeight="1">
      <c r="BG356" s="762"/>
      <c r="BW356" s="790"/>
      <c r="BX356" s="790"/>
      <c r="BY356" s="792"/>
      <c r="BZ356" s="731"/>
      <c r="CA356" s="731"/>
      <c r="CB356" s="731"/>
      <c r="CC356" s="731"/>
      <c r="CD356" s="731"/>
      <c r="CE356" s="731"/>
      <c r="CF356" s="731"/>
    </row>
    <row r="357" spans="59:84" ht="15.75" customHeight="1">
      <c r="BG357" s="762"/>
      <c r="BW357" s="790"/>
      <c r="BX357" s="790"/>
      <c r="BY357" s="792"/>
      <c r="BZ357" s="731"/>
      <c r="CA357" s="731"/>
      <c r="CB357" s="731"/>
      <c r="CC357" s="731"/>
      <c r="CD357" s="731"/>
      <c r="CE357" s="731"/>
      <c r="CF357" s="731"/>
    </row>
    <row r="358" spans="59:84" ht="15.75" customHeight="1">
      <c r="BG358" s="762"/>
      <c r="BW358" s="790"/>
      <c r="BX358" s="790"/>
      <c r="BY358" s="792"/>
      <c r="BZ358" s="731"/>
      <c r="CA358" s="731"/>
      <c r="CB358" s="731"/>
      <c r="CC358" s="731"/>
      <c r="CD358" s="731"/>
      <c r="CE358" s="731"/>
      <c r="CF358" s="731"/>
    </row>
    <row r="359" spans="59:84" ht="15.75" customHeight="1">
      <c r="BG359" s="762"/>
      <c r="BW359" s="790"/>
      <c r="BX359" s="790"/>
      <c r="BY359" s="792"/>
      <c r="BZ359" s="731"/>
      <c r="CA359" s="731"/>
      <c r="CB359" s="731"/>
      <c r="CC359" s="731"/>
      <c r="CD359" s="731"/>
      <c r="CE359" s="731"/>
      <c r="CF359" s="731"/>
    </row>
    <row r="360" spans="59:84" ht="15.75" customHeight="1">
      <c r="BG360" s="762"/>
      <c r="BW360" s="790"/>
      <c r="BX360" s="790"/>
      <c r="BY360" s="792"/>
      <c r="BZ360" s="731"/>
      <c r="CA360" s="731"/>
      <c r="CB360" s="731"/>
      <c r="CC360" s="731"/>
      <c r="CD360" s="731"/>
      <c r="CE360" s="731"/>
      <c r="CF360" s="731"/>
    </row>
    <row r="361" spans="59:84" ht="15.75" customHeight="1">
      <c r="BG361" s="762"/>
      <c r="BW361" s="790"/>
      <c r="BX361" s="790"/>
      <c r="BY361" s="792"/>
      <c r="BZ361" s="731"/>
      <c r="CA361" s="731"/>
      <c r="CB361" s="731"/>
      <c r="CC361" s="731"/>
      <c r="CD361" s="731"/>
      <c r="CE361" s="731"/>
      <c r="CF361" s="731"/>
    </row>
    <row r="362" spans="59:84" ht="15.75" customHeight="1">
      <c r="BG362" s="762"/>
      <c r="BW362" s="790"/>
      <c r="BX362" s="790"/>
      <c r="BY362" s="792"/>
      <c r="BZ362" s="731"/>
      <c r="CA362" s="731"/>
      <c r="CB362" s="731"/>
      <c r="CC362" s="731"/>
      <c r="CD362" s="731"/>
      <c r="CE362" s="731"/>
      <c r="CF362" s="731"/>
    </row>
    <row r="363" spans="59:84" ht="15.75" customHeight="1">
      <c r="BG363" s="762"/>
      <c r="BW363" s="790"/>
      <c r="BX363" s="790"/>
      <c r="BY363" s="792"/>
      <c r="BZ363" s="731"/>
      <c r="CA363" s="731"/>
      <c r="CB363" s="731"/>
      <c r="CC363" s="731"/>
      <c r="CD363" s="731"/>
      <c r="CE363" s="731"/>
      <c r="CF363" s="731"/>
    </row>
    <row r="364" spans="59:84" ht="15.75" customHeight="1">
      <c r="BG364" s="762"/>
      <c r="BW364" s="790"/>
      <c r="BX364" s="790"/>
      <c r="BY364" s="792"/>
      <c r="BZ364" s="731"/>
      <c r="CA364" s="731"/>
      <c r="CB364" s="731"/>
      <c r="CC364" s="731"/>
      <c r="CD364" s="731"/>
      <c r="CE364" s="731"/>
      <c r="CF364" s="731"/>
    </row>
    <row r="365" spans="59:84" ht="15.75" customHeight="1">
      <c r="BG365" s="762"/>
      <c r="BW365" s="790"/>
      <c r="BX365" s="790"/>
      <c r="BY365" s="792"/>
      <c r="BZ365" s="731"/>
      <c r="CA365" s="731"/>
      <c r="CB365" s="731"/>
      <c r="CC365" s="731"/>
      <c r="CD365" s="731"/>
      <c r="CE365" s="731"/>
      <c r="CF365" s="731"/>
    </row>
    <row r="366" spans="59:84" ht="15.75" customHeight="1">
      <c r="BG366" s="762"/>
      <c r="BW366" s="790"/>
      <c r="BX366" s="790"/>
      <c r="BY366" s="792"/>
      <c r="BZ366" s="731"/>
      <c r="CA366" s="731"/>
      <c r="CB366" s="731"/>
      <c r="CC366" s="731"/>
      <c r="CD366" s="731"/>
      <c r="CE366" s="731"/>
      <c r="CF366" s="731"/>
    </row>
    <row r="367" spans="59:84" ht="15.75" customHeight="1">
      <c r="BG367" s="762"/>
      <c r="BW367" s="790"/>
      <c r="BX367" s="790"/>
      <c r="BY367" s="792"/>
      <c r="BZ367" s="731"/>
      <c r="CA367" s="731"/>
      <c r="CB367" s="731"/>
      <c r="CC367" s="731"/>
      <c r="CD367" s="731"/>
      <c r="CE367" s="731"/>
      <c r="CF367" s="731"/>
    </row>
    <row r="368" spans="59:84" ht="15.75" customHeight="1">
      <c r="BG368" s="762"/>
      <c r="BW368" s="790"/>
      <c r="BX368" s="790"/>
      <c r="BY368" s="792"/>
      <c r="BZ368" s="731"/>
      <c r="CA368" s="731"/>
      <c r="CB368" s="731"/>
      <c r="CC368" s="731"/>
      <c r="CD368" s="731"/>
      <c r="CE368" s="731"/>
      <c r="CF368" s="731"/>
    </row>
    <row r="369" spans="59:84" ht="15.75" customHeight="1">
      <c r="BG369" s="762"/>
      <c r="BW369" s="790"/>
      <c r="BX369" s="790"/>
      <c r="BY369" s="792"/>
      <c r="BZ369" s="731"/>
      <c r="CA369" s="731"/>
      <c r="CB369" s="731"/>
      <c r="CC369" s="731"/>
      <c r="CD369" s="731"/>
      <c r="CE369" s="731"/>
      <c r="CF369" s="731"/>
    </row>
    <row r="370" spans="59:84" ht="15.75" customHeight="1">
      <c r="BG370" s="762"/>
      <c r="BW370" s="790"/>
      <c r="BX370" s="790"/>
      <c r="BY370" s="792"/>
      <c r="BZ370" s="731"/>
      <c r="CA370" s="731"/>
      <c r="CB370" s="731"/>
      <c r="CC370" s="731"/>
      <c r="CD370" s="731"/>
      <c r="CE370" s="731"/>
      <c r="CF370" s="731"/>
    </row>
    <row r="371" spans="59:84" ht="15.75" customHeight="1">
      <c r="BG371" s="762"/>
      <c r="BW371" s="790"/>
      <c r="BX371" s="790"/>
      <c r="BY371" s="792"/>
      <c r="BZ371" s="731"/>
      <c r="CA371" s="731"/>
      <c r="CB371" s="731"/>
      <c r="CC371" s="731"/>
      <c r="CD371" s="731"/>
      <c r="CE371" s="731"/>
      <c r="CF371" s="731"/>
    </row>
    <row r="372" spans="59:84" ht="15.75" customHeight="1">
      <c r="BG372" s="762"/>
      <c r="BW372" s="790"/>
      <c r="BX372" s="790"/>
      <c r="BY372" s="792"/>
      <c r="BZ372" s="731"/>
      <c r="CA372" s="731"/>
      <c r="CB372" s="731"/>
      <c r="CC372" s="731"/>
      <c r="CD372" s="731"/>
      <c r="CE372" s="731"/>
      <c r="CF372" s="731"/>
    </row>
    <row r="373" spans="59:84" ht="15.75" customHeight="1">
      <c r="BG373" s="762"/>
      <c r="BW373" s="790"/>
      <c r="BX373" s="790"/>
      <c r="BY373" s="792"/>
      <c r="BZ373" s="731"/>
      <c r="CA373" s="731"/>
      <c r="CB373" s="731"/>
      <c r="CC373" s="731"/>
      <c r="CD373" s="731"/>
      <c r="CE373" s="731"/>
      <c r="CF373" s="731"/>
    </row>
    <row r="374" spans="59:84" ht="15.75" customHeight="1">
      <c r="BG374" s="762"/>
      <c r="BW374" s="790"/>
      <c r="BX374" s="790"/>
      <c r="BY374" s="792"/>
      <c r="BZ374" s="731"/>
      <c r="CA374" s="731"/>
      <c r="CB374" s="731"/>
      <c r="CC374" s="731"/>
      <c r="CD374" s="731"/>
      <c r="CE374" s="731"/>
      <c r="CF374" s="731"/>
    </row>
    <row r="375" spans="59:84" ht="15.75" customHeight="1">
      <c r="BG375" s="762"/>
      <c r="BW375" s="790"/>
      <c r="BX375" s="790"/>
      <c r="BY375" s="792"/>
      <c r="BZ375" s="731"/>
      <c r="CA375" s="731"/>
      <c r="CB375" s="731"/>
      <c r="CC375" s="731"/>
      <c r="CD375" s="731"/>
      <c r="CE375" s="731"/>
      <c r="CF375" s="731"/>
    </row>
    <row r="376" spans="59:84" ht="15.75" customHeight="1">
      <c r="BG376" s="762"/>
      <c r="BW376" s="790"/>
      <c r="BX376" s="790"/>
      <c r="BY376" s="792"/>
      <c r="BZ376" s="731"/>
      <c r="CA376" s="731"/>
      <c r="CB376" s="731"/>
      <c r="CC376" s="731"/>
      <c r="CD376" s="731"/>
      <c r="CE376" s="731"/>
      <c r="CF376" s="731"/>
    </row>
    <row r="377" spans="59:84" ht="15.75" customHeight="1">
      <c r="BG377" s="762"/>
      <c r="BW377" s="790"/>
      <c r="BX377" s="790"/>
      <c r="BY377" s="792"/>
      <c r="BZ377" s="731"/>
      <c r="CA377" s="731"/>
      <c r="CB377" s="731"/>
      <c r="CC377" s="731"/>
      <c r="CD377" s="731"/>
      <c r="CE377" s="731"/>
      <c r="CF377" s="731"/>
    </row>
    <row r="378" spans="59:84" ht="15.75" customHeight="1">
      <c r="BG378" s="762"/>
      <c r="BW378" s="790"/>
      <c r="BX378" s="790"/>
      <c r="BY378" s="792"/>
      <c r="BZ378" s="731"/>
      <c r="CA378" s="731"/>
      <c r="CB378" s="731"/>
      <c r="CC378" s="731"/>
      <c r="CD378" s="731"/>
      <c r="CE378" s="731"/>
      <c r="CF378" s="731"/>
    </row>
    <row r="379" spans="59:84" ht="15.75" customHeight="1">
      <c r="BG379" s="762"/>
      <c r="BW379" s="790"/>
      <c r="BX379" s="790"/>
      <c r="BY379" s="792"/>
      <c r="BZ379" s="731"/>
      <c r="CA379" s="731"/>
      <c r="CB379" s="731"/>
      <c r="CC379" s="731"/>
      <c r="CD379" s="731"/>
      <c r="CE379" s="731"/>
      <c r="CF379" s="731"/>
    </row>
    <row r="380" spans="59:84" ht="15.75" customHeight="1">
      <c r="BG380" s="762"/>
      <c r="BW380" s="790"/>
      <c r="BX380" s="790"/>
      <c r="BY380" s="792"/>
      <c r="BZ380" s="731"/>
      <c r="CA380" s="731"/>
      <c r="CB380" s="731"/>
      <c r="CC380" s="731"/>
      <c r="CD380" s="731"/>
      <c r="CE380" s="731"/>
      <c r="CF380" s="731"/>
    </row>
    <row r="381" spans="59:84" ht="15.75" customHeight="1">
      <c r="BG381" s="762"/>
      <c r="BW381" s="790"/>
      <c r="BX381" s="790"/>
      <c r="BY381" s="792"/>
      <c r="BZ381" s="731"/>
      <c r="CA381" s="731"/>
      <c r="CB381" s="731"/>
      <c r="CC381" s="731"/>
      <c r="CD381" s="731"/>
      <c r="CE381" s="731"/>
      <c r="CF381" s="731"/>
    </row>
    <row r="382" spans="59:84" ht="15.75" customHeight="1">
      <c r="BG382" s="762"/>
      <c r="BW382" s="790"/>
      <c r="BX382" s="790"/>
      <c r="BY382" s="792"/>
      <c r="BZ382" s="731"/>
      <c r="CA382" s="731"/>
      <c r="CB382" s="731"/>
      <c r="CC382" s="731"/>
      <c r="CD382" s="731"/>
      <c r="CE382" s="731"/>
      <c r="CF382" s="731"/>
    </row>
    <row r="383" spans="59:84" ht="15.75" customHeight="1">
      <c r="BG383" s="762"/>
      <c r="BW383" s="790"/>
      <c r="BX383" s="790"/>
      <c r="BY383" s="792"/>
      <c r="BZ383" s="731"/>
      <c r="CA383" s="731"/>
      <c r="CB383" s="731"/>
      <c r="CC383" s="731"/>
      <c r="CD383" s="731"/>
      <c r="CE383" s="731"/>
      <c r="CF383" s="731"/>
    </row>
    <row r="384" spans="59:84" ht="15.75" customHeight="1">
      <c r="BG384" s="762"/>
      <c r="BW384" s="790"/>
      <c r="BX384" s="790"/>
      <c r="BY384" s="792"/>
      <c r="BZ384" s="731"/>
      <c r="CA384" s="731"/>
      <c r="CB384" s="731"/>
      <c r="CC384" s="731"/>
      <c r="CD384" s="731"/>
      <c r="CE384" s="731"/>
      <c r="CF384" s="731"/>
    </row>
    <row r="385" spans="59:84" ht="15.75" customHeight="1">
      <c r="BG385" s="762"/>
      <c r="BW385" s="790"/>
      <c r="BX385" s="790"/>
      <c r="BY385" s="792"/>
      <c r="BZ385" s="731"/>
      <c r="CA385" s="731"/>
      <c r="CB385" s="731"/>
      <c r="CC385" s="731"/>
      <c r="CD385" s="731"/>
      <c r="CE385" s="731"/>
      <c r="CF385" s="731"/>
    </row>
    <row r="386" spans="59:84" ht="15.75" customHeight="1">
      <c r="BG386" s="762"/>
      <c r="BW386" s="790"/>
      <c r="BX386" s="790"/>
      <c r="BY386" s="792"/>
      <c r="BZ386" s="731"/>
      <c r="CA386" s="731"/>
      <c r="CB386" s="731"/>
      <c r="CC386" s="731"/>
      <c r="CD386" s="731"/>
      <c r="CE386" s="731"/>
      <c r="CF386" s="731"/>
    </row>
    <row r="387" spans="59:84" ht="15.75" customHeight="1">
      <c r="BG387" s="762"/>
      <c r="BW387" s="790"/>
      <c r="BX387" s="790"/>
      <c r="BY387" s="792"/>
      <c r="BZ387" s="731"/>
      <c r="CA387" s="731"/>
      <c r="CB387" s="731"/>
      <c r="CC387" s="731"/>
      <c r="CD387" s="731"/>
      <c r="CE387" s="731"/>
      <c r="CF387" s="731"/>
    </row>
    <row r="388" spans="59:84" ht="15.75" customHeight="1">
      <c r="BG388" s="762"/>
      <c r="BW388" s="790"/>
      <c r="BX388" s="790"/>
      <c r="BY388" s="792"/>
      <c r="BZ388" s="731"/>
      <c r="CA388" s="731"/>
      <c r="CB388" s="731"/>
      <c r="CC388" s="731"/>
      <c r="CD388" s="731"/>
      <c r="CE388" s="731"/>
      <c r="CF388" s="731"/>
    </row>
    <row r="389" spans="59:84" ht="15.75" customHeight="1">
      <c r="BG389" s="762"/>
      <c r="BW389" s="790"/>
      <c r="BX389" s="790"/>
      <c r="BY389" s="792"/>
      <c r="BZ389" s="731"/>
      <c r="CA389" s="731"/>
      <c r="CB389" s="731"/>
      <c r="CC389" s="731"/>
      <c r="CD389" s="731"/>
      <c r="CE389" s="731"/>
      <c r="CF389" s="731"/>
    </row>
    <row r="390" spans="59:84" ht="15.75" customHeight="1">
      <c r="BG390" s="762"/>
      <c r="BW390" s="790"/>
      <c r="BX390" s="790"/>
      <c r="BY390" s="792"/>
      <c r="BZ390" s="731"/>
      <c r="CA390" s="731"/>
      <c r="CB390" s="731"/>
      <c r="CC390" s="731"/>
      <c r="CD390" s="731"/>
      <c r="CE390" s="731"/>
      <c r="CF390" s="731"/>
    </row>
    <row r="391" spans="59:84" ht="15.75" customHeight="1">
      <c r="BG391" s="762"/>
      <c r="BW391" s="790"/>
      <c r="BX391" s="790"/>
      <c r="BY391" s="792"/>
      <c r="BZ391" s="731"/>
      <c r="CA391" s="731"/>
      <c r="CB391" s="731"/>
      <c r="CC391" s="731"/>
      <c r="CD391" s="731"/>
      <c r="CE391" s="731"/>
      <c r="CF391" s="731"/>
    </row>
    <row r="392" spans="59:84" ht="15.75" customHeight="1">
      <c r="BG392" s="762"/>
      <c r="BW392" s="790"/>
      <c r="BX392" s="790"/>
      <c r="BY392" s="792"/>
      <c r="BZ392" s="731"/>
      <c r="CA392" s="731"/>
      <c r="CB392" s="731"/>
      <c r="CC392" s="731"/>
      <c r="CD392" s="731"/>
      <c r="CE392" s="731"/>
      <c r="CF392" s="731"/>
    </row>
    <row r="393" spans="59:84" ht="15.75" customHeight="1">
      <c r="BG393" s="762"/>
      <c r="BW393" s="790"/>
      <c r="BX393" s="790"/>
      <c r="BY393" s="792"/>
      <c r="BZ393" s="731"/>
      <c r="CA393" s="731"/>
      <c r="CB393" s="731"/>
      <c r="CC393" s="731"/>
      <c r="CD393" s="731"/>
      <c r="CE393" s="731"/>
      <c r="CF393" s="731"/>
    </row>
    <row r="394" spans="59:84" ht="15.75" customHeight="1">
      <c r="BG394" s="762"/>
      <c r="BW394" s="790"/>
      <c r="BX394" s="790"/>
      <c r="BY394" s="792"/>
      <c r="BZ394" s="731"/>
      <c r="CA394" s="731"/>
      <c r="CB394" s="731"/>
      <c r="CC394" s="731"/>
      <c r="CD394" s="731"/>
      <c r="CE394" s="731"/>
      <c r="CF394" s="731"/>
    </row>
    <row r="395" spans="59:84" ht="15.75" customHeight="1">
      <c r="BG395" s="762"/>
      <c r="BW395" s="790"/>
      <c r="BX395" s="790"/>
      <c r="BY395" s="792"/>
      <c r="BZ395" s="731"/>
      <c r="CA395" s="731"/>
      <c r="CB395" s="731"/>
      <c r="CC395" s="731"/>
      <c r="CD395" s="731"/>
      <c r="CE395" s="731"/>
      <c r="CF395" s="731"/>
    </row>
    <row r="396" spans="59:84" ht="15.75" customHeight="1">
      <c r="BG396" s="762"/>
      <c r="BW396" s="790"/>
      <c r="BX396" s="790"/>
      <c r="BY396" s="792"/>
      <c r="BZ396" s="731"/>
      <c r="CA396" s="731"/>
      <c r="CB396" s="731"/>
      <c r="CC396" s="731"/>
      <c r="CD396" s="731"/>
      <c r="CE396" s="731"/>
      <c r="CF396" s="731"/>
    </row>
    <row r="397" spans="59:84" ht="15.75" customHeight="1">
      <c r="BG397" s="762"/>
      <c r="BW397" s="790"/>
      <c r="BX397" s="790"/>
      <c r="BY397" s="792"/>
      <c r="BZ397" s="731"/>
      <c r="CA397" s="731"/>
      <c r="CB397" s="731"/>
      <c r="CC397" s="731"/>
      <c r="CD397" s="731"/>
      <c r="CE397" s="731"/>
      <c r="CF397" s="731"/>
    </row>
    <row r="398" spans="59:84" ht="15.75" customHeight="1">
      <c r="BG398" s="762"/>
      <c r="BW398" s="790"/>
      <c r="BX398" s="790"/>
      <c r="BY398" s="792"/>
      <c r="BZ398" s="731"/>
      <c r="CA398" s="731"/>
      <c r="CB398" s="731"/>
      <c r="CC398" s="731"/>
      <c r="CD398" s="731"/>
      <c r="CE398" s="731"/>
      <c r="CF398" s="731"/>
    </row>
    <row r="399" spans="59:84" ht="15.75" customHeight="1">
      <c r="BG399" s="762"/>
      <c r="BW399" s="790"/>
      <c r="BX399" s="790"/>
      <c r="BY399" s="792"/>
      <c r="BZ399" s="731"/>
      <c r="CA399" s="731"/>
      <c r="CB399" s="731"/>
      <c r="CC399" s="731"/>
      <c r="CD399" s="731"/>
      <c r="CE399" s="731"/>
      <c r="CF399" s="731"/>
    </row>
    <row r="400" spans="59:84" ht="15.75" customHeight="1">
      <c r="BG400" s="762"/>
      <c r="BW400" s="790"/>
      <c r="BX400" s="790"/>
      <c r="BY400" s="792"/>
      <c r="BZ400" s="731"/>
      <c r="CA400" s="731"/>
      <c r="CB400" s="731"/>
      <c r="CC400" s="731"/>
      <c r="CD400" s="731"/>
      <c r="CE400" s="731"/>
      <c r="CF400" s="731"/>
    </row>
    <row r="401" spans="59:84" ht="15.75" customHeight="1">
      <c r="BG401" s="762"/>
      <c r="BW401" s="790"/>
      <c r="BX401" s="790"/>
      <c r="BY401" s="792"/>
      <c r="BZ401" s="731"/>
      <c r="CA401" s="731"/>
      <c r="CB401" s="731"/>
      <c r="CC401" s="731"/>
      <c r="CD401" s="731"/>
      <c r="CE401" s="731"/>
      <c r="CF401" s="731"/>
    </row>
    <row r="402" spans="59:84" ht="15.75" customHeight="1">
      <c r="BG402" s="762"/>
      <c r="BW402" s="790"/>
      <c r="BX402" s="790"/>
      <c r="BY402" s="792"/>
      <c r="BZ402" s="731"/>
      <c r="CA402" s="731"/>
      <c r="CB402" s="731"/>
      <c r="CC402" s="731"/>
      <c r="CD402" s="731"/>
      <c r="CE402" s="731"/>
      <c r="CF402" s="731"/>
    </row>
    <row r="403" spans="59:84" ht="15.75" customHeight="1">
      <c r="BG403" s="762"/>
      <c r="BW403" s="790"/>
      <c r="BX403" s="790"/>
      <c r="BY403" s="792"/>
      <c r="BZ403" s="731"/>
      <c r="CA403" s="731"/>
      <c r="CB403" s="731"/>
      <c r="CC403" s="731"/>
      <c r="CD403" s="731"/>
      <c r="CE403" s="731"/>
      <c r="CF403" s="731"/>
    </row>
    <row r="404" spans="59:84" ht="15.75" customHeight="1">
      <c r="BG404" s="762"/>
      <c r="BW404" s="790"/>
      <c r="BX404" s="790"/>
      <c r="BY404" s="792"/>
      <c r="BZ404" s="731"/>
      <c r="CA404" s="731"/>
      <c r="CB404" s="731"/>
      <c r="CC404" s="731"/>
      <c r="CD404" s="731"/>
      <c r="CE404" s="731"/>
      <c r="CF404" s="731"/>
    </row>
    <row r="405" spans="59:84" ht="15.75" customHeight="1">
      <c r="BG405" s="762"/>
      <c r="BW405" s="790"/>
      <c r="BX405" s="790"/>
      <c r="BY405" s="792"/>
      <c r="BZ405" s="731"/>
      <c r="CA405" s="731"/>
      <c r="CB405" s="731"/>
      <c r="CC405" s="731"/>
      <c r="CD405" s="731"/>
      <c r="CE405" s="731"/>
      <c r="CF405" s="731"/>
    </row>
    <row r="406" spans="59:84" ht="15.75" customHeight="1">
      <c r="BG406" s="762"/>
      <c r="BW406" s="790"/>
      <c r="BX406" s="790"/>
      <c r="BY406" s="792"/>
      <c r="BZ406" s="731"/>
      <c r="CA406" s="731"/>
      <c r="CB406" s="731"/>
      <c r="CC406" s="731"/>
      <c r="CD406" s="731"/>
      <c r="CE406" s="731"/>
      <c r="CF406" s="731"/>
    </row>
    <row r="407" spans="59:84" ht="15.75" customHeight="1">
      <c r="BG407" s="762"/>
      <c r="BW407" s="790"/>
      <c r="BX407" s="790"/>
      <c r="BY407" s="792"/>
      <c r="BZ407" s="731"/>
      <c r="CA407" s="731"/>
      <c r="CB407" s="731"/>
      <c r="CC407" s="731"/>
      <c r="CD407" s="731"/>
      <c r="CE407" s="731"/>
      <c r="CF407" s="731"/>
    </row>
    <row r="408" spans="59:84" ht="15.75" customHeight="1">
      <c r="BG408" s="762"/>
      <c r="BW408" s="790"/>
      <c r="BX408" s="790"/>
      <c r="BY408" s="792"/>
      <c r="BZ408" s="731"/>
      <c r="CA408" s="731"/>
      <c r="CB408" s="731"/>
      <c r="CC408" s="731"/>
      <c r="CD408" s="731"/>
      <c r="CE408" s="731"/>
      <c r="CF408" s="731"/>
    </row>
    <row r="409" spans="59:84" ht="15.75" customHeight="1">
      <c r="BG409" s="762"/>
      <c r="BW409" s="790"/>
      <c r="BX409" s="790"/>
      <c r="BY409" s="792"/>
      <c r="BZ409" s="731"/>
      <c r="CA409" s="731"/>
      <c r="CB409" s="731"/>
      <c r="CC409" s="731"/>
      <c r="CD409" s="731"/>
      <c r="CE409" s="731"/>
      <c r="CF409" s="731"/>
    </row>
    <row r="410" spans="59:84" ht="15.75" customHeight="1">
      <c r="BG410" s="762"/>
      <c r="BW410" s="790"/>
      <c r="BX410" s="790"/>
      <c r="BY410" s="792"/>
      <c r="BZ410" s="731"/>
      <c r="CA410" s="731"/>
      <c r="CB410" s="731"/>
      <c r="CC410" s="731"/>
      <c r="CD410" s="731"/>
      <c r="CE410" s="731"/>
      <c r="CF410" s="731"/>
    </row>
    <row r="411" spans="59:84" ht="15.75" customHeight="1">
      <c r="BG411" s="762"/>
      <c r="BW411" s="790"/>
      <c r="BX411" s="790"/>
      <c r="BY411" s="792"/>
      <c r="BZ411" s="731"/>
      <c r="CA411" s="731"/>
      <c r="CB411" s="731"/>
      <c r="CC411" s="731"/>
      <c r="CD411" s="731"/>
      <c r="CE411" s="731"/>
      <c r="CF411" s="731"/>
    </row>
    <row r="412" spans="59:84" ht="15.75" customHeight="1">
      <c r="BG412" s="762"/>
      <c r="BW412" s="790"/>
      <c r="BX412" s="790"/>
      <c r="BY412" s="792"/>
      <c r="BZ412" s="731"/>
      <c r="CA412" s="731"/>
      <c r="CB412" s="731"/>
      <c r="CC412" s="731"/>
      <c r="CD412" s="731"/>
      <c r="CE412" s="731"/>
      <c r="CF412" s="731"/>
    </row>
    <row r="413" spans="59:84" ht="15.75" customHeight="1">
      <c r="BG413" s="762"/>
      <c r="BW413" s="790"/>
      <c r="BX413" s="790"/>
      <c r="BY413" s="792"/>
      <c r="BZ413" s="731"/>
      <c r="CA413" s="731"/>
      <c r="CB413" s="731"/>
      <c r="CC413" s="731"/>
      <c r="CD413" s="731"/>
      <c r="CE413" s="731"/>
      <c r="CF413" s="731"/>
    </row>
    <row r="414" spans="59:84" ht="15.75" customHeight="1">
      <c r="BG414" s="762"/>
      <c r="BW414" s="790"/>
      <c r="BX414" s="790"/>
      <c r="BY414" s="792"/>
      <c r="BZ414" s="731"/>
      <c r="CA414" s="731"/>
      <c r="CB414" s="731"/>
      <c r="CC414" s="731"/>
      <c r="CD414" s="731"/>
      <c r="CE414" s="731"/>
      <c r="CF414" s="731"/>
    </row>
    <row r="415" spans="59:84" ht="15.75" customHeight="1">
      <c r="BG415" s="762"/>
      <c r="BW415" s="790"/>
      <c r="BX415" s="790"/>
      <c r="BY415" s="792"/>
      <c r="BZ415" s="731"/>
      <c r="CA415" s="731"/>
      <c r="CB415" s="731"/>
      <c r="CC415" s="731"/>
      <c r="CD415" s="731"/>
      <c r="CE415" s="731"/>
      <c r="CF415" s="731"/>
    </row>
    <row r="416" spans="59:84" ht="15.75" customHeight="1">
      <c r="BG416" s="762"/>
      <c r="BW416" s="790"/>
      <c r="BX416" s="790"/>
      <c r="BY416" s="792"/>
      <c r="BZ416" s="731"/>
      <c r="CA416" s="731"/>
      <c r="CB416" s="731"/>
      <c r="CC416" s="731"/>
      <c r="CD416" s="731"/>
      <c r="CE416" s="731"/>
      <c r="CF416" s="731"/>
    </row>
    <row r="417" spans="59:84" ht="15.75" customHeight="1">
      <c r="BG417" s="762"/>
      <c r="BW417" s="790"/>
      <c r="BX417" s="790"/>
      <c r="BY417" s="792"/>
      <c r="BZ417" s="731"/>
      <c r="CA417" s="731"/>
      <c r="CB417" s="731"/>
      <c r="CC417" s="731"/>
      <c r="CD417" s="731"/>
      <c r="CE417" s="731"/>
      <c r="CF417" s="731"/>
    </row>
    <row r="418" spans="59:84" ht="15.75" customHeight="1">
      <c r="BG418" s="762"/>
      <c r="BW418" s="790"/>
      <c r="BX418" s="790"/>
      <c r="BY418" s="792"/>
      <c r="BZ418" s="731"/>
      <c r="CA418" s="731"/>
      <c r="CB418" s="731"/>
      <c r="CC418" s="731"/>
      <c r="CD418" s="731"/>
      <c r="CE418" s="731"/>
      <c r="CF418" s="731"/>
    </row>
    <row r="419" spans="59:84" ht="15.75" customHeight="1">
      <c r="BG419" s="762"/>
      <c r="BW419" s="790"/>
      <c r="BX419" s="790"/>
      <c r="BY419" s="792"/>
      <c r="BZ419" s="731"/>
      <c r="CA419" s="731"/>
      <c r="CB419" s="731"/>
      <c r="CC419" s="731"/>
      <c r="CD419" s="731"/>
      <c r="CE419" s="731"/>
      <c r="CF419" s="731"/>
    </row>
    <row r="420" spans="59:84" ht="15.75" customHeight="1">
      <c r="BG420" s="762"/>
      <c r="BW420" s="790"/>
      <c r="BX420" s="790"/>
      <c r="BY420" s="792"/>
      <c r="BZ420" s="731"/>
      <c r="CA420" s="731"/>
      <c r="CB420" s="731"/>
      <c r="CC420" s="731"/>
      <c r="CD420" s="731"/>
      <c r="CE420" s="731"/>
      <c r="CF420" s="731"/>
    </row>
    <row r="421" spans="59:84" ht="15.75" customHeight="1">
      <c r="BG421" s="762"/>
      <c r="BW421" s="790"/>
      <c r="BX421" s="790"/>
      <c r="BY421" s="792"/>
      <c r="BZ421" s="731"/>
      <c r="CA421" s="731"/>
      <c r="CB421" s="731"/>
      <c r="CC421" s="731"/>
      <c r="CD421" s="731"/>
      <c r="CE421" s="731"/>
      <c r="CF421" s="731"/>
    </row>
    <row r="422" spans="59:84" ht="15.75" customHeight="1">
      <c r="BG422" s="762"/>
      <c r="BW422" s="790"/>
      <c r="BX422" s="790"/>
      <c r="BY422" s="792"/>
      <c r="BZ422" s="731"/>
      <c r="CA422" s="731"/>
      <c r="CB422" s="731"/>
      <c r="CC422" s="731"/>
      <c r="CD422" s="731"/>
      <c r="CE422" s="731"/>
      <c r="CF422" s="731"/>
    </row>
    <row r="423" spans="59:84" ht="15.75" customHeight="1">
      <c r="BG423" s="762"/>
      <c r="BW423" s="790"/>
      <c r="BX423" s="790"/>
      <c r="BY423" s="792"/>
      <c r="BZ423" s="731"/>
      <c r="CA423" s="731"/>
      <c r="CB423" s="731"/>
      <c r="CC423" s="731"/>
      <c r="CD423" s="731"/>
      <c r="CE423" s="731"/>
      <c r="CF423" s="731"/>
    </row>
    <row r="424" spans="59:84" ht="15.75" customHeight="1">
      <c r="BG424" s="762"/>
      <c r="BW424" s="790"/>
      <c r="BX424" s="790"/>
      <c r="BY424" s="792"/>
      <c r="BZ424" s="731"/>
      <c r="CA424" s="731"/>
      <c r="CB424" s="731"/>
      <c r="CC424" s="731"/>
      <c r="CD424" s="731"/>
      <c r="CE424" s="731"/>
      <c r="CF424" s="731"/>
    </row>
    <row r="425" spans="59:84" ht="15.75" customHeight="1">
      <c r="BG425" s="762"/>
      <c r="BW425" s="790"/>
      <c r="BX425" s="790"/>
      <c r="BY425" s="792"/>
      <c r="BZ425" s="731"/>
      <c r="CA425" s="731"/>
      <c r="CB425" s="731"/>
      <c r="CC425" s="731"/>
      <c r="CD425" s="731"/>
      <c r="CE425" s="731"/>
      <c r="CF425" s="731"/>
    </row>
    <row r="426" spans="59:84" ht="15.75" customHeight="1">
      <c r="BG426" s="762"/>
      <c r="BW426" s="790"/>
      <c r="BX426" s="790"/>
      <c r="BY426" s="792"/>
      <c r="BZ426" s="731"/>
      <c r="CA426" s="731"/>
      <c r="CB426" s="731"/>
      <c r="CC426" s="731"/>
      <c r="CD426" s="731"/>
      <c r="CE426" s="731"/>
      <c r="CF426" s="731"/>
    </row>
    <row r="427" spans="59:84" ht="15.75" customHeight="1">
      <c r="BG427" s="762"/>
      <c r="BW427" s="790"/>
      <c r="BX427" s="790"/>
      <c r="BY427" s="792"/>
      <c r="BZ427" s="731"/>
      <c r="CA427" s="731"/>
      <c r="CB427" s="731"/>
      <c r="CC427" s="731"/>
      <c r="CD427" s="731"/>
      <c r="CE427" s="731"/>
      <c r="CF427" s="731"/>
    </row>
    <row r="428" spans="59:84" ht="15.75" customHeight="1">
      <c r="BG428" s="762"/>
      <c r="BW428" s="790"/>
      <c r="BX428" s="790"/>
      <c r="BY428" s="792"/>
      <c r="BZ428" s="731"/>
      <c r="CA428" s="731"/>
      <c r="CB428" s="731"/>
      <c r="CC428" s="731"/>
      <c r="CD428" s="731"/>
      <c r="CE428" s="731"/>
      <c r="CF428" s="731"/>
    </row>
    <row r="429" spans="59:84" ht="15.75" customHeight="1">
      <c r="BG429" s="762"/>
      <c r="BW429" s="790"/>
      <c r="BX429" s="790"/>
      <c r="BY429" s="792"/>
      <c r="BZ429" s="731"/>
      <c r="CA429" s="731"/>
      <c r="CB429" s="731"/>
      <c r="CC429" s="731"/>
      <c r="CD429" s="731"/>
      <c r="CE429" s="731"/>
      <c r="CF429" s="731"/>
    </row>
    <row r="430" spans="59:84" ht="15.75" customHeight="1">
      <c r="BG430" s="762"/>
      <c r="BW430" s="790"/>
      <c r="BX430" s="790"/>
      <c r="BY430" s="792"/>
      <c r="BZ430" s="731"/>
      <c r="CA430" s="731"/>
      <c r="CB430" s="731"/>
      <c r="CC430" s="731"/>
      <c r="CD430" s="731"/>
      <c r="CE430" s="731"/>
      <c r="CF430" s="731"/>
    </row>
    <row r="431" spans="59:84" ht="15.75" customHeight="1">
      <c r="BG431" s="762"/>
      <c r="BW431" s="790"/>
      <c r="BX431" s="790"/>
      <c r="BY431" s="792"/>
      <c r="BZ431" s="731"/>
      <c r="CA431" s="731"/>
      <c r="CB431" s="731"/>
      <c r="CC431" s="731"/>
      <c r="CD431" s="731"/>
      <c r="CE431" s="731"/>
      <c r="CF431" s="731"/>
    </row>
    <row r="432" spans="59:84" ht="15.75" customHeight="1">
      <c r="BG432" s="762"/>
      <c r="BW432" s="790"/>
      <c r="BX432" s="790"/>
      <c r="BY432" s="792"/>
      <c r="BZ432" s="731"/>
      <c r="CA432" s="731"/>
      <c r="CB432" s="731"/>
      <c r="CC432" s="731"/>
      <c r="CD432" s="731"/>
      <c r="CE432" s="731"/>
      <c r="CF432" s="731"/>
    </row>
    <row r="433" spans="59:84" ht="15.75" customHeight="1">
      <c r="BG433" s="762"/>
      <c r="BW433" s="790"/>
      <c r="BX433" s="790"/>
      <c r="BY433" s="792"/>
      <c r="BZ433" s="731"/>
      <c r="CA433" s="731"/>
      <c r="CB433" s="731"/>
      <c r="CC433" s="731"/>
      <c r="CD433" s="731"/>
      <c r="CE433" s="731"/>
      <c r="CF433" s="731"/>
    </row>
    <row r="434" spans="59:84" ht="15.75" customHeight="1">
      <c r="BG434" s="762"/>
      <c r="BW434" s="790"/>
      <c r="BX434" s="790"/>
      <c r="BY434" s="792"/>
      <c r="BZ434" s="731"/>
      <c r="CA434" s="731"/>
      <c r="CB434" s="731"/>
      <c r="CC434" s="731"/>
      <c r="CD434" s="731"/>
      <c r="CE434" s="731"/>
      <c r="CF434" s="731"/>
    </row>
    <row r="435" spans="59:84" ht="15.75" customHeight="1">
      <c r="BG435" s="762"/>
      <c r="BW435" s="790"/>
      <c r="BX435" s="790"/>
      <c r="BY435" s="792"/>
      <c r="BZ435" s="731"/>
      <c r="CA435" s="731"/>
      <c r="CB435" s="731"/>
      <c r="CC435" s="731"/>
      <c r="CD435" s="731"/>
      <c r="CE435" s="731"/>
      <c r="CF435" s="731"/>
    </row>
    <row r="436" spans="59:84" ht="15.75" customHeight="1">
      <c r="BG436" s="762"/>
      <c r="BW436" s="790"/>
      <c r="BX436" s="790"/>
      <c r="BY436" s="792"/>
      <c r="BZ436" s="731"/>
      <c r="CA436" s="731"/>
      <c r="CB436" s="731"/>
      <c r="CC436" s="731"/>
      <c r="CD436" s="731"/>
      <c r="CE436" s="731"/>
      <c r="CF436" s="731"/>
    </row>
    <row r="437" spans="59:84" ht="15.75" customHeight="1">
      <c r="BG437" s="762"/>
      <c r="BW437" s="790"/>
      <c r="BX437" s="790"/>
      <c r="BY437" s="792"/>
      <c r="BZ437" s="731"/>
      <c r="CA437" s="731"/>
      <c r="CB437" s="731"/>
      <c r="CC437" s="731"/>
      <c r="CD437" s="731"/>
      <c r="CE437" s="731"/>
      <c r="CF437" s="731"/>
    </row>
    <row r="438" spans="59:84" ht="15.75" customHeight="1">
      <c r="BG438" s="762"/>
      <c r="BW438" s="790"/>
      <c r="BX438" s="790"/>
      <c r="BY438" s="792"/>
      <c r="BZ438" s="731"/>
      <c r="CA438" s="731"/>
      <c r="CB438" s="731"/>
      <c r="CC438" s="731"/>
      <c r="CD438" s="731"/>
      <c r="CE438" s="731"/>
      <c r="CF438" s="731"/>
    </row>
    <row r="439" spans="59:84" ht="15.75" customHeight="1">
      <c r="BG439" s="762"/>
      <c r="BW439" s="790"/>
      <c r="BX439" s="790"/>
      <c r="BY439" s="792"/>
      <c r="BZ439" s="731"/>
      <c r="CA439" s="731"/>
      <c r="CB439" s="731"/>
      <c r="CC439" s="731"/>
      <c r="CD439" s="731"/>
      <c r="CE439" s="731"/>
      <c r="CF439" s="731"/>
    </row>
    <row r="440" spans="59:84" ht="15.75" customHeight="1">
      <c r="BG440" s="762"/>
      <c r="BW440" s="790"/>
      <c r="BX440" s="790"/>
      <c r="BY440" s="792"/>
      <c r="BZ440" s="731"/>
      <c r="CA440" s="731"/>
      <c r="CB440" s="731"/>
      <c r="CC440" s="731"/>
      <c r="CD440" s="731"/>
      <c r="CE440" s="731"/>
      <c r="CF440" s="731"/>
    </row>
    <row r="441" spans="59:84" ht="15.75" customHeight="1">
      <c r="BG441" s="762"/>
      <c r="BW441" s="790"/>
      <c r="BX441" s="790"/>
      <c r="BY441" s="792"/>
      <c r="BZ441" s="731"/>
      <c r="CA441" s="731"/>
      <c r="CB441" s="731"/>
      <c r="CC441" s="731"/>
      <c r="CD441" s="731"/>
      <c r="CE441" s="731"/>
      <c r="CF441" s="731"/>
    </row>
    <row r="442" spans="59:84" ht="15.75" customHeight="1">
      <c r="BG442" s="762"/>
      <c r="BW442" s="790"/>
      <c r="BX442" s="790"/>
      <c r="BY442" s="792"/>
      <c r="BZ442" s="731"/>
      <c r="CA442" s="731"/>
      <c r="CB442" s="731"/>
      <c r="CC442" s="731"/>
      <c r="CD442" s="731"/>
      <c r="CE442" s="731"/>
      <c r="CF442" s="731"/>
    </row>
    <row r="443" spans="59:84" ht="15.75" customHeight="1">
      <c r="BG443" s="762"/>
      <c r="BW443" s="790"/>
      <c r="BX443" s="790"/>
      <c r="BY443" s="792"/>
      <c r="BZ443" s="731"/>
      <c r="CA443" s="731"/>
      <c r="CB443" s="731"/>
      <c r="CC443" s="731"/>
      <c r="CD443" s="731"/>
      <c r="CE443" s="731"/>
      <c r="CF443" s="731"/>
    </row>
    <row r="444" spans="59:84" ht="15.75" customHeight="1">
      <c r="BG444" s="762"/>
      <c r="BW444" s="790"/>
      <c r="BX444" s="790"/>
      <c r="BY444" s="792"/>
      <c r="BZ444" s="731"/>
      <c r="CA444" s="731"/>
      <c r="CB444" s="731"/>
      <c r="CC444" s="731"/>
      <c r="CD444" s="731"/>
      <c r="CE444" s="731"/>
      <c r="CF444" s="731"/>
    </row>
    <row r="445" spans="59:84" ht="15.75" customHeight="1">
      <c r="BG445" s="762"/>
      <c r="BW445" s="790"/>
      <c r="BX445" s="790"/>
      <c r="BY445" s="792"/>
      <c r="BZ445" s="731"/>
      <c r="CA445" s="731"/>
      <c r="CB445" s="731"/>
      <c r="CC445" s="731"/>
      <c r="CD445" s="731"/>
      <c r="CE445" s="731"/>
      <c r="CF445" s="731"/>
    </row>
    <row r="446" spans="59:84" ht="15.75" customHeight="1">
      <c r="BG446" s="762"/>
      <c r="BW446" s="790"/>
      <c r="BX446" s="790"/>
      <c r="BY446" s="792"/>
      <c r="BZ446" s="731"/>
      <c r="CA446" s="731"/>
      <c r="CB446" s="731"/>
      <c r="CC446" s="731"/>
      <c r="CD446" s="731"/>
      <c r="CE446" s="731"/>
      <c r="CF446" s="731"/>
    </row>
    <row r="447" spans="59:84" ht="15.75" customHeight="1">
      <c r="BG447" s="762"/>
      <c r="BW447" s="790"/>
      <c r="BX447" s="790"/>
      <c r="BY447" s="792"/>
      <c r="BZ447" s="731"/>
      <c r="CA447" s="731"/>
      <c r="CB447" s="731"/>
      <c r="CC447" s="731"/>
      <c r="CD447" s="731"/>
      <c r="CE447" s="731"/>
      <c r="CF447" s="731"/>
    </row>
    <row r="448" spans="59:84" ht="15.75" customHeight="1">
      <c r="BG448" s="762"/>
      <c r="BW448" s="790"/>
      <c r="BX448" s="790"/>
      <c r="BY448" s="792"/>
      <c r="BZ448" s="731"/>
      <c r="CA448" s="731"/>
      <c r="CB448" s="731"/>
      <c r="CC448" s="731"/>
      <c r="CD448" s="731"/>
      <c r="CE448" s="731"/>
      <c r="CF448" s="731"/>
    </row>
    <row r="449" spans="59:84" ht="15.75" customHeight="1">
      <c r="BG449" s="762"/>
      <c r="BW449" s="790"/>
      <c r="BX449" s="790"/>
      <c r="BY449" s="792"/>
      <c r="BZ449" s="731"/>
      <c r="CA449" s="731"/>
      <c r="CB449" s="731"/>
      <c r="CC449" s="731"/>
      <c r="CD449" s="731"/>
      <c r="CE449" s="731"/>
      <c r="CF449" s="731"/>
    </row>
    <row r="450" spans="59:84" ht="15.75" customHeight="1">
      <c r="BG450" s="762"/>
      <c r="BW450" s="790"/>
      <c r="BX450" s="790"/>
      <c r="BY450" s="792"/>
      <c r="BZ450" s="731"/>
      <c r="CA450" s="731"/>
      <c r="CB450" s="731"/>
      <c r="CC450" s="731"/>
      <c r="CD450" s="731"/>
      <c r="CE450" s="731"/>
      <c r="CF450" s="731"/>
    </row>
    <row r="451" spans="59:84" ht="15.75" customHeight="1">
      <c r="BG451" s="762"/>
      <c r="BW451" s="790"/>
      <c r="BX451" s="790"/>
      <c r="BY451" s="792"/>
      <c r="BZ451" s="731"/>
      <c r="CA451" s="731"/>
      <c r="CB451" s="731"/>
      <c r="CC451" s="731"/>
      <c r="CD451" s="731"/>
      <c r="CE451" s="731"/>
      <c r="CF451" s="731"/>
    </row>
    <row r="452" spans="59:84" ht="15.75" customHeight="1">
      <c r="BG452" s="762"/>
      <c r="BW452" s="790"/>
      <c r="BX452" s="790"/>
      <c r="BY452" s="792"/>
      <c r="BZ452" s="731"/>
      <c r="CA452" s="731"/>
      <c r="CB452" s="731"/>
      <c r="CC452" s="731"/>
      <c r="CD452" s="731"/>
      <c r="CE452" s="731"/>
      <c r="CF452" s="731"/>
    </row>
    <row r="453" spans="59:84" ht="15.75" customHeight="1">
      <c r="BG453" s="762"/>
      <c r="BW453" s="790"/>
      <c r="BX453" s="790"/>
      <c r="BY453" s="792"/>
      <c r="BZ453" s="731"/>
      <c r="CA453" s="731"/>
      <c r="CB453" s="731"/>
      <c r="CC453" s="731"/>
      <c r="CD453" s="731"/>
      <c r="CE453" s="731"/>
      <c r="CF453" s="731"/>
    </row>
    <row r="454" spans="59:84" ht="15.75" customHeight="1">
      <c r="BG454" s="762"/>
      <c r="BW454" s="790"/>
      <c r="BX454" s="790"/>
      <c r="BY454" s="792"/>
      <c r="BZ454" s="731"/>
      <c r="CA454" s="731"/>
      <c r="CB454" s="731"/>
      <c r="CC454" s="731"/>
      <c r="CD454" s="731"/>
      <c r="CE454" s="731"/>
      <c r="CF454" s="731"/>
    </row>
    <row r="455" spans="59:84" ht="15.75" customHeight="1">
      <c r="BG455" s="762"/>
      <c r="BW455" s="790"/>
      <c r="BX455" s="790"/>
      <c r="BY455" s="792"/>
      <c r="BZ455" s="731"/>
      <c r="CA455" s="731"/>
      <c r="CB455" s="731"/>
      <c r="CC455" s="731"/>
      <c r="CD455" s="731"/>
      <c r="CE455" s="731"/>
      <c r="CF455" s="731"/>
    </row>
    <row r="456" spans="59:84" ht="15.75" customHeight="1">
      <c r="BG456" s="762"/>
      <c r="BW456" s="790"/>
      <c r="BX456" s="790"/>
      <c r="BY456" s="792"/>
      <c r="BZ456" s="731"/>
      <c r="CA456" s="731"/>
      <c r="CB456" s="731"/>
      <c r="CC456" s="731"/>
      <c r="CD456" s="731"/>
      <c r="CE456" s="731"/>
      <c r="CF456" s="731"/>
    </row>
    <row r="457" spans="59:84" ht="15.75" customHeight="1">
      <c r="BG457" s="762"/>
      <c r="BW457" s="790"/>
      <c r="BX457" s="790"/>
      <c r="BY457" s="792"/>
      <c r="BZ457" s="731"/>
      <c r="CA457" s="731"/>
      <c r="CB457" s="731"/>
      <c r="CC457" s="731"/>
      <c r="CD457" s="731"/>
      <c r="CE457" s="731"/>
      <c r="CF457" s="731"/>
    </row>
    <row r="458" spans="59:84" ht="15.75" customHeight="1">
      <c r="BG458" s="762"/>
      <c r="BW458" s="790"/>
      <c r="BX458" s="790"/>
      <c r="BY458" s="792"/>
      <c r="BZ458" s="731"/>
      <c r="CA458" s="731"/>
      <c r="CB458" s="731"/>
      <c r="CC458" s="731"/>
      <c r="CD458" s="731"/>
      <c r="CE458" s="731"/>
      <c r="CF458" s="731"/>
    </row>
    <row r="459" spans="59:84" ht="15.75" customHeight="1">
      <c r="BG459" s="762"/>
      <c r="BW459" s="790"/>
      <c r="BX459" s="790"/>
      <c r="BY459" s="792"/>
      <c r="BZ459" s="731"/>
      <c r="CA459" s="731"/>
      <c r="CB459" s="731"/>
      <c r="CC459" s="731"/>
      <c r="CD459" s="731"/>
      <c r="CE459" s="731"/>
      <c r="CF459" s="731"/>
    </row>
    <row r="460" spans="59:84" ht="15.75" customHeight="1">
      <c r="BG460" s="762"/>
      <c r="BW460" s="790"/>
      <c r="BX460" s="790"/>
      <c r="BY460" s="792"/>
      <c r="BZ460" s="731"/>
      <c r="CA460" s="731"/>
      <c r="CB460" s="731"/>
      <c r="CC460" s="731"/>
      <c r="CD460" s="731"/>
      <c r="CE460" s="731"/>
      <c r="CF460" s="731"/>
    </row>
    <row r="461" spans="59:84" ht="15.75" customHeight="1">
      <c r="BG461" s="762"/>
      <c r="BW461" s="790"/>
      <c r="BX461" s="790"/>
      <c r="BY461" s="792"/>
      <c r="BZ461" s="731"/>
      <c r="CA461" s="731"/>
      <c r="CB461" s="731"/>
      <c r="CC461" s="731"/>
      <c r="CD461" s="731"/>
      <c r="CE461" s="731"/>
      <c r="CF461" s="731"/>
    </row>
    <row r="462" spans="59:84" ht="15.75" customHeight="1">
      <c r="BG462" s="762"/>
      <c r="BW462" s="790"/>
      <c r="BX462" s="790"/>
      <c r="BY462" s="792"/>
      <c r="BZ462" s="731"/>
      <c r="CA462" s="731"/>
      <c r="CB462" s="731"/>
      <c r="CC462" s="731"/>
      <c r="CD462" s="731"/>
      <c r="CE462" s="731"/>
      <c r="CF462" s="731"/>
    </row>
    <row r="463" spans="59:84" ht="15.75" customHeight="1">
      <c r="BG463" s="762"/>
      <c r="BW463" s="790"/>
      <c r="BX463" s="790"/>
      <c r="BY463" s="792"/>
      <c r="BZ463" s="731"/>
      <c r="CA463" s="731"/>
      <c r="CB463" s="731"/>
      <c r="CC463" s="731"/>
      <c r="CD463" s="731"/>
      <c r="CE463" s="731"/>
      <c r="CF463" s="731"/>
    </row>
    <row r="464" spans="59:84" ht="15.75" customHeight="1">
      <c r="BG464" s="762"/>
      <c r="BW464" s="790"/>
      <c r="BX464" s="790"/>
      <c r="BY464" s="792"/>
      <c r="BZ464" s="731"/>
      <c r="CA464" s="731"/>
      <c r="CB464" s="731"/>
      <c r="CC464" s="731"/>
      <c r="CD464" s="731"/>
      <c r="CE464" s="731"/>
      <c r="CF464" s="731"/>
    </row>
    <row r="465" spans="59:84" ht="15.75" customHeight="1">
      <c r="BG465" s="762"/>
      <c r="BW465" s="790"/>
      <c r="BX465" s="790"/>
      <c r="BY465" s="792"/>
      <c r="BZ465" s="731"/>
      <c r="CA465" s="731"/>
      <c r="CB465" s="731"/>
      <c r="CC465" s="731"/>
      <c r="CD465" s="731"/>
      <c r="CE465" s="731"/>
      <c r="CF465" s="731"/>
    </row>
    <row r="466" spans="59:84" ht="15.75" customHeight="1">
      <c r="BG466" s="762"/>
      <c r="BW466" s="790"/>
      <c r="BX466" s="790"/>
      <c r="BY466" s="792"/>
      <c r="BZ466" s="731"/>
      <c r="CA466" s="731"/>
      <c r="CB466" s="731"/>
      <c r="CC466" s="731"/>
      <c r="CD466" s="731"/>
      <c r="CE466" s="731"/>
      <c r="CF466" s="731"/>
    </row>
    <row r="467" spans="59:84" ht="15.75" customHeight="1">
      <c r="BG467" s="762"/>
      <c r="BW467" s="790"/>
      <c r="BX467" s="790"/>
      <c r="BY467" s="792"/>
      <c r="BZ467" s="731"/>
      <c r="CA467" s="731"/>
      <c r="CB467" s="731"/>
      <c r="CC467" s="731"/>
      <c r="CD467" s="731"/>
      <c r="CE467" s="731"/>
      <c r="CF467" s="731"/>
    </row>
    <row r="468" spans="59:84" ht="15.75" customHeight="1">
      <c r="BG468" s="762"/>
      <c r="BW468" s="790"/>
      <c r="BX468" s="790"/>
      <c r="BY468" s="792"/>
      <c r="BZ468" s="731"/>
      <c r="CA468" s="731"/>
      <c r="CB468" s="731"/>
      <c r="CC468" s="731"/>
      <c r="CD468" s="731"/>
      <c r="CE468" s="731"/>
      <c r="CF468" s="731"/>
    </row>
    <row r="469" spans="59:84" ht="15.75" customHeight="1">
      <c r="BG469" s="762"/>
      <c r="BW469" s="790"/>
      <c r="BX469" s="790"/>
      <c r="BY469" s="792"/>
      <c r="BZ469" s="731"/>
      <c r="CA469" s="731"/>
      <c r="CB469" s="731"/>
      <c r="CC469" s="731"/>
      <c r="CD469" s="731"/>
      <c r="CE469" s="731"/>
      <c r="CF469" s="731"/>
    </row>
    <row r="470" spans="59:84" ht="15.75" customHeight="1">
      <c r="BG470" s="762"/>
      <c r="BW470" s="790"/>
      <c r="BX470" s="790"/>
      <c r="BY470" s="792"/>
      <c r="BZ470" s="731"/>
      <c r="CA470" s="731"/>
      <c r="CB470" s="731"/>
      <c r="CC470" s="731"/>
      <c r="CD470" s="731"/>
      <c r="CE470" s="731"/>
      <c r="CF470" s="731"/>
    </row>
    <row r="471" spans="59:84" ht="15.75" customHeight="1">
      <c r="BG471" s="762"/>
      <c r="BW471" s="790"/>
      <c r="BX471" s="790"/>
      <c r="BY471" s="792"/>
      <c r="BZ471" s="731"/>
      <c r="CA471" s="731"/>
      <c r="CB471" s="731"/>
      <c r="CC471" s="731"/>
      <c r="CD471" s="731"/>
      <c r="CE471" s="731"/>
      <c r="CF471" s="731"/>
    </row>
    <row r="472" spans="59:84" ht="15.75" customHeight="1">
      <c r="BG472" s="762"/>
      <c r="BW472" s="790"/>
      <c r="BX472" s="790"/>
      <c r="BY472" s="792"/>
      <c r="BZ472" s="731"/>
      <c r="CA472" s="731"/>
      <c r="CB472" s="731"/>
      <c r="CC472" s="731"/>
      <c r="CD472" s="731"/>
      <c r="CE472" s="731"/>
      <c r="CF472" s="731"/>
    </row>
    <row r="473" spans="59:84" ht="15.75" customHeight="1">
      <c r="BG473" s="762"/>
      <c r="BW473" s="790"/>
      <c r="BX473" s="790"/>
      <c r="BY473" s="792"/>
      <c r="BZ473" s="731"/>
      <c r="CA473" s="731"/>
      <c r="CB473" s="731"/>
      <c r="CC473" s="731"/>
      <c r="CD473" s="731"/>
      <c r="CE473" s="731"/>
      <c r="CF473" s="731"/>
    </row>
    <row r="474" spans="59:84" ht="15.75" customHeight="1">
      <c r="BG474" s="762"/>
      <c r="BW474" s="790"/>
      <c r="BX474" s="790"/>
      <c r="BY474" s="792"/>
      <c r="BZ474" s="731"/>
      <c r="CA474" s="731"/>
      <c r="CB474" s="731"/>
      <c r="CC474" s="731"/>
      <c r="CD474" s="731"/>
      <c r="CE474" s="731"/>
      <c r="CF474" s="731"/>
    </row>
    <row r="475" spans="59:84" ht="15.75" customHeight="1">
      <c r="BG475" s="762"/>
      <c r="BW475" s="790"/>
      <c r="BX475" s="790"/>
      <c r="BY475" s="792"/>
      <c r="BZ475" s="731"/>
      <c r="CA475" s="731"/>
      <c r="CB475" s="731"/>
      <c r="CC475" s="731"/>
      <c r="CD475" s="731"/>
      <c r="CE475" s="731"/>
      <c r="CF475" s="731"/>
    </row>
    <row r="476" spans="59:84" ht="15.75" customHeight="1">
      <c r="BG476" s="762"/>
      <c r="BW476" s="790"/>
      <c r="BX476" s="790"/>
      <c r="BY476" s="792"/>
      <c r="BZ476" s="731"/>
      <c r="CA476" s="731"/>
      <c r="CB476" s="731"/>
      <c r="CC476" s="731"/>
      <c r="CD476" s="731"/>
      <c r="CE476" s="731"/>
      <c r="CF476" s="731"/>
    </row>
    <row r="477" spans="59:84" ht="15.75" customHeight="1">
      <c r="BG477" s="762"/>
      <c r="BW477" s="790"/>
      <c r="BX477" s="790"/>
      <c r="BY477" s="792"/>
      <c r="BZ477" s="731"/>
      <c r="CA477" s="731"/>
      <c r="CB477" s="731"/>
      <c r="CC477" s="731"/>
      <c r="CD477" s="731"/>
      <c r="CE477" s="731"/>
      <c r="CF477" s="731"/>
    </row>
    <row r="478" spans="59:84" ht="15.75" customHeight="1">
      <c r="BG478" s="762"/>
      <c r="BW478" s="790"/>
      <c r="BX478" s="790"/>
      <c r="BY478" s="792"/>
      <c r="BZ478" s="731"/>
      <c r="CA478" s="731"/>
      <c r="CB478" s="731"/>
      <c r="CC478" s="731"/>
      <c r="CD478" s="731"/>
      <c r="CE478" s="731"/>
      <c r="CF478" s="731"/>
    </row>
    <row r="479" spans="59:84" ht="15.75" customHeight="1">
      <c r="BG479" s="762"/>
      <c r="BW479" s="790"/>
      <c r="BX479" s="790"/>
      <c r="BY479" s="792"/>
      <c r="BZ479" s="731"/>
      <c r="CA479" s="731"/>
      <c r="CB479" s="731"/>
      <c r="CC479" s="731"/>
      <c r="CD479" s="731"/>
      <c r="CE479" s="731"/>
      <c r="CF479" s="731"/>
    </row>
    <row r="480" spans="59:84" ht="15.75" customHeight="1">
      <c r="BG480" s="762"/>
      <c r="BW480" s="790"/>
      <c r="BX480" s="790"/>
      <c r="BY480" s="792"/>
      <c r="BZ480" s="731"/>
      <c r="CA480" s="731"/>
      <c r="CB480" s="731"/>
      <c r="CC480" s="731"/>
      <c r="CD480" s="731"/>
      <c r="CE480" s="731"/>
      <c r="CF480" s="731"/>
    </row>
    <row r="481" spans="59:84" ht="15.75" customHeight="1">
      <c r="BG481" s="762"/>
      <c r="BW481" s="790"/>
      <c r="BX481" s="790"/>
      <c r="BY481" s="792"/>
      <c r="BZ481" s="731"/>
      <c r="CA481" s="731"/>
      <c r="CB481" s="731"/>
      <c r="CC481" s="731"/>
      <c r="CD481" s="731"/>
      <c r="CE481" s="731"/>
      <c r="CF481" s="731"/>
    </row>
    <row r="482" spans="59:84" ht="15.75" customHeight="1">
      <c r="BG482" s="762"/>
      <c r="BW482" s="790"/>
      <c r="BX482" s="790"/>
      <c r="BY482" s="792"/>
      <c r="BZ482" s="731"/>
      <c r="CA482" s="731"/>
      <c r="CB482" s="731"/>
      <c r="CC482" s="731"/>
      <c r="CD482" s="731"/>
      <c r="CE482" s="731"/>
      <c r="CF482" s="731"/>
    </row>
    <row r="483" spans="59:84" ht="15.75" customHeight="1">
      <c r="BG483" s="762"/>
      <c r="BW483" s="790"/>
      <c r="BX483" s="790"/>
      <c r="BY483" s="792"/>
      <c r="BZ483" s="731"/>
      <c r="CA483" s="731"/>
      <c r="CB483" s="731"/>
      <c r="CC483" s="731"/>
      <c r="CD483" s="731"/>
      <c r="CE483" s="731"/>
      <c r="CF483" s="731"/>
    </row>
    <row r="484" spans="59:84" ht="15.75" customHeight="1">
      <c r="BG484" s="762"/>
      <c r="BW484" s="790"/>
      <c r="BX484" s="790"/>
      <c r="BY484" s="792"/>
      <c r="BZ484" s="731"/>
      <c r="CA484" s="731"/>
      <c r="CB484" s="731"/>
      <c r="CC484" s="731"/>
      <c r="CD484" s="731"/>
      <c r="CE484" s="731"/>
      <c r="CF484" s="731"/>
    </row>
    <row r="485" spans="59:84" ht="15.75" customHeight="1">
      <c r="BG485" s="762"/>
      <c r="BW485" s="790"/>
      <c r="BX485" s="790"/>
      <c r="BY485" s="792"/>
      <c r="BZ485" s="731"/>
      <c r="CA485" s="731"/>
      <c r="CB485" s="731"/>
      <c r="CC485" s="731"/>
      <c r="CD485" s="731"/>
      <c r="CE485" s="731"/>
      <c r="CF485" s="731"/>
    </row>
    <row r="486" spans="59:84" ht="15.75" customHeight="1">
      <c r="BG486" s="762"/>
      <c r="BW486" s="790"/>
      <c r="BX486" s="790"/>
      <c r="BY486" s="792"/>
      <c r="BZ486" s="731"/>
      <c r="CA486" s="731"/>
      <c r="CB486" s="731"/>
      <c r="CC486" s="731"/>
      <c r="CD486" s="731"/>
      <c r="CE486" s="731"/>
      <c r="CF486" s="731"/>
    </row>
    <row r="487" spans="59:84" ht="15.75" customHeight="1">
      <c r="BG487" s="762"/>
      <c r="BW487" s="790"/>
      <c r="BX487" s="790"/>
      <c r="BY487" s="792"/>
      <c r="BZ487" s="731"/>
      <c r="CA487" s="731"/>
      <c r="CB487" s="731"/>
      <c r="CC487" s="731"/>
      <c r="CD487" s="731"/>
      <c r="CE487" s="731"/>
      <c r="CF487" s="731"/>
    </row>
    <row r="488" spans="59:84" ht="15.75" customHeight="1">
      <c r="BG488" s="762"/>
      <c r="BW488" s="790"/>
      <c r="BX488" s="790"/>
      <c r="BY488" s="792"/>
      <c r="BZ488" s="731"/>
      <c r="CA488" s="731"/>
      <c r="CB488" s="731"/>
      <c r="CC488" s="731"/>
      <c r="CD488" s="731"/>
      <c r="CE488" s="731"/>
      <c r="CF488" s="731"/>
    </row>
    <row r="489" spans="59:84" ht="15.75" customHeight="1">
      <c r="BG489" s="762"/>
      <c r="BW489" s="790"/>
      <c r="BX489" s="790"/>
      <c r="BY489" s="792"/>
      <c r="BZ489" s="731"/>
      <c r="CA489" s="731"/>
      <c r="CB489" s="731"/>
      <c r="CC489" s="731"/>
      <c r="CD489" s="731"/>
      <c r="CE489" s="731"/>
      <c r="CF489" s="731"/>
    </row>
    <row r="490" spans="59:84" ht="15.75" customHeight="1">
      <c r="BG490" s="762"/>
      <c r="BW490" s="790"/>
      <c r="BX490" s="790"/>
      <c r="BY490" s="792"/>
      <c r="BZ490" s="731"/>
      <c r="CA490" s="731"/>
      <c r="CB490" s="731"/>
      <c r="CC490" s="731"/>
      <c r="CD490" s="731"/>
      <c r="CE490" s="731"/>
      <c r="CF490" s="731"/>
    </row>
    <row r="491" spans="59:84" ht="15.75" customHeight="1">
      <c r="BG491" s="762"/>
      <c r="BW491" s="790"/>
      <c r="BX491" s="790"/>
      <c r="BY491" s="792"/>
      <c r="BZ491" s="731"/>
      <c r="CA491" s="731"/>
      <c r="CB491" s="731"/>
      <c r="CC491" s="731"/>
      <c r="CD491" s="731"/>
      <c r="CE491" s="731"/>
      <c r="CF491" s="731"/>
    </row>
    <row r="492" spans="59:84" ht="15.75" customHeight="1">
      <c r="BG492" s="762"/>
      <c r="BW492" s="790"/>
      <c r="BX492" s="790"/>
      <c r="BY492" s="792"/>
      <c r="BZ492" s="731"/>
      <c r="CA492" s="731"/>
      <c r="CB492" s="731"/>
      <c r="CC492" s="731"/>
      <c r="CD492" s="731"/>
      <c r="CE492" s="731"/>
      <c r="CF492" s="731"/>
    </row>
    <row r="493" spans="59:84" ht="15.75" customHeight="1">
      <c r="BG493" s="762"/>
      <c r="BW493" s="790"/>
      <c r="BX493" s="790"/>
      <c r="BY493" s="792"/>
      <c r="BZ493" s="731"/>
      <c r="CA493" s="731"/>
      <c r="CB493" s="731"/>
      <c r="CC493" s="731"/>
      <c r="CD493" s="731"/>
      <c r="CE493" s="731"/>
      <c r="CF493" s="731"/>
    </row>
    <row r="494" spans="59:84" ht="15.75" customHeight="1">
      <c r="BG494" s="762"/>
      <c r="BW494" s="790"/>
      <c r="BX494" s="790"/>
      <c r="BY494" s="792"/>
      <c r="BZ494" s="731"/>
      <c r="CA494" s="731"/>
      <c r="CB494" s="731"/>
      <c r="CC494" s="731"/>
      <c r="CD494" s="731"/>
      <c r="CE494" s="731"/>
      <c r="CF494" s="731"/>
    </row>
    <row r="495" spans="59:84" ht="15.75" customHeight="1">
      <c r="BG495" s="762"/>
      <c r="BW495" s="790"/>
      <c r="BX495" s="790"/>
      <c r="BY495" s="792"/>
      <c r="BZ495" s="731"/>
      <c r="CA495" s="731"/>
      <c r="CB495" s="731"/>
      <c r="CC495" s="731"/>
      <c r="CD495" s="731"/>
      <c r="CE495" s="731"/>
      <c r="CF495" s="731"/>
    </row>
    <row r="496" spans="59:84" ht="15.75" customHeight="1">
      <c r="BG496" s="762"/>
      <c r="BW496" s="790"/>
      <c r="BX496" s="790"/>
      <c r="BY496" s="792"/>
      <c r="BZ496" s="731"/>
      <c r="CA496" s="731"/>
      <c r="CB496" s="731"/>
      <c r="CC496" s="731"/>
      <c r="CD496" s="731"/>
      <c r="CE496" s="731"/>
      <c r="CF496" s="731"/>
    </row>
    <row r="497" spans="59:84" ht="15.75" customHeight="1">
      <c r="BG497" s="762"/>
      <c r="BW497" s="790"/>
      <c r="BX497" s="790"/>
      <c r="BY497" s="792"/>
      <c r="BZ497" s="731"/>
      <c r="CA497" s="731"/>
      <c r="CB497" s="731"/>
      <c r="CC497" s="731"/>
      <c r="CD497" s="731"/>
      <c r="CE497" s="731"/>
      <c r="CF497" s="731"/>
    </row>
    <row r="498" spans="59:84" ht="15.75" customHeight="1">
      <c r="BG498" s="762"/>
      <c r="BW498" s="790"/>
      <c r="BX498" s="790"/>
      <c r="BY498" s="792"/>
      <c r="BZ498" s="731"/>
      <c r="CA498" s="731"/>
      <c r="CB498" s="731"/>
      <c r="CC498" s="731"/>
      <c r="CD498" s="731"/>
      <c r="CE498" s="731"/>
      <c r="CF498" s="731"/>
    </row>
    <row r="499" spans="59:84" ht="15.75" customHeight="1">
      <c r="BG499" s="762"/>
      <c r="BW499" s="790"/>
      <c r="BX499" s="790"/>
      <c r="BY499" s="792"/>
      <c r="BZ499" s="731"/>
      <c r="CA499" s="731"/>
      <c r="CB499" s="731"/>
      <c r="CC499" s="731"/>
      <c r="CD499" s="731"/>
      <c r="CE499" s="731"/>
      <c r="CF499" s="731"/>
    </row>
    <row r="500" spans="59:84" ht="15.75" customHeight="1">
      <c r="BG500" s="762"/>
      <c r="BW500" s="790"/>
      <c r="BX500" s="790"/>
      <c r="BY500" s="792"/>
      <c r="BZ500" s="731"/>
      <c r="CA500" s="731"/>
      <c r="CB500" s="731"/>
      <c r="CC500" s="731"/>
      <c r="CD500" s="731"/>
      <c r="CE500" s="731"/>
      <c r="CF500" s="731"/>
    </row>
    <row r="501" spans="59:84" ht="15.75" customHeight="1">
      <c r="BG501" s="762"/>
      <c r="BW501" s="790"/>
      <c r="BX501" s="790"/>
      <c r="BY501" s="792"/>
      <c r="BZ501" s="731"/>
      <c r="CA501" s="731"/>
      <c r="CB501" s="731"/>
      <c r="CC501" s="731"/>
      <c r="CD501" s="731"/>
      <c r="CE501" s="731"/>
      <c r="CF501" s="731"/>
    </row>
    <row r="502" spans="59:84" ht="15.75" customHeight="1">
      <c r="BG502" s="762"/>
      <c r="BW502" s="790"/>
      <c r="BX502" s="790"/>
      <c r="BY502" s="792"/>
      <c r="BZ502" s="731"/>
      <c r="CA502" s="731"/>
      <c r="CB502" s="731"/>
      <c r="CC502" s="731"/>
      <c r="CD502" s="731"/>
      <c r="CE502" s="731"/>
      <c r="CF502" s="731"/>
    </row>
    <row r="503" spans="59:84" ht="15.75" customHeight="1">
      <c r="BG503" s="762"/>
      <c r="BW503" s="790"/>
      <c r="BX503" s="790"/>
      <c r="BY503" s="792"/>
      <c r="BZ503" s="731"/>
      <c r="CA503" s="731"/>
      <c r="CB503" s="731"/>
      <c r="CC503" s="731"/>
      <c r="CD503" s="731"/>
      <c r="CE503" s="731"/>
      <c r="CF503" s="731"/>
    </row>
    <row r="504" spans="59:84" ht="15.75" customHeight="1">
      <c r="BG504" s="762"/>
      <c r="BW504" s="790"/>
      <c r="BX504" s="790"/>
      <c r="BY504" s="792"/>
      <c r="BZ504" s="731"/>
      <c r="CA504" s="731"/>
      <c r="CB504" s="731"/>
      <c r="CC504" s="731"/>
      <c r="CD504" s="731"/>
      <c r="CE504" s="731"/>
      <c r="CF504" s="731"/>
    </row>
    <row r="505" spans="59:84" ht="15.75" customHeight="1">
      <c r="BG505" s="762"/>
      <c r="BW505" s="790"/>
      <c r="BX505" s="790"/>
      <c r="BY505" s="792"/>
      <c r="BZ505" s="731"/>
      <c r="CA505" s="731"/>
      <c r="CB505" s="731"/>
      <c r="CC505" s="731"/>
      <c r="CD505" s="731"/>
      <c r="CE505" s="731"/>
      <c r="CF505" s="731"/>
    </row>
    <row r="506" spans="59:84" ht="15.75" customHeight="1">
      <c r="BG506" s="762"/>
      <c r="BW506" s="790"/>
      <c r="BX506" s="790"/>
      <c r="BY506" s="792"/>
      <c r="BZ506" s="731"/>
      <c r="CA506" s="731"/>
      <c r="CB506" s="731"/>
      <c r="CC506" s="731"/>
      <c r="CD506" s="731"/>
      <c r="CE506" s="731"/>
      <c r="CF506" s="731"/>
    </row>
    <row r="507" spans="59:84" ht="15.75" customHeight="1">
      <c r="BG507" s="762"/>
      <c r="BW507" s="790"/>
      <c r="BX507" s="790"/>
      <c r="BY507" s="792"/>
      <c r="BZ507" s="731"/>
      <c r="CA507" s="731"/>
      <c r="CB507" s="731"/>
      <c r="CC507" s="731"/>
      <c r="CD507" s="731"/>
      <c r="CE507" s="731"/>
      <c r="CF507" s="731"/>
    </row>
    <row r="508" spans="59:84" ht="15.75" customHeight="1">
      <c r="BG508" s="762"/>
      <c r="BW508" s="790"/>
      <c r="BX508" s="790"/>
      <c r="BY508" s="792"/>
      <c r="BZ508" s="731"/>
      <c r="CA508" s="731"/>
      <c r="CB508" s="731"/>
      <c r="CC508" s="731"/>
      <c r="CD508" s="731"/>
      <c r="CE508" s="731"/>
      <c r="CF508" s="731"/>
    </row>
    <row r="509" spans="59:84" ht="15.75" customHeight="1">
      <c r="BG509" s="762"/>
      <c r="BW509" s="790"/>
      <c r="BX509" s="790"/>
      <c r="BY509" s="792"/>
      <c r="BZ509" s="731"/>
      <c r="CA509" s="731"/>
      <c r="CB509" s="731"/>
      <c r="CC509" s="731"/>
      <c r="CD509" s="731"/>
      <c r="CE509" s="731"/>
      <c r="CF509" s="731"/>
    </row>
    <row r="510" spans="59:84" ht="15.75" customHeight="1">
      <c r="BG510" s="762"/>
      <c r="BW510" s="790"/>
      <c r="BX510" s="790"/>
      <c r="BY510" s="792"/>
      <c r="BZ510" s="731"/>
      <c r="CA510" s="731"/>
      <c r="CB510" s="731"/>
      <c r="CC510" s="731"/>
      <c r="CD510" s="731"/>
      <c r="CE510" s="731"/>
      <c r="CF510" s="731"/>
    </row>
    <row r="511" spans="59:84" ht="15.75" customHeight="1">
      <c r="BG511" s="762"/>
      <c r="BW511" s="790"/>
      <c r="BX511" s="790"/>
      <c r="BY511" s="792"/>
      <c r="BZ511" s="731"/>
      <c r="CA511" s="731"/>
      <c r="CB511" s="731"/>
      <c r="CC511" s="731"/>
      <c r="CD511" s="731"/>
      <c r="CE511" s="731"/>
      <c r="CF511" s="731"/>
    </row>
    <row r="512" spans="59:84" ht="15.75" customHeight="1">
      <c r="BG512" s="762"/>
      <c r="BW512" s="790"/>
      <c r="BX512" s="790"/>
      <c r="BY512" s="792"/>
      <c r="BZ512" s="731"/>
      <c r="CA512" s="731"/>
      <c r="CB512" s="731"/>
      <c r="CC512" s="731"/>
      <c r="CD512" s="731"/>
      <c r="CE512" s="731"/>
      <c r="CF512" s="731"/>
    </row>
    <row r="513" spans="59:84" ht="15.75" customHeight="1">
      <c r="BG513" s="762"/>
      <c r="BW513" s="790"/>
      <c r="BX513" s="790"/>
      <c r="BY513" s="792"/>
      <c r="BZ513" s="731"/>
      <c r="CA513" s="731"/>
      <c r="CB513" s="731"/>
      <c r="CC513" s="731"/>
      <c r="CD513" s="731"/>
      <c r="CE513" s="731"/>
      <c r="CF513" s="731"/>
    </row>
    <row r="514" spans="59:84" ht="15.75" customHeight="1">
      <c r="BG514" s="762"/>
      <c r="BW514" s="790"/>
      <c r="BX514" s="790"/>
      <c r="BY514" s="792"/>
      <c r="BZ514" s="731"/>
      <c r="CA514" s="731"/>
      <c r="CB514" s="731"/>
      <c r="CC514" s="731"/>
      <c r="CD514" s="731"/>
      <c r="CE514" s="731"/>
      <c r="CF514" s="731"/>
    </row>
    <row r="515" spans="59:84" ht="15.75" customHeight="1">
      <c r="BG515" s="762"/>
      <c r="BW515" s="790"/>
      <c r="BX515" s="790"/>
      <c r="BY515" s="792"/>
      <c r="BZ515" s="731"/>
      <c r="CA515" s="731"/>
      <c r="CB515" s="731"/>
      <c r="CC515" s="731"/>
      <c r="CD515" s="731"/>
      <c r="CE515" s="731"/>
      <c r="CF515" s="731"/>
    </row>
    <row r="516" spans="59:84" ht="15.75" customHeight="1">
      <c r="BG516" s="762"/>
      <c r="BW516" s="790"/>
      <c r="BX516" s="790"/>
      <c r="BY516" s="792"/>
      <c r="BZ516" s="731"/>
      <c r="CA516" s="731"/>
      <c r="CB516" s="731"/>
      <c r="CC516" s="731"/>
      <c r="CD516" s="731"/>
      <c r="CE516" s="731"/>
      <c r="CF516" s="731"/>
    </row>
    <row r="517" spans="59:84" ht="15.75" customHeight="1">
      <c r="BG517" s="762"/>
      <c r="BW517" s="790"/>
      <c r="BX517" s="790"/>
      <c r="BY517" s="792"/>
      <c r="BZ517" s="731"/>
      <c r="CA517" s="731"/>
      <c r="CB517" s="731"/>
      <c r="CC517" s="731"/>
      <c r="CD517" s="731"/>
      <c r="CE517" s="731"/>
      <c r="CF517" s="731"/>
    </row>
    <row r="518" spans="59:84" ht="15.75" customHeight="1">
      <c r="BG518" s="762"/>
      <c r="BW518" s="790"/>
      <c r="BX518" s="790"/>
      <c r="BY518" s="792"/>
      <c r="BZ518" s="731"/>
      <c r="CA518" s="731"/>
      <c r="CB518" s="731"/>
      <c r="CC518" s="731"/>
      <c r="CD518" s="731"/>
      <c r="CE518" s="731"/>
      <c r="CF518" s="731"/>
    </row>
    <row r="519" spans="59:84" ht="15.75" customHeight="1">
      <c r="BG519" s="762"/>
      <c r="BW519" s="790"/>
      <c r="BX519" s="790"/>
      <c r="BY519" s="792"/>
      <c r="BZ519" s="731"/>
      <c r="CA519" s="731"/>
      <c r="CB519" s="731"/>
      <c r="CC519" s="731"/>
      <c r="CD519" s="731"/>
      <c r="CE519" s="731"/>
      <c r="CF519" s="731"/>
    </row>
    <row r="520" spans="59:84" ht="15.75" customHeight="1">
      <c r="BG520" s="762"/>
      <c r="BW520" s="790"/>
      <c r="BX520" s="790"/>
      <c r="BY520" s="792"/>
      <c r="BZ520" s="731"/>
      <c r="CA520" s="731"/>
      <c r="CB520" s="731"/>
      <c r="CC520" s="731"/>
      <c r="CD520" s="731"/>
      <c r="CE520" s="731"/>
      <c r="CF520" s="731"/>
    </row>
    <row r="521" spans="59:84" ht="15.75" customHeight="1">
      <c r="BG521" s="762"/>
      <c r="BW521" s="790"/>
      <c r="BX521" s="790"/>
      <c r="BY521" s="792"/>
      <c r="BZ521" s="731"/>
      <c r="CA521" s="731"/>
      <c r="CB521" s="731"/>
      <c r="CC521" s="731"/>
      <c r="CD521" s="731"/>
      <c r="CE521" s="731"/>
      <c r="CF521" s="731"/>
    </row>
    <row r="522" spans="59:84" ht="15.75" customHeight="1">
      <c r="BG522" s="762"/>
      <c r="BW522" s="790"/>
      <c r="BX522" s="790"/>
      <c r="BY522" s="792"/>
      <c r="BZ522" s="731"/>
      <c r="CA522" s="731"/>
      <c r="CB522" s="731"/>
      <c r="CC522" s="731"/>
      <c r="CD522" s="731"/>
      <c r="CE522" s="731"/>
      <c r="CF522" s="731"/>
    </row>
    <row r="523" spans="59:84" ht="15.75" customHeight="1">
      <c r="BG523" s="762"/>
      <c r="BW523" s="790"/>
      <c r="BX523" s="790"/>
      <c r="BY523" s="792"/>
      <c r="BZ523" s="731"/>
      <c r="CA523" s="731"/>
      <c r="CB523" s="731"/>
      <c r="CC523" s="731"/>
      <c r="CD523" s="731"/>
      <c r="CE523" s="731"/>
      <c r="CF523" s="731"/>
    </row>
    <row r="524" spans="59:84" ht="15.75" customHeight="1">
      <c r="BG524" s="762"/>
      <c r="BW524" s="790"/>
      <c r="BX524" s="790"/>
      <c r="BY524" s="792"/>
      <c r="BZ524" s="731"/>
      <c r="CA524" s="731"/>
      <c r="CB524" s="731"/>
      <c r="CC524" s="731"/>
      <c r="CD524" s="731"/>
      <c r="CE524" s="731"/>
      <c r="CF524" s="731"/>
    </row>
    <row r="525" spans="59:84" ht="15.75" customHeight="1">
      <c r="BG525" s="762"/>
      <c r="BW525" s="790"/>
      <c r="BX525" s="790"/>
      <c r="BY525" s="792"/>
      <c r="BZ525" s="731"/>
      <c r="CA525" s="731"/>
      <c r="CB525" s="731"/>
      <c r="CC525" s="731"/>
      <c r="CD525" s="731"/>
      <c r="CE525" s="731"/>
      <c r="CF525" s="731"/>
    </row>
    <row r="526" spans="59:84" ht="15.75" customHeight="1">
      <c r="BG526" s="762"/>
      <c r="BW526" s="790"/>
      <c r="BX526" s="790"/>
      <c r="BY526" s="792"/>
      <c r="BZ526" s="731"/>
      <c r="CA526" s="731"/>
      <c r="CB526" s="731"/>
      <c r="CC526" s="731"/>
      <c r="CD526" s="731"/>
      <c r="CE526" s="731"/>
      <c r="CF526" s="731"/>
    </row>
    <row r="527" spans="59:84" ht="15.75" customHeight="1">
      <c r="BG527" s="762"/>
      <c r="BW527" s="790"/>
      <c r="BX527" s="790"/>
      <c r="BY527" s="792"/>
      <c r="BZ527" s="731"/>
      <c r="CA527" s="731"/>
      <c r="CB527" s="731"/>
      <c r="CC527" s="731"/>
      <c r="CD527" s="731"/>
      <c r="CE527" s="731"/>
      <c r="CF527" s="731"/>
    </row>
    <row r="528" spans="59:84" ht="15.75" customHeight="1">
      <c r="BG528" s="762"/>
      <c r="BW528" s="790"/>
      <c r="BX528" s="790"/>
      <c r="BY528" s="792"/>
      <c r="BZ528" s="731"/>
      <c r="CA528" s="731"/>
      <c r="CB528" s="731"/>
      <c r="CC528" s="731"/>
      <c r="CD528" s="731"/>
      <c r="CE528" s="731"/>
      <c r="CF528" s="731"/>
    </row>
    <row r="529" spans="59:84" ht="15.75" customHeight="1">
      <c r="BG529" s="762"/>
      <c r="BW529" s="790"/>
      <c r="BX529" s="790"/>
      <c r="BY529" s="792"/>
      <c r="BZ529" s="731"/>
      <c r="CA529" s="731"/>
      <c r="CB529" s="731"/>
      <c r="CC529" s="731"/>
      <c r="CD529" s="731"/>
      <c r="CE529" s="731"/>
      <c r="CF529" s="731"/>
    </row>
    <row r="530" spans="59:84" ht="15.75" customHeight="1">
      <c r="BG530" s="762"/>
      <c r="BW530" s="790"/>
      <c r="BX530" s="790"/>
      <c r="BY530" s="792"/>
      <c r="BZ530" s="731"/>
      <c r="CA530" s="731"/>
      <c r="CB530" s="731"/>
      <c r="CC530" s="731"/>
      <c r="CD530" s="731"/>
      <c r="CE530" s="731"/>
      <c r="CF530" s="731"/>
    </row>
    <row r="531" spans="59:84" ht="15.75" customHeight="1">
      <c r="BG531" s="762"/>
      <c r="BW531" s="790"/>
      <c r="BX531" s="790"/>
      <c r="BY531" s="792"/>
      <c r="BZ531" s="731"/>
      <c r="CA531" s="731"/>
      <c r="CB531" s="731"/>
      <c r="CC531" s="731"/>
      <c r="CD531" s="731"/>
      <c r="CE531" s="731"/>
      <c r="CF531" s="731"/>
    </row>
    <row r="532" spans="59:84" ht="15.75" customHeight="1">
      <c r="BG532" s="762"/>
      <c r="BW532" s="790"/>
      <c r="BX532" s="790"/>
      <c r="BY532" s="792"/>
      <c r="BZ532" s="731"/>
      <c r="CA532" s="731"/>
      <c r="CB532" s="731"/>
      <c r="CC532" s="731"/>
      <c r="CD532" s="731"/>
      <c r="CE532" s="731"/>
      <c r="CF532" s="731"/>
    </row>
    <row r="533" spans="59:84" ht="15.75" customHeight="1">
      <c r="BG533" s="762"/>
      <c r="BW533" s="790"/>
      <c r="BX533" s="790"/>
      <c r="BY533" s="792"/>
      <c r="BZ533" s="731"/>
      <c r="CA533" s="731"/>
      <c r="CB533" s="731"/>
      <c r="CC533" s="731"/>
      <c r="CD533" s="731"/>
      <c r="CE533" s="731"/>
      <c r="CF533" s="731"/>
    </row>
    <row r="534" spans="59:84" ht="15.75" customHeight="1">
      <c r="BG534" s="762"/>
      <c r="BW534" s="790"/>
      <c r="BX534" s="790"/>
      <c r="BY534" s="792"/>
      <c r="BZ534" s="731"/>
      <c r="CA534" s="731"/>
      <c r="CB534" s="731"/>
      <c r="CC534" s="731"/>
      <c r="CD534" s="731"/>
      <c r="CE534" s="731"/>
      <c r="CF534" s="731"/>
    </row>
    <row r="535" spans="59:84" ht="15.75" customHeight="1">
      <c r="BG535" s="762"/>
      <c r="BW535" s="790"/>
      <c r="BX535" s="790"/>
      <c r="BY535" s="792"/>
      <c r="BZ535" s="731"/>
      <c r="CA535" s="731"/>
      <c r="CB535" s="731"/>
      <c r="CC535" s="731"/>
      <c r="CD535" s="731"/>
      <c r="CE535" s="731"/>
      <c r="CF535" s="731"/>
    </row>
    <row r="536" spans="59:84" ht="15.75" customHeight="1">
      <c r="BG536" s="762"/>
      <c r="BW536" s="790"/>
      <c r="BX536" s="790"/>
      <c r="BY536" s="792"/>
      <c r="BZ536" s="731"/>
      <c r="CA536" s="731"/>
      <c r="CB536" s="731"/>
      <c r="CC536" s="731"/>
      <c r="CD536" s="731"/>
      <c r="CE536" s="731"/>
      <c r="CF536" s="731"/>
    </row>
    <row r="537" spans="59:84" ht="15.75" customHeight="1">
      <c r="BG537" s="762"/>
      <c r="BW537" s="790"/>
      <c r="BX537" s="790"/>
      <c r="BY537" s="792"/>
      <c r="BZ537" s="731"/>
      <c r="CA537" s="731"/>
      <c r="CB537" s="731"/>
      <c r="CC537" s="731"/>
      <c r="CD537" s="731"/>
      <c r="CE537" s="731"/>
      <c r="CF537" s="731"/>
    </row>
    <row r="538" spans="59:84" ht="15.75" customHeight="1">
      <c r="BG538" s="762"/>
      <c r="BW538" s="790"/>
      <c r="BX538" s="790"/>
      <c r="BY538" s="792"/>
      <c r="BZ538" s="731"/>
      <c r="CA538" s="731"/>
      <c r="CB538" s="731"/>
      <c r="CC538" s="731"/>
      <c r="CD538" s="731"/>
      <c r="CE538" s="731"/>
      <c r="CF538" s="731"/>
    </row>
    <row r="539" spans="59:84" ht="15.75" customHeight="1">
      <c r="BG539" s="762"/>
      <c r="BW539" s="790"/>
      <c r="BX539" s="790"/>
      <c r="BY539" s="792"/>
      <c r="BZ539" s="731"/>
      <c r="CA539" s="731"/>
      <c r="CB539" s="731"/>
      <c r="CC539" s="731"/>
      <c r="CD539" s="731"/>
      <c r="CE539" s="731"/>
      <c r="CF539" s="731"/>
    </row>
    <row r="540" spans="59:84" ht="15.75" customHeight="1">
      <c r="BG540" s="762"/>
      <c r="BW540" s="790"/>
      <c r="BX540" s="790"/>
      <c r="BY540" s="792"/>
      <c r="BZ540" s="731"/>
      <c r="CA540" s="731"/>
      <c r="CB540" s="731"/>
      <c r="CC540" s="731"/>
      <c r="CD540" s="731"/>
      <c r="CE540" s="731"/>
      <c r="CF540" s="731"/>
    </row>
    <row r="541" spans="59:84" ht="15.75" customHeight="1">
      <c r="BG541" s="762"/>
      <c r="BW541" s="790"/>
      <c r="BX541" s="790"/>
      <c r="BY541" s="792"/>
      <c r="BZ541" s="731"/>
      <c r="CA541" s="731"/>
      <c r="CB541" s="731"/>
      <c r="CC541" s="731"/>
      <c r="CD541" s="731"/>
      <c r="CE541" s="731"/>
      <c r="CF541" s="731"/>
    </row>
    <row r="542" spans="59:84" ht="15.75" customHeight="1">
      <c r="BG542" s="762"/>
      <c r="BW542" s="790"/>
      <c r="BX542" s="790"/>
      <c r="BY542" s="792"/>
      <c r="BZ542" s="731"/>
      <c r="CA542" s="731"/>
      <c r="CB542" s="731"/>
      <c r="CC542" s="731"/>
      <c r="CD542" s="731"/>
      <c r="CE542" s="731"/>
      <c r="CF542" s="731"/>
    </row>
    <row r="543" spans="59:84" ht="15.75" customHeight="1">
      <c r="BG543" s="762"/>
      <c r="BW543" s="790"/>
      <c r="BX543" s="790"/>
      <c r="BY543" s="792"/>
      <c r="BZ543" s="731"/>
      <c r="CA543" s="731"/>
      <c r="CB543" s="731"/>
      <c r="CC543" s="731"/>
      <c r="CD543" s="731"/>
      <c r="CE543" s="731"/>
      <c r="CF543" s="731"/>
    </row>
    <row r="544" spans="59:84" ht="15.75" customHeight="1">
      <c r="BG544" s="762"/>
      <c r="BW544" s="790"/>
      <c r="BX544" s="790"/>
      <c r="BY544" s="792"/>
      <c r="BZ544" s="731"/>
      <c r="CA544" s="731"/>
      <c r="CB544" s="731"/>
      <c r="CC544" s="731"/>
      <c r="CD544" s="731"/>
      <c r="CE544" s="731"/>
      <c r="CF544" s="731"/>
    </row>
    <row r="545" spans="59:84" ht="15.75" customHeight="1">
      <c r="BG545" s="762"/>
      <c r="BW545" s="790"/>
      <c r="BX545" s="790"/>
      <c r="BY545" s="792"/>
      <c r="BZ545" s="731"/>
      <c r="CA545" s="731"/>
      <c r="CB545" s="731"/>
      <c r="CC545" s="731"/>
      <c r="CD545" s="731"/>
      <c r="CE545" s="731"/>
      <c r="CF545" s="731"/>
    </row>
    <row r="546" spans="59:84" ht="15.75" customHeight="1">
      <c r="BG546" s="762"/>
      <c r="BW546" s="790"/>
      <c r="BX546" s="790"/>
      <c r="BY546" s="792"/>
      <c r="BZ546" s="731"/>
      <c r="CA546" s="731"/>
      <c r="CB546" s="731"/>
      <c r="CC546" s="731"/>
      <c r="CD546" s="731"/>
      <c r="CE546" s="731"/>
      <c r="CF546" s="731"/>
    </row>
    <row r="547" spans="59:84" ht="15.75" customHeight="1">
      <c r="BG547" s="762"/>
      <c r="BW547" s="790"/>
      <c r="BX547" s="790"/>
      <c r="BY547" s="792"/>
      <c r="BZ547" s="731"/>
      <c r="CA547" s="731"/>
      <c r="CB547" s="731"/>
      <c r="CC547" s="731"/>
      <c r="CD547" s="731"/>
      <c r="CE547" s="731"/>
      <c r="CF547" s="731"/>
    </row>
    <row r="548" spans="59:84" ht="15.75" customHeight="1">
      <c r="BG548" s="762"/>
      <c r="BW548" s="790"/>
      <c r="BX548" s="790"/>
      <c r="BY548" s="792"/>
      <c r="BZ548" s="731"/>
      <c r="CA548" s="731"/>
      <c r="CB548" s="731"/>
      <c r="CC548" s="731"/>
      <c r="CD548" s="731"/>
      <c r="CE548" s="731"/>
      <c r="CF548" s="731"/>
    </row>
    <row r="549" spans="59:84" ht="15.75" customHeight="1">
      <c r="BG549" s="762"/>
      <c r="BW549" s="790"/>
      <c r="BX549" s="790"/>
      <c r="BY549" s="792"/>
      <c r="BZ549" s="731"/>
      <c r="CA549" s="731"/>
      <c r="CB549" s="731"/>
      <c r="CC549" s="731"/>
      <c r="CD549" s="731"/>
      <c r="CE549" s="731"/>
      <c r="CF549" s="731"/>
    </row>
    <row r="550" spans="59:84" ht="15.75" customHeight="1">
      <c r="BG550" s="762"/>
      <c r="BW550" s="790"/>
      <c r="BX550" s="790"/>
      <c r="BY550" s="792"/>
      <c r="BZ550" s="731"/>
      <c r="CA550" s="731"/>
      <c r="CB550" s="731"/>
      <c r="CC550" s="731"/>
      <c r="CD550" s="731"/>
      <c r="CE550" s="731"/>
      <c r="CF550" s="731"/>
    </row>
    <row r="551" spans="59:84" ht="15.75" customHeight="1">
      <c r="BG551" s="762"/>
      <c r="BW551" s="790"/>
      <c r="BX551" s="790"/>
      <c r="BY551" s="792"/>
      <c r="BZ551" s="731"/>
      <c r="CA551" s="731"/>
      <c r="CB551" s="731"/>
      <c r="CC551" s="731"/>
      <c r="CD551" s="731"/>
      <c r="CE551" s="731"/>
      <c r="CF551" s="731"/>
    </row>
    <row r="552" spans="59:84" ht="15.75" customHeight="1">
      <c r="BG552" s="762"/>
      <c r="BW552" s="790"/>
      <c r="BX552" s="790"/>
      <c r="BY552" s="792"/>
      <c r="BZ552" s="731"/>
      <c r="CA552" s="731"/>
      <c r="CB552" s="731"/>
      <c r="CC552" s="731"/>
      <c r="CD552" s="731"/>
      <c r="CE552" s="731"/>
      <c r="CF552" s="731"/>
    </row>
    <row r="553" spans="59:84" ht="15.75" customHeight="1">
      <c r="BG553" s="762"/>
      <c r="BW553" s="790"/>
      <c r="BX553" s="790"/>
      <c r="BY553" s="792"/>
      <c r="BZ553" s="731"/>
      <c r="CA553" s="731"/>
      <c r="CB553" s="731"/>
      <c r="CC553" s="731"/>
      <c r="CD553" s="731"/>
      <c r="CE553" s="731"/>
      <c r="CF553" s="731"/>
    </row>
    <row r="554" spans="59:84" ht="15.75" customHeight="1">
      <c r="BG554" s="762"/>
      <c r="BW554" s="790"/>
      <c r="BX554" s="790"/>
      <c r="BY554" s="792"/>
      <c r="BZ554" s="731"/>
      <c r="CA554" s="731"/>
      <c r="CB554" s="731"/>
      <c r="CC554" s="731"/>
      <c r="CD554" s="731"/>
      <c r="CE554" s="731"/>
      <c r="CF554" s="731"/>
    </row>
    <row r="555" spans="59:84" ht="15.75" customHeight="1">
      <c r="BG555" s="762"/>
      <c r="BW555" s="790"/>
      <c r="BX555" s="790"/>
      <c r="BY555" s="792"/>
      <c r="BZ555" s="731"/>
      <c r="CA555" s="731"/>
      <c r="CB555" s="731"/>
      <c r="CC555" s="731"/>
      <c r="CD555" s="731"/>
      <c r="CE555" s="731"/>
      <c r="CF555" s="731"/>
    </row>
    <row r="556" spans="59:84" ht="15.75" customHeight="1">
      <c r="BG556" s="762"/>
      <c r="BW556" s="790"/>
      <c r="BX556" s="790"/>
      <c r="BY556" s="792"/>
      <c r="BZ556" s="731"/>
      <c r="CA556" s="731"/>
      <c r="CB556" s="731"/>
      <c r="CC556" s="731"/>
      <c r="CD556" s="731"/>
      <c r="CE556" s="731"/>
      <c r="CF556" s="731"/>
    </row>
    <row r="557" spans="59:84" ht="15.75" customHeight="1">
      <c r="BG557" s="762"/>
      <c r="BW557" s="790"/>
      <c r="BX557" s="790"/>
      <c r="BY557" s="792"/>
      <c r="BZ557" s="731"/>
      <c r="CA557" s="731"/>
      <c r="CB557" s="731"/>
      <c r="CC557" s="731"/>
      <c r="CD557" s="731"/>
      <c r="CE557" s="731"/>
      <c r="CF557" s="731"/>
    </row>
    <row r="558" spans="59:84" ht="15.75" customHeight="1">
      <c r="BG558" s="762"/>
      <c r="BW558" s="790"/>
      <c r="BX558" s="790"/>
      <c r="BY558" s="792"/>
      <c r="BZ558" s="731"/>
      <c r="CA558" s="731"/>
      <c r="CB558" s="731"/>
      <c r="CC558" s="731"/>
      <c r="CD558" s="731"/>
      <c r="CE558" s="731"/>
      <c r="CF558" s="731"/>
    </row>
    <row r="559" spans="59:84" ht="15.75" customHeight="1">
      <c r="BG559" s="762"/>
      <c r="BW559" s="790"/>
      <c r="BX559" s="790"/>
      <c r="BY559" s="792"/>
      <c r="BZ559" s="731"/>
      <c r="CA559" s="731"/>
      <c r="CB559" s="731"/>
      <c r="CC559" s="731"/>
      <c r="CD559" s="731"/>
      <c r="CE559" s="731"/>
      <c r="CF559" s="731"/>
    </row>
    <row r="560" spans="59:84" ht="15.75" customHeight="1">
      <c r="BG560" s="762"/>
      <c r="BW560" s="790"/>
      <c r="BX560" s="790"/>
      <c r="BY560" s="792"/>
      <c r="BZ560" s="731"/>
      <c r="CA560" s="731"/>
      <c r="CB560" s="731"/>
      <c r="CC560" s="731"/>
      <c r="CD560" s="731"/>
      <c r="CE560" s="731"/>
      <c r="CF560" s="731"/>
    </row>
    <row r="561" spans="59:84" ht="15.75" customHeight="1">
      <c r="BG561" s="762"/>
      <c r="BW561" s="790"/>
      <c r="BX561" s="790"/>
      <c r="BY561" s="792"/>
      <c r="BZ561" s="731"/>
      <c r="CA561" s="731"/>
      <c r="CB561" s="731"/>
      <c r="CC561" s="731"/>
      <c r="CD561" s="731"/>
      <c r="CE561" s="731"/>
      <c r="CF561" s="731"/>
    </row>
    <row r="562" spans="59:84" ht="15.75" customHeight="1">
      <c r="BG562" s="762"/>
      <c r="BW562" s="790"/>
      <c r="BX562" s="790"/>
      <c r="BY562" s="792"/>
      <c r="BZ562" s="731"/>
      <c r="CA562" s="731"/>
      <c r="CB562" s="731"/>
      <c r="CC562" s="731"/>
      <c r="CD562" s="731"/>
      <c r="CE562" s="731"/>
      <c r="CF562" s="731"/>
    </row>
    <row r="563" spans="59:84" ht="15.75" customHeight="1">
      <c r="BG563" s="762"/>
      <c r="BW563" s="790"/>
      <c r="BX563" s="790"/>
      <c r="BY563" s="792"/>
      <c r="BZ563" s="731"/>
      <c r="CA563" s="731"/>
      <c r="CB563" s="731"/>
      <c r="CC563" s="731"/>
      <c r="CD563" s="731"/>
      <c r="CE563" s="731"/>
      <c r="CF563" s="731"/>
    </row>
    <row r="564" spans="59:84" ht="15.75" customHeight="1">
      <c r="BG564" s="762"/>
      <c r="BW564" s="790"/>
      <c r="BX564" s="790"/>
      <c r="BY564" s="792"/>
      <c r="BZ564" s="731"/>
      <c r="CA564" s="731"/>
      <c r="CB564" s="731"/>
      <c r="CC564" s="731"/>
      <c r="CD564" s="731"/>
      <c r="CE564" s="731"/>
      <c r="CF564" s="731"/>
    </row>
    <row r="565" spans="59:84" ht="15.75" customHeight="1">
      <c r="BG565" s="762"/>
      <c r="BW565" s="790"/>
      <c r="BX565" s="790"/>
      <c r="BY565" s="792"/>
      <c r="BZ565" s="731"/>
      <c r="CA565" s="731"/>
      <c r="CB565" s="731"/>
      <c r="CC565" s="731"/>
      <c r="CD565" s="731"/>
      <c r="CE565" s="731"/>
      <c r="CF565" s="731"/>
    </row>
    <row r="566" spans="59:84" ht="15.75" customHeight="1">
      <c r="BG566" s="762"/>
      <c r="BW566" s="790"/>
      <c r="BX566" s="790"/>
      <c r="BY566" s="792"/>
      <c r="BZ566" s="731"/>
      <c r="CA566" s="731"/>
      <c r="CB566" s="731"/>
      <c r="CC566" s="731"/>
      <c r="CD566" s="731"/>
      <c r="CE566" s="731"/>
      <c r="CF566" s="731"/>
    </row>
    <row r="567" spans="59:84" ht="15.75" customHeight="1">
      <c r="BG567" s="762"/>
      <c r="BW567" s="790"/>
      <c r="BX567" s="790"/>
      <c r="BY567" s="792"/>
      <c r="BZ567" s="731"/>
      <c r="CA567" s="731"/>
      <c r="CB567" s="731"/>
      <c r="CC567" s="731"/>
      <c r="CD567" s="731"/>
      <c r="CE567" s="731"/>
      <c r="CF567" s="731"/>
    </row>
    <row r="568" spans="59:84" ht="15.75" customHeight="1">
      <c r="BG568" s="762"/>
      <c r="BW568" s="790"/>
      <c r="BX568" s="790"/>
      <c r="BY568" s="792"/>
      <c r="BZ568" s="731"/>
      <c r="CA568" s="731"/>
      <c r="CB568" s="731"/>
      <c r="CC568" s="731"/>
      <c r="CD568" s="731"/>
      <c r="CE568" s="731"/>
      <c r="CF568" s="731"/>
    </row>
    <row r="569" spans="59:84" ht="15.75" customHeight="1">
      <c r="BG569" s="762"/>
      <c r="BW569" s="790"/>
      <c r="BX569" s="790"/>
      <c r="BY569" s="792"/>
      <c r="BZ569" s="731"/>
      <c r="CA569" s="731"/>
      <c r="CB569" s="731"/>
      <c r="CC569" s="731"/>
      <c r="CD569" s="731"/>
      <c r="CE569" s="731"/>
      <c r="CF569" s="731"/>
    </row>
    <row r="570" spans="59:84" ht="15.75" customHeight="1">
      <c r="BG570" s="762"/>
      <c r="BW570" s="790"/>
      <c r="BX570" s="790"/>
      <c r="BY570" s="792"/>
      <c r="BZ570" s="731"/>
      <c r="CA570" s="731"/>
      <c r="CB570" s="731"/>
      <c r="CC570" s="731"/>
      <c r="CD570" s="731"/>
      <c r="CE570" s="731"/>
      <c r="CF570" s="731"/>
    </row>
    <row r="571" spans="59:84" ht="15.75" customHeight="1">
      <c r="BG571" s="762"/>
      <c r="BW571" s="790"/>
      <c r="BX571" s="790"/>
      <c r="BY571" s="792"/>
      <c r="BZ571" s="731"/>
      <c r="CA571" s="731"/>
      <c r="CB571" s="731"/>
      <c r="CC571" s="731"/>
      <c r="CD571" s="731"/>
      <c r="CE571" s="731"/>
      <c r="CF571" s="731"/>
    </row>
    <row r="572" spans="59:84" ht="15.75" customHeight="1">
      <c r="BG572" s="762"/>
      <c r="BW572" s="790"/>
      <c r="BX572" s="790"/>
      <c r="BY572" s="792"/>
      <c r="BZ572" s="731"/>
      <c r="CA572" s="731"/>
      <c r="CB572" s="731"/>
      <c r="CC572" s="731"/>
      <c r="CD572" s="731"/>
      <c r="CE572" s="731"/>
      <c r="CF572" s="731"/>
    </row>
    <row r="573" spans="59:84" ht="15.75" customHeight="1">
      <c r="BG573" s="762"/>
      <c r="BW573" s="790"/>
      <c r="BX573" s="790"/>
      <c r="BY573" s="792"/>
      <c r="BZ573" s="731"/>
      <c r="CA573" s="731"/>
      <c r="CB573" s="731"/>
      <c r="CC573" s="731"/>
      <c r="CD573" s="731"/>
      <c r="CE573" s="731"/>
      <c r="CF573" s="731"/>
    </row>
    <row r="574" spans="59:84" ht="15.75" customHeight="1">
      <c r="BG574" s="762"/>
      <c r="BW574" s="790"/>
      <c r="BX574" s="790"/>
      <c r="BY574" s="792"/>
      <c r="BZ574" s="731"/>
      <c r="CA574" s="731"/>
      <c r="CB574" s="731"/>
      <c r="CC574" s="731"/>
      <c r="CD574" s="731"/>
      <c r="CE574" s="731"/>
      <c r="CF574" s="731"/>
    </row>
    <row r="575" spans="59:84" ht="15.75" customHeight="1">
      <c r="BG575" s="762"/>
      <c r="BW575" s="790"/>
      <c r="BX575" s="790"/>
      <c r="BY575" s="792"/>
      <c r="BZ575" s="731"/>
      <c r="CA575" s="731"/>
      <c r="CB575" s="731"/>
      <c r="CC575" s="731"/>
      <c r="CD575" s="731"/>
      <c r="CE575" s="731"/>
      <c r="CF575" s="731"/>
    </row>
    <row r="576" spans="59:84" ht="15.75" customHeight="1">
      <c r="BG576" s="762"/>
      <c r="BW576" s="790"/>
      <c r="BX576" s="790"/>
      <c r="BY576" s="792"/>
      <c r="BZ576" s="731"/>
      <c r="CA576" s="731"/>
      <c r="CB576" s="731"/>
      <c r="CC576" s="731"/>
      <c r="CD576" s="731"/>
      <c r="CE576" s="731"/>
      <c r="CF576" s="731"/>
    </row>
    <row r="577" spans="59:84" ht="15.75" customHeight="1">
      <c r="BG577" s="762"/>
      <c r="BW577" s="790"/>
      <c r="BX577" s="790"/>
      <c r="BY577" s="792"/>
      <c r="BZ577" s="731"/>
      <c r="CA577" s="731"/>
      <c r="CB577" s="731"/>
      <c r="CC577" s="731"/>
      <c r="CD577" s="731"/>
      <c r="CE577" s="731"/>
      <c r="CF577" s="731"/>
    </row>
    <row r="578" spans="59:84" ht="15.75" customHeight="1">
      <c r="BG578" s="762"/>
      <c r="BW578" s="790"/>
      <c r="BX578" s="790"/>
      <c r="BY578" s="792"/>
      <c r="BZ578" s="731"/>
      <c r="CA578" s="731"/>
      <c r="CB578" s="731"/>
      <c r="CC578" s="731"/>
      <c r="CD578" s="731"/>
      <c r="CE578" s="731"/>
      <c r="CF578" s="731"/>
    </row>
    <row r="579" spans="59:84" ht="15.75" customHeight="1">
      <c r="BG579" s="762"/>
      <c r="BW579" s="790"/>
      <c r="BX579" s="790"/>
      <c r="BY579" s="792"/>
      <c r="BZ579" s="731"/>
      <c r="CA579" s="731"/>
      <c r="CB579" s="731"/>
      <c r="CC579" s="731"/>
      <c r="CD579" s="731"/>
      <c r="CE579" s="731"/>
      <c r="CF579" s="731"/>
    </row>
    <row r="580" spans="59:84" ht="15.75" customHeight="1">
      <c r="BG580" s="762"/>
      <c r="BW580" s="790"/>
      <c r="BX580" s="790"/>
      <c r="BY580" s="792"/>
      <c r="BZ580" s="731"/>
      <c r="CA580" s="731"/>
      <c r="CB580" s="731"/>
      <c r="CC580" s="731"/>
      <c r="CD580" s="731"/>
      <c r="CE580" s="731"/>
      <c r="CF580" s="731"/>
    </row>
    <row r="581" spans="59:84" ht="15.75" customHeight="1">
      <c r="BG581" s="762"/>
      <c r="BW581" s="790"/>
      <c r="BX581" s="790"/>
      <c r="BY581" s="792"/>
      <c r="BZ581" s="731"/>
      <c r="CA581" s="731"/>
      <c r="CB581" s="731"/>
      <c r="CC581" s="731"/>
      <c r="CD581" s="731"/>
      <c r="CE581" s="731"/>
      <c r="CF581" s="731"/>
    </row>
    <row r="582" spans="59:84" ht="15.75" customHeight="1">
      <c r="BG582" s="762"/>
      <c r="BW582" s="790"/>
      <c r="BX582" s="790"/>
      <c r="BY582" s="792"/>
      <c r="BZ582" s="731"/>
      <c r="CA582" s="731"/>
      <c r="CB582" s="731"/>
      <c r="CC582" s="731"/>
      <c r="CD582" s="731"/>
      <c r="CE582" s="731"/>
      <c r="CF582" s="731"/>
    </row>
    <row r="583" spans="59:84" ht="15.75" customHeight="1">
      <c r="BG583" s="762"/>
      <c r="BW583" s="790"/>
      <c r="BX583" s="790"/>
      <c r="BY583" s="792"/>
      <c r="BZ583" s="731"/>
      <c r="CA583" s="731"/>
      <c r="CB583" s="731"/>
      <c r="CC583" s="731"/>
      <c r="CD583" s="731"/>
      <c r="CE583" s="731"/>
      <c r="CF583" s="731"/>
    </row>
    <row r="584" spans="59:84" ht="15.75" customHeight="1">
      <c r="BG584" s="762"/>
      <c r="BW584" s="790"/>
      <c r="BX584" s="790"/>
      <c r="BY584" s="792"/>
      <c r="BZ584" s="731"/>
      <c r="CA584" s="731"/>
      <c r="CB584" s="731"/>
      <c r="CC584" s="731"/>
      <c r="CD584" s="731"/>
      <c r="CE584" s="731"/>
      <c r="CF584" s="731"/>
    </row>
    <row r="585" spans="59:84" ht="15.75" customHeight="1">
      <c r="BG585" s="762"/>
      <c r="BW585" s="790"/>
      <c r="BX585" s="790"/>
      <c r="BY585" s="792"/>
      <c r="BZ585" s="731"/>
      <c r="CA585" s="731"/>
      <c r="CB585" s="731"/>
      <c r="CC585" s="731"/>
      <c r="CD585" s="731"/>
      <c r="CE585" s="731"/>
      <c r="CF585" s="731"/>
    </row>
    <row r="586" spans="59:84" ht="15.75" customHeight="1">
      <c r="BG586" s="762"/>
      <c r="BW586" s="790"/>
      <c r="BX586" s="790"/>
      <c r="BY586" s="792"/>
      <c r="BZ586" s="731"/>
      <c r="CA586" s="731"/>
      <c r="CB586" s="731"/>
      <c r="CC586" s="731"/>
      <c r="CD586" s="731"/>
      <c r="CE586" s="731"/>
      <c r="CF586" s="731"/>
    </row>
    <row r="587" spans="59:84" ht="15.75" customHeight="1">
      <c r="BG587" s="762"/>
      <c r="BW587" s="790"/>
      <c r="BX587" s="790"/>
      <c r="BY587" s="792"/>
      <c r="BZ587" s="731"/>
      <c r="CA587" s="731"/>
      <c r="CB587" s="731"/>
      <c r="CC587" s="731"/>
      <c r="CD587" s="731"/>
      <c r="CE587" s="731"/>
      <c r="CF587" s="731"/>
    </row>
    <row r="588" spans="59:84" ht="15.75" customHeight="1">
      <c r="BG588" s="762"/>
      <c r="BW588" s="790"/>
      <c r="BX588" s="790"/>
      <c r="BY588" s="792"/>
      <c r="BZ588" s="731"/>
      <c r="CA588" s="731"/>
      <c r="CB588" s="731"/>
      <c r="CC588" s="731"/>
      <c r="CD588" s="731"/>
      <c r="CE588" s="731"/>
      <c r="CF588" s="731"/>
    </row>
    <row r="589" spans="59:84" ht="15.75" customHeight="1">
      <c r="BG589" s="762"/>
      <c r="BW589" s="790"/>
      <c r="BX589" s="790"/>
      <c r="BY589" s="792"/>
      <c r="BZ589" s="731"/>
      <c r="CA589" s="731"/>
      <c r="CB589" s="731"/>
      <c r="CC589" s="731"/>
      <c r="CD589" s="731"/>
      <c r="CE589" s="731"/>
      <c r="CF589" s="731"/>
    </row>
    <row r="590" spans="59:84" ht="15.75" customHeight="1">
      <c r="BG590" s="762"/>
      <c r="BW590" s="790"/>
      <c r="BX590" s="790"/>
      <c r="BY590" s="792"/>
      <c r="BZ590" s="731"/>
      <c r="CA590" s="731"/>
      <c r="CB590" s="731"/>
      <c r="CC590" s="731"/>
      <c r="CD590" s="731"/>
      <c r="CE590" s="731"/>
      <c r="CF590" s="731"/>
    </row>
    <row r="591" spans="59:84" ht="15.75" customHeight="1">
      <c r="BG591" s="762"/>
      <c r="BW591" s="790"/>
      <c r="BX591" s="790"/>
      <c r="BY591" s="792"/>
      <c r="BZ591" s="731"/>
      <c r="CA591" s="731"/>
      <c r="CB591" s="731"/>
      <c r="CC591" s="731"/>
      <c r="CD591" s="731"/>
      <c r="CE591" s="731"/>
      <c r="CF591" s="731"/>
    </row>
    <row r="592" spans="59:84" ht="15.75" customHeight="1">
      <c r="BG592" s="762"/>
      <c r="BW592" s="790"/>
      <c r="BX592" s="790"/>
      <c r="BY592" s="792"/>
      <c r="BZ592" s="731"/>
      <c r="CA592" s="731"/>
      <c r="CB592" s="731"/>
      <c r="CC592" s="731"/>
      <c r="CD592" s="731"/>
      <c r="CE592" s="731"/>
      <c r="CF592" s="731"/>
    </row>
    <row r="593" spans="59:84" ht="15.75" customHeight="1">
      <c r="BG593" s="762"/>
      <c r="BW593" s="790"/>
      <c r="BX593" s="790"/>
      <c r="BY593" s="792"/>
      <c r="BZ593" s="731"/>
      <c r="CA593" s="731"/>
      <c r="CB593" s="731"/>
      <c r="CC593" s="731"/>
      <c r="CD593" s="731"/>
      <c r="CE593" s="731"/>
      <c r="CF593" s="731"/>
    </row>
    <row r="594" spans="59:84" ht="15.75" customHeight="1">
      <c r="BG594" s="762"/>
      <c r="BW594" s="790"/>
      <c r="BX594" s="790"/>
      <c r="BY594" s="792"/>
      <c r="BZ594" s="731"/>
      <c r="CA594" s="731"/>
      <c r="CB594" s="731"/>
      <c r="CC594" s="731"/>
      <c r="CD594" s="731"/>
      <c r="CE594" s="731"/>
      <c r="CF594" s="731"/>
    </row>
    <row r="595" spans="59:84" ht="15.75" customHeight="1">
      <c r="BG595" s="762"/>
      <c r="BW595" s="790"/>
      <c r="BX595" s="790"/>
      <c r="BY595" s="792"/>
      <c r="BZ595" s="731"/>
      <c r="CA595" s="731"/>
      <c r="CB595" s="731"/>
      <c r="CC595" s="731"/>
      <c r="CD595" s="731"/>
      <c r="CE595" s="731"/>
      <c r="CF595" s="731"/>
    </row>
    <row r="596" spans="59:84" ht="15.75" customHeight="1">
      <c r="BG596" s="762"/>
      <c r="BW596" s="790"/>
      <c r="BX596" s="790"/>
      <c r="BY596" s="792"/>
      <c r="BZ596" s="731"/>
      <c r="CA596" s="731"/>
      <c r="CB596" s="731"/>
      <c r="CC596" s="731"/>
      <c r="CD596" s="731"/>
      <c r="CE596" s="731"/>
      <c r="CF596" s="731"/>
    </row>
    <row r="597" spans="59:84" ht="15.75" customHeight="1">
      <c r="BG597" s="762"/>
      <c r="BW597" s="790"/>
      <c r="BX597" s="790"/>
      <c r="BY597" s="792"/>
      <c r="BZ597" s="731"/>
      <c r="CA597" s="731"/>
      <c r="CB597" s="731"/>
      <c r="CC597" s="731"/>
      <c r="CD597" s="731"/>
      <c r="CE597" s="731"/>
      <c r="CF597" s="731"/>
    </row>
    <row r="598" spans="59:84" ht="15.75" customHeight="1">
      <c r="BG598" s="762"/>
      <c r="BW598" s="790"/>
      <c r="BX598" s="790"/>
      <c r="BY598" s="792"/>
      <c r="BZ598" s="731"/>
      <c r="CA598" s="731"/>
      <c r="CB598" s="731"/>
      <c r="CC598" s="731"/>
      <c r="CD598" s="731"/>
      <c r="CE598" s="731"/>
      <c r="CF598" s="731"/>
    </row>
    <row r="599" spans="59:84" ht="15.75" customHeight="1">
      <c r="BG599" s="762"/>
      <c r="BW599" s="790"/>
      <c r="BX599" s="790"/>
      <c r="BY599" s="792"/>
      <c r="BZ599" s="731"/>
      <c r="CA599" s="731"/>
      <c r="CB599" s="731"/>
      <c r="CC599" s="731"/>
      <c r="CD599" s="731"/>
      <c r="CE599" s="731"/>
      <c r="CF599" s="731"/>
    </row>
    <row r="600" spans="59:84" ht="15.75" customHeight="1">
      <c r="BG600" s="762"/>
      <c r="BW600" s="790"/>
      <c r="BX600" s="790"/>
      <c r="BY600" s="792"/>
      <c r="BZ600" s="731"/>
      <c r="CA600" s="731"/>
      <c r="CB600" s="731"/>
      <c r="CC600" s="731"/>
      <c r="CD600" s="731"/>
      <c r="CE600" s="731"/>
      <c r="CF600" s="731"/>
    </row>
    <row r="601" spans="59:84" ht="15.75" customHeight="1">
      <c r="BG601" s="762"/>
      <c r="BW601" s="790"/>
      <c r="BX601" s="790"/>
      <c r="BY601" s="792"/>
      <c r="BZ601" s="731"/>
      <c r="CA601" s="731"/>
      <c r="CB601" s="731"/>
      <c r="CC601" s="731"/>
      <c r="CD601" s="731"/>
      <c r="CE601" s="731"/>
      <c r="CF601" s="731"/>
    </row>
    <row r="602" spans="59:84" ht="15.75" customHeight="1">
      <c r="BG602" s="762"/>
      <c r="BW602" s="790"/>
      <c r="BX602" s="790"/>
      <c r="BY602" s="792"/>
      <c r="BZ602" s="731"/>
      <c r="CA602" s="731"/>
      <c r="CB602" s="731"/>
      <c r="CC602" s="731"/>
      <c r="CD602" s="731"/>
      <c r="CE602" s="731"/>
      <c r="CF602" s="731"/>
    </row>
    <row r="603" spans="59:84" ht="15.75" customHeight="1">
      <c r="BG603" s="762"/>
      <c r="BW603" s="790"/>
      <c r="BX603" s="790"/>
      <c r="BY603" s="792"/>
      <c r="BZ603" s="731"/>
      <c r="CA603" s="731"/>
      <c r="CB603" s="731"/>
      <c r="CC603" s="731"/>
      <c r="CD603" s="731"/>
      <c r="CE603" s="731"/>
      <c r="CF603" s="731"/>
    </row>
    <row r="604" spans="59:84" ht="15.75" customHeight="1">
      <c r="BG604" s="762"/>
      <c r="BW604" s="790"/>
      <c r="BX604" s="790"/>
      <c r="BY604" s="792"/>
      <c r="BZ604" s="731"/>
      <c r="CA604" s="731"/>
      <c r="CB604" s="731"/>
      <c r="CC604" s="731"/>
      <c r="CD604" s="731"/>
      <c r="CE604" s="731"/>
      <c r="CF604" s="731"/>
    </row>
    <row r="605" spans="59:84" ht="15.75" customHeight="1">
      <c r="BG605" s="762"/>
      <c r="BW605" s="790"/>
      <c r="BX605" s="790"/>
      <c r="BY605" s="792"/>
      <c r="BZ605" s="731"/>
      <c r="CA605" s="731"/>
      <c r="CB605" s="731"/>
      <c r="CC605" s="731"/>
      <c r="CD605" s="731"/>
      <c r="CE605" s="731"/>
      <c r="CF605" s="731"/>
    </row>
    <row r="606" spans="59:84" ht="15.75" customHeight="1">
      <c r="BG606" s="762"/>
      <c r="BW606" s="790"/>
      <c r="BX606" s="790"/>
      <c r="BY606" s="792"/>
      <c r="BZ606" s="731"/>
      <c r="CA606" s="731"/>
      <c r="CB606" s="731"/>
      <c r="CC606" s="731"/>
      <c r="CD606" s="731"/>
      <c r="CE606" s="731"/>
      <c r="CF606" s="731"/>
    </row>
    <row r="607" spans="59:84" ht="15.75" customHeight="1">
      <c r="BG607" s="762"/>
      <c r="BW607" s="790"/>
      <c r="BX607" s="790"/>
      <c r="BY607" s="792"/>
      <c r="BZ607" s="731"/>
      <c r="CA607" s="731"/>
      <c r="CB607" s="731"/>
      <c r="CC607" s="731"/>
      <c r="CD607" s="731"/>
      <c r="CE607" s="731"/>
      <c r="CF607" s="731"/>
    </row>
    <row r="608" spans="59:84" ht="15.75" customHeight="1">
      <c r="BG608" s="762"/>
      <c r="BW608" s="790"/>
      <c r="BX608" s="790"/>
      <c r="BY608" s="792"/>
      <c r="BZ608" s="731"/>
      <c r="CA608" s="731"/>
      <c r="CB608" s="731"/>
      <c r="CC608" s="731"/>
      <c r="CD608" s="731"/>
      <c r="CE608" s="731"/>
      <c r="CF608" s="731"/>
    </row>
    <row r="609" spans="59:84" ht="15.75" customHeight="1">
      <c r="BG609" s="762"/>
      <c r="BW609" s="790"/>
      <c r="BX609" s="790"/>
      <c r="BY609" s="792"/>
      <c r="BZ609" s="731"/>
      <c r="CA609" s="731"/>
      <c r="CB609" s="731"/>
      <c r="CC609" s="731"/>
      <c r="CD609" s="731"/>
      <c r="CE609" s="731"/>
      <c r="CF609" s="731"/>
    </row>
    <row r="610" spans="59:84" ht="15.75" customHeight="1">
      <c r="BG610" s="762"/>
      <c r="BW610" s="790"/>
      <c r="BX610" s="790"/>
      <c r="BY610" s="792"/>
      <c r="BZ610" s="731"/>
      <c r="CA610" s="731"/>
      <c r="CB610" s="731"/>
      <c r="CC610" s="731"/>
      <c r="CD610" s="731"/>
      <c r="CE610" s="731"/>
      <c r="CF610" s="731"/>
    </row>
    <row r="611" spans="59:84" ht="15.75" customHeight="1">
      <c r="BG611" s="762"/>
      <c r="BW611" s="790"/>
      <c r="BX611" s="790"/>
      <c r="BY611" s="792"/>
      <c r="BZ611" s="731"/>
      <c r="CA611" s="731"/>
      <c r="CB611" s="731"/>
      <c r="CC611" s="731"/>
      <c r="CD611" s="731"/>
      <c r="CE611" s="731"/>
      <c r="CF611" s="731"/>
    </row>
    <row r="612" spans="59:84" ht="15.75" customHeight="1">
      <c r="BG612" s="762"/>
      <c r="BW612" s="790"/>
      <c r="BX612" s="790"/>
      <c r="BY612" s="792"/>
      <c r="BZ612" s="731"/>
      <c r="CA612" s="731"/>
      <c r="CB612" s="731"/>
      <c r="CC612" s="731"/>
      <c r="CD612" s="731"/>
      <c r="CE612" s="731"/>
      <c r="CF612" s="731"/>
    </row>
    <row r="613" spans="59:84" ht="15.75" customHeight="1">
      <c r="BG613" s="762"/>
      <c r="BW613" s="790"/>
      <c r="BX613" s="790"/>
      <c r="BY613" s="792"/>
      <c r="BZ613" s="731"/>
      <c r="CA613" s="731"/>
      <c r="CB613" s="731"/>
      <c r="CC613" s="731"/>
      <c r="CD613" s="731"/>
      <c r="CE613" s="731"/>
      <c r="CF613" s="731"/>
    </row>
    <row r="614" spans="59:84" ht="15.75" customHeight="1">
      <c r="BG614" s="762"/>
      <c r="BW614" s="790"/>
      <c r="BX614" s="790"/>
      <c r="BY614" s="792"/>
      <c r="BZ614" s="731"/>
      <c r="CA614" s="731"/>
      <c r="CB614" s="731"/>
      <c r="CC614" s="731"/>
      <c r="CD614" s="731"/>
      <c r="CE614" s="731"/>
      <c r="CF614" s="731"/>
    </row>
    <row r="615" spans="59:84" ht="15.75" customHeight="1">
      <c r="BG615" s="762"/>
      <c r="BW615" s="790"/>
      <c r="BX615" s="790"/>
      <c r="BY615" s="792"/>
      <c r="BZ615" s="731"/>
      <c r="CA615" s="731"/>
      <c r="CB615" s="731"/>
      <c r="CC615" s="731"/>
      <c r="CD615" s="731"/>
      <c r="CE615" s="731"/>
      <c r="CF615" s="731"/>
    </row>
    <row r="616" spans="59:84" ht="15.75" customHeight="1">
      <c r="BG616" s="762"/>
      <c r="BW616" s="790"/>
      <c r="BX616" s="790"/>
      <c r="BY616" s="792"/>
      <c r="BZ616" s="731"/>
      <c r="CA616" s="731"/>
      <c r="CB616" s="731"/>
      <c r="CC616" s="731"/>
      <c r="CD616" s="731"/>
      <c r="CE616" s="731"/>
      <c r="CF616" s="731"/>
    </row>
    <row r="617" spans="59:84" ht="15.75" customHeight="1">
      <c r="BG617" s="762"/>
      <c r="BW617" s="790"/>
      <c r="BX617" s="790"/>
      <c r="BY617" s="792"/>
      <c r="BZ617" s="731"/>
      <c r="CA617" s="731"/>
      <c r="CB617" s="731"/>
      <c r="CC617" s="731"/>
      <c r="CD617" s="731"/>
      <c r="CE617" s="731"/>
      <c r="CF617" s="731"/>
    </row>
    <row r="618" spans="59:84" ht="15.75" customHeight="1">
      <c r="BG618" s="762"/>
      <c r="BW618" s="790"/>
      <c r="BX618" s="790"/>
      <c r="BY618" s="792"/>
      <c r="BZ618" s="731"/>
      <c r="CA618" s="731"/>
      <c r="CB618" s="731"/>
      <c r="CC618" s="731"/>
      <c r="CD618" s="731"/>
      <c r="CE618" s="731"/>
      <c r="CF618" s="731"/>
    </row>
    <row r="619" spans="59:84" ht="15.75" customHeight="1">
      <c r="BG619" s="762"/>
      <c r="BW619" s="790"/>
      <c r="BX619" s="790"/>
      <c r="BY619" s="792"/>
      <c r="BZ619" s="731"/>
      <c r="CA619" s="731"/>
      <c r="CB619" s="731"/>
      <c r="CC619" s="731"/>
      <c r="CD619" s="731"/>
      <c r="CE619" s="731"/>
      <c r="CF619" s="731"/>
    </row>
    <row r="620" spans="59:84" ht="15.75" customHeight="1">
      <c r="BG620" s="762"/>
      <c r="BW620" s="790"/>
      <c r="BX620" s="790"/>
      <c r="BY620" s="792"/>
      <c r="BZ620" s="731"/>
      <c r="CA620" s="731"/>
      <c r="CB620" s="731"/>
      <c r="CC620" s="731"/>
      <c r="CD620" s="731"/>
      <c r="CE620" s="731"/>
      <c r="CF620" s="731"/>
    </row>
    <row r="621" spans="59:84" ht="15.75" customHeight="1">
      <c r="BG621" s="762"/>
      <c r="BW621" s="790"/>
      <c r="BX621" s="790"/>
      <c r="BY621" s="792"/>
      <c r="BZ621" s="731"/>
      <c r="CA621" s="731"/>
      <c r="CB621" s="731"/>
      <c r="CC621" s="731"/>
      <c r="CD621" s="731"/>
      <c r="CE621" s="731"/>
      <c r="CF621" s="731"/>
    </row>
    <row r="622" spans="59:84" ht="15.75" customHeight="1">
      <c r="BG622" s="762"/>
      <c r="BW622" s="790"/>
      <c r="BX622" s="790"/>
      <c r="BY622" s="792"/>
      <c r="BZ622" s="731"/>
      <c r="CA622" s="731"/>
      <c r="CB622" s="731"/>
      <c r="CC622" s="731"/>
      <c r="CD622" s="731"/>
      <c r="CE622" s="731"/>
      <c r="CF622" s="731"/>
    </row>
    <row r="623" spans="59:84" ht="15.75" customHeight="1">
      <c r="BG623" s="762"/>
      <c r="BW623" s="790"/>
      <c r="BX623" s="790"/>
      <c r="BY623" s="792"/>
      <c r="BZ623" s="731"/>
      <c r="CA623" s="731"/>
      <c r="CB623" s="731"/>
      <c r="CC623" s="731"/>
      <c r="CD623" s="731"/>
      <c r="CE623" s="731"/>
      <c r="CF623" s="731"/>
    </row>
    <row r="624" spans="59:84" ht="15.75" customHeight="1">
      <c r="BG624" s="762"/>
      <c r="BW624" s="790"/>
      <c r="BX624" s="790"/>
      <c r="BY624" s="792"/>
      <c r="BZ624" s="731"/>
      <c r="CA624" s="731"/>
      <c r="CB624" s="731"/>
      <c r="CC624" s="731"/>
      <c r="CD624" s="731"/>
      <c r="CE624" s="731"/>
      <c r="CF624" s="731"/>
    </row>
    <row r="625" spans="59:84" ht="15.75" customHeight="1">
      <c r="BG625" s="762"/>
      <c r="BW625" s="790"/>
      <c r="BX625" s="790"/>
      <c r="BY625" s="792"/>
      <c r="BZ625" s="731"/>
      <c r="CA625" s="731"/>
      <c r="CB625" s="731"/>
      <c r="CC625" s="731"/>
      <c r="CD625" s="731"/>
      <c r="CE625" s="731"/>
      <c r="CF625" s="731"/>
    </row>
    <row r="626" spans="59:84" ht="15.75" customHeight="1">
      <c r="BG626" s="762"/>
      <c r="BW626" s="790"/>
      <c r="BX626" s="790"/>
      <c r="BY626" s="792"/>
      <c r="BZ626" s="731"/>
      <c r="CA626" s="731"/>
      <c r="CB626" s="731"/>
      <c r="CC626" s="731"/>
      <c r="CD626" s="731"/>
      <c r="CE626" s="731"/>
      <c r="CF626" s="731"/>
    </row>
    <row r="627" spans="59:84" ht="15.75" customHeight="1">
      <c r="BG627" s="762"/>
      <c r="BW627" s="790"/>
      <c r="BX627" s="790"/>
      <c r="BY627" s="792"/>
      <c r="BZ627" s="731"/>
      <c r="CA627" s="731"/>
      <c r="CB627" s="731"/>
      <c r="CC627" s="731"/>
      <c r="CD627" s="731"/>
      <c r="CE627" s="731"/>
      <c r="CF627" s="731"/>
    </row>
    <row r="628" spans="59:84" ht="15.75" customHeight="1">
      <c r="BG628" s="762"/>
      <c r="BW628" s="790"/>
      <c r="BX628" s="790"/>
      <c r="BY628" s="792"/>
      <c r="BZ628" s="731"/>
      <c r="CA628" s="731"/>
      <c r="CB628" s="731"/>
      <c r="CC628" s="731"/>
      <c r="CD628" s="731"/>
      <c r="CE628" s="731"/>
      <c r="CF628" s="731"/>
    </row>
    <row r="629" spans="59:84" ht="15.75" customHeight="1">
      <c r="BG629" s="762"/>
      <c r="BW629" s="790"/>
      <c r="BX629" s="790"/>
      <c r="BY629" s="792"/>
      <c r="BZ629" s="731"/>
      <c r="CA629" s="731"/>
      <c r="CB629" s="731"/>
      <c r="CC629" s="731"/>
      <c r="CD629" s="731"/>
      <c r="CE629" s="731"/>
      <c r="CF629" s="731"/>
    </row>
    <row r="630" spans="59:84" ht="15.75" customHeight="1">
      <c r="BG630" s="762"/>
      <c r="BW630" s="790"/>
      <c r="BX630" s="790"/>
      <c r="BY630" s="792"/>
      <c r="BZ630" s="731"/>
      <c r="CA630" s="731"/>
      <c r="CB630" s="731"/>
      <c r="CC630" s="731"/>
      <c r="CD630" s="731"/>
      <c r="CE630" s="731"/>
      <c r="CF630" s="731"/>
    </row>
    <row r="631" spans="59:84" ht="15.75" customHeight="1">
      <c r="BG631" s="762"/>
      <c r="BW631" s="790"/>
      <c r="BX631" s="790"/>
      <c r="BY631" s="792"/>
      <c r="BZ631" s="731"/>
      <c r="CA631" s="731"/>
      <c r="CB631" s="731"/>
      <c r="CC631" s="731"/>
      <c r="CD631" s="731"/>
      <c r="CE631" s="731"/>
      <c r="CF631" s="731"/>
    </row>
    <row r="632" spans="59:84" ht="15.75" customHeight="1">
      <c r="BG632" s="762"/>
      <c r="BW632" s="790"/>
      <c r="BX632" s="790"/>
      <c r="BY632" s="792"/>
      <c r="BZ632" s="731"/>
      <c r="CA632" s="731"/>
      <c r="CB632" s="731"/>
      <c r="CC632" s="731"/>
      <c r="CD632" s="731"/>
      <c r="CE632" s="731"/>
      <c r="CF632" s="731"/>
    </row>
    <row r="633" spans="59:84" ht="15.75" customHeight="1">
      <c r="BG633" s="762"/>
      <c r="BW633" s="790"/>
      <c r="BX633" s="790"/>
      <c r="BY633" s="792"/>
      <c r="BZ633" s="731"/>
      <c r="CA633" s="731"/>
      <c r="CB633" s="731"/>
      <c r="CC633" s="731"/>
      <c r="CD633" s="731"/>
      <c r="CE633" s="731"/>
      <c r="CF633" s="731"/>
    </row>
    <row r="634" spans="59:84" ht="15.75" customHeight="1">
      <c r="BG634" s="762"/>
      <c r="BW634" s="790"/>
      <c r="BX634" s="790"/>
      <c r="BY634" s="792"/>
      <c r="BZ634" s="731"/>
      <c r="CA634" s="731"/>
      <c r="CB634" s="731"/>
      <c r="CC634" s="731"/>
      <c r="CD634" s="731"/>
      <c r="CE634" s="731"/>
      <c r="CF634" s="731"/>
    </row>
    <row r="635" spans="59:84" ht="15.75" customHeight="1">
      <c r="BG635" s="762"/>
      <c r="BW635" s="790"/>
      <c r="BX635" s="790"/>
      <c r="BY635" s="792"/>
      <c r="BZ635" s="731"/>
      <c r="CA635" s="731"/>
      <c r="CB635" s="731"/>
      <c r="CC635" s="731"/>
      <c r="CD635" s="731"/>
      <c r="CE635" s="731"/>
      <c r="CF635" s="731"/>
    </row>
    <row r="636" spans="59:84" ht="15.75" customHeight="1">
      <c r="BG636" s="762"/>
      <c r="BW636" s="790"/>
      <c r="BX636" s="790"/>
      <c r="BY636" s="792"/>
      <c r="BZ636" s="731"/>
      <c r="CA636" s="731"/>
      <c r="CB636" s="731"/>
      <c r="CC636" s="731"/>
      <c r="CD636" s="731"/>
      <c r="CE636" s="731"/>
      <c r="CF636" s="731"/>
    </row>
    <row r="637" spans="59:84" ht="15.75" customHeight="1">
      <c r="BG637" s="762"/>
      <c r="BW637" s="790"/>
      <c r="BX637" s="790"/>
      <c r="BY637" s="792"/>
      <c r="BZ637" s="731"/>
      <c r="CA637" s="731"/>
      <c r="CB637" s="731"/>
      <c r="CC637" s="731"/>
      <c r="CD637" s="731"/>
      <c r="CE637" s="731"/>
      <c r="CF637" s="731"/>
    </row>
    <row r="638" spans="59:84" ht="15.75" customHeight="1">
      <c r="BG638" s="762"/>
      <c r="BW638" s="790"/>
      <c r="BX638" s="790"/>
      <c r="BY638" s="792"/>
      <c r="BZ638" s="731"/>
      <c r="CA638" s="731"/>
      <c r="CB638" s="731"/>
      <c r="CC638" s="731"/>
      <c r="CD638" s="731"/>
      <c r="CE638" s="731"/>
      <c r="CF638" s="731"/>
    </row>
    <row r="639" spans="59:84" ht="15.75" customHeight="1">
      <c r="BG639" s="762"/>
      <c r="BW639" s="790"/>
      <c r="BX639" s="790"/>
      <c r="BY639" s="792"/>
      <c r="BZ639" s="731"/>
      <c r="CA639" s="731"/>
      <c r="CB639" s="731"/>
      <c r="CC639" s="731"/>
      <c r="CD639" s="731"/>
      <c r="CE639" s="731"/>
      <c r="CF639" s="731"/>
    </row>
    <row r="640" spans="59:84" ht="15.75" customHeight="1">
      <c r="BG640" s="762"/>
      <c r="BW640" s="790"/>
      <c r="BX640" s="790"/>
      <c r="BY640" s="792"/>
      <c r="BZ640" s="731"/>
      <c r="CA640" s="731"/>
      <c r="CB640" s="731"/>
      <c r="CC640" s="731"/>
      <c r="CD640" s="731"/>
      <c r="CE640" s="731"/>
      <c r="CF640" s="731"/>
    </row>
    <row r="641" spans="59:84" ht="15.75" customHeight="1">
      <c r="BG641" s="762"/>
      <c r="BW641" s="790"/>
      <c r="BX641" s="790"/>
      <c r="BY641" s="792"/>
      <c r="BZ641" s="731"/>
      <c r="CA641" s="731"/>
      <c r="CB641" s="731"/>
      <c r="CC641" s="731"/>
      <c r="CD641" s="731"/>
      <c r="CE641" s="731"/>
      <c r="CF641" s="731"/>
    </row>
    <row r="642" spans="59:84" ht="15.75" customHeight="1">
      <c r="BG642" s="762"/>
      <c r="BW642" s="790"/>
      <c r="BX642" s="790"/>
      <c r="BY642" s="792"/>
      <c r="BZ642" s="731"/>
      <c r="CA642" s="731"/>
      <c r="CB642" s="731"/>
      <c r="CC642" s="731"/>
      <c r="CD642" s="731"/>
      <c r="CE642" s="731"/>
      <c r="CF642" s="731"/>
    </row>
    <row r="643" spans="59:84" ht="15.75" customHeight="1">
      <c r="BG643" s="762"/>
      <c r="BW643" s="790"/>
      <c r="BX643" s="790"/>
      <c r="BY643" s="792"/>
      <c r="BZ643" s="731"/>
      <c r="CA643" s="731"/>
      <c r="CB643" s="731"/>
      <c r="CC643" s="731"/>
      <c r="CD643" s="731"/>
      <c r="CE643" s="731"/>
      <c r="CF643" s="731"/>
    </row>
    <row r="644" spans="59:84" ht="15.75" customHeight="1">
      <c r="BG644" s="762"/>
      <c r="BW644" s="790"/>
      <c r="BX644" s="790"/>
      <c r="BY644" s="792"/>
      <c r="BZ644" s="731"/>
      <c r="CA644" s="731"/>
      <c r="CB644" s="731"/>
      <c r="CC644" s="731"/>
      <c r="CD644" s="731"/>
      <c r="CE644" s="731"/>
      <c r="CF644" s="731"/>
    </row>
    <row r="645" spans="59:84" ht="15.75" customHeight="1">
      <c r="BG645" s="762"/>
      <c r="BW645" s="790"/>
      <c r="BX645" s="790"/>
      <c r="BY645" s="792"/>
      <c r="BZ645" s="731"/>
      <c r="CA645" s="731"/>
      <c r="CB645" s="731"/>
      <c r="CC645" s="731"/>
      <c r="CD645" s="731"/>
      <c r="CE645" s="731"/>
      <c r="CF645" s="731"/>
    </row>
    <row r="646" spans="59:84" ht="15.75" customHeight="1">
      <c r="BG646" s="762"/>
      <c r="BW646" s="790"/>
      <c r="BX646" s="790"/>
      <c r="BY646" s="792"/>
      <c r="BZ646" s="731"/>
      <c r="CA646" s="731"/>
      <c r="CB646" s="731"/>
      <c r="CC646" s="731"/>
      <c r="CD646" s="731"/>
      <c r="CE646" s="731"/>
      <c r="CF646" s="731"/>
    </row>
    <row r="647" spans="59:84" ht="15.75" customHeight="1">
      <c r="BG647" s="762"/>
      <c r="BW647" s="790"/>
      <c r="BX647" s="790"/>
      <c r="BY647" s="792"/>
      <c r="BZ647" s="731"/>
      <c r="CA647" s="731"/>
      <c r="CB647" s="731"/>
      <c r="CC647" s="731"/>
      <c r="CD647" s="731"/>
      <c r="CE647" s="731"/>
      <c r="CF647" s="731"/>
    </row>
    <row r="648" spans="59:84" ht="15.75" customHeight="1">
      <c r="BG648" s="762"/>
      <c r="BW648" s="790"/>
      <c r="BX648" s="790"/>
      <c r="BY648" s="792"/>
      <c r="BZ648" s="731"/>
      <c r="CA648" s="731"/>
      <c r="CB648" s="731"/>
      <c r="CC648" s="731"/>
      <c r="CD648" s="731"/>
      <c r="CE648" s="731"/>
      <c r="CF648" s="731"/>
    </row>
    <row r="649" spans="59:84" ht="15.75" customHeight="1">
      <c r="BG649" s="762"/>
      <c r="BW649" s="790"/>
      <c r="BX649" s="790"/>
      <c r="BY649" s="792"/>
      <c r="BZ649" s="731"/>
      <c r="CA649" s="731"/>
      <c r="CB649" s="731"/>
      <c r="CC649" s="731"/>
      <c r="CD649" s="731"/>
      <c r="CE649" s="731"/>
      <c r="CF649" s="731"/>
    </row>
    <row r="650" spans="59:84" ht="15.75" customHeight="1">
      <c r="BG650" s="762"/>
      <c r="BW650" s="790"/>
      <c r="BX650" s="790"/>
      <c r="BY650" s="792"/>
      <c r="BZ650" s="731"/>
      <c r="CA650" s="731"/>
      <c r="CB650" s="731"/>
      <c r="CC650" s="731"/>
      <c r="CD650" s="731"/>
      <c r="CE650" s="731"/>
      <c r="CF650" s="731"/>
    </row>
    <row r="651" spans="59:84" ht="15.75" customHeight="1">
      <c r="BG651" s="762"/>
      <c r="BW651" s="790"/>
      <c r="BX651" s="790"/>
      <c r="BY651" s="792"/>
      <c r="BZ651" s="731"/>
      <c r="CA651" s="731"/>
      <c r="CB651" s="731"/>
      <c r="CC651" s="731"/>
      <c r="CD651" s="731"/>
      <c r="CE651" s="731"/>
      <c r="CF651" s="731"/>
    </row>
    <row r="652" spans="59:84" ht="15.75" customHeight="1">
      <c r="BG652" s="762"/>
      <c r="BW652" s="790"/>
      <c r="BX652" s="790"/>
      <c r="BY652" s="792"/>
      <c r="BZ652" s="731"/>
      <c r="CA652" s="731"/>
      <c r="CB652" s="731"/>
      <c r="CC652" s="731"/>
      <c r="CD652" s="731"/>
      <c r="CE652" s="731"/>
      <c r="CF652" s="731"/>
    </row>
    <row r="653" spans="59:84" ht="15.75" customHeight="1">
      <c r="BG653" s="762"/>
      <c r="BW653" s="790"/>
      <c r="BX653" s="790"/>
      <c r="BY653" s="792"/>
      <c r="BZ653" s="731"/>
      <c r="CA653" s="731"/>
      <c r="CB653" s="731"/>
      <c r="CC653" s="731"/>
      <c r="CD653" s="731"/>
      <c r="CE653" s="731"/>
      <c r="CF653" s="731"/>
    </row>
    <row r="654" spans="59:84" ht="15.75" customHeight="1">
      <c r="BG654" s="762"/>
      <c r="BW654" s="790"/>
      <c r="BX654" s="790"/>
      <c r="BY654" s="792"/>
      <c r="BZ654" s="731"/>
      <c r="CA654" s="731"/>
      <c r="CB654" s="731"/>
      <c r="CC654" s="731"/>
      <c r="CD654" s="731"/>
      <c r="CE654" s="731"/>
      <c r="CF654" s="731"/>
    </row>
    <row r="655" spans="59:84" ht="15.75" customHeight="1">
      <c r="BG655" s="762"/>
      <c r="BW655" s="790"/>
      <c r="BX655" s="790"/>
      <c r="BY655" s="792"/>
      <c r="BZ655" s="731"/>
      <c r="CA655" s="731"/>
      <c r="CB655" s="731"/>
      <c r="CC655" s="731"/>
      <c r="CD655" s="731"/>
      <c r="CE655" s="731"/>
      <c r="CF655" s="731"/>
    </row>
    <row r="656" spans="59:84" ht="15.75" customHeight="1">
      <c r="BG656" s="762"/>
      <c r="BW656" s="790"/>
      <c r="BX656" s="790"/>
      <c r="BY656" s="792"/>
      <c r="BZ656" s="731"/>
      <c r="CA656" s="731"/>
      <c r="CB656" s="731"/>
      <c r="CC656" s="731"/>
      <c r="CD656" s="731"/>
      <c r="CE656" s="731"/>
      <c r="CF656" s="731"/>
    </row>
    <row r="657" spans="59:84" ht="15.75" customHeight="1">
      <c r="BG657" s="762"/>
      <c r="BW657" s="790"/>
      <c r="BX657" s="790"/>
      <c r="BY657" s="792"/>
      <c r="BZ657" s="731"/>
      <c r="CA657" s="731"/>
      <c r="CB657" s="731"/>
      <c r="CC657" s="731"/>
      <c r="CD657" s="731"/>
      <c r="CE657" s="731"/>
      <c r="CF657" s="731"/>
    </row>
    <row r="658" spans="59:84" ht="15.75" customHeight="1">
      <c r="BG658" s="762"/>
      <c r="BW658" s="790"/>
      <c r="BX658" s="790"/>
      <c r="BY658" s="792"/>
      <c r="BZ658" s="731"/>
      <c r="CA658" s="731"/>
      <c r="CB658" s="731"/>
      <c r="CC658" s="731"/>
      <c r="CD658" s="731"/>
      <c r="CE658" s="731"/>
      <c r="CF658" s="731"/>
    </row>
    <row r="659" spans="59:84" ht="15.75" customHeight="1">
      <c r="BG659" s="762"/>
      <c r="BW659" s="790"/>
      <c r="BX659" s="790"/>
      <c r="BY659" s="792"/>
      <c r="BZ659" s="731"/>
      <c r="CA659" s="731"/>
      <c r="CB659" s="731"/>
      <c r="CC659" s="731"/>
      <c r="CD659" s="731"/>
      <c r="CE659" s="731"/>
      <c r="CF659" s="731"/>
    </row>
    <row r="660" spans="59:84" ht="15.75" customHeight="1">
      <c r="BG660" s="762"/>
      <c r="BW660" s="790"/>
      <c r="BX660" s="790"/>
      <c r="BY660" s="792"/>
      <c r="BZ660" s="731"/>
      <c r="CA660" s="731"/>
      <c r="CB660" s="731"/>
      <c r="CC660" s="731"/>
      <c r="CD660" s="731"/>
      <c r="CE660" s="731"/>
      <c r="CF660" s="731"/>
    </row>
    <row r="661" spans="59:84" ht="15.75" customHeight="1">
      <c r="BG661" s="762"/>
      <c r="BW661" s="790"/>
      <c r="BX661" s="790"/>
      <c r="BY661" s="792"/>
      <c r="BZ661" s="731"/>
      <c r="CA661" s="731"/>
      <c r="CB661" s="731"/>
      <c r="CC661" s="731"/>
      <c r="CD661" s="731"/>
      <c r="CE661" s="731"/>
      <c r="CF661" s="731"/>
    </row>
    <row r="662" spans="59:84" ht="15.75" customHeight="1">
      <c r="BG662" s="762"/>
      <c r="BW662" s="790"/>
      <c r="BX662" s="790"/>
      <c r="BY662" s="792"/>
      <c r="BZ662" s="731"/>
      <c r="CA662" s="731"/>
      <c r="CB662" s="731"/>
      <c r="CC662" s="731"/>
      <c r="CD662" s="731"/>
      <c r="CE662" s="731"/>
      <c r="CF662" s="731"/>
    </row>
    <row r="663" spans="59:84" ht="15.75" customHeight="1">
      <c r="BG663" s="762"/>
      <c r="BW663" s="790"/>
      <c r="BX663" s="790"/>
      <c r="BY663" s="792"/>
      <c r="BZ663" s="731"/>
      <c r="CA663" s="731"/>
      <c r="CB663" s="731"/>
      <c r="CC663" s="731"/>
      <c r="CD663" s="731"/>
      <c r="CE663" s="731"/>
      <c r="CF663" s="731"/>
    </row>
    <row r="664" spans="59:84" ht="15.75" customHeight="1">
      <c r="BG664" s="762"/>
      <c r="BW664" s="790"/>
      <c r="BX664" s="790"/>
      <c r="BY664" s="792"/>
      <c r="BZ664" s="731"/>
      <c r="CA664" s="731"/>
      <c r="CB664" s="731"/>
      <c r="CC664" s="731"/>
      <c r="CD664" s="731"/>
      <c r="CE664" s="731"/>
      <c r="CF664" s="731"/>
    </row>
    <row r="665" spans="59:84" ht="15.75" customHeight="1">
      <c r="BG665" s="762"/>
      <c r="BW665" s="790"/>
      <c r="BX665" s="790"/>
      <c r="BY665" s="792"/>
      <c r="BZ665" s="731"/>
      <c r="CA665" s="731"/>
      <c r="CB665" s="731"/>
      <c r="CC665" s="731"/>
      <c r="CD665" s="731"/>
      <c r="CE665" s="731"/>
      <c r="CF665" s="731"/>
    </row>
    <row r="666" spans="59:84" ht="15.75" customHeight="1">
      <c r="BG666" s="762"/>
      <c r="BW666" s="790"/>
      <c r="BX666" s="790"/>
      <c r="BY666" s="792"/>
      <c r="BZ666" s="731"/>
      <c r="CA666" s="731"/>
      <c r="CB666" s="731"/>
      <c r="CC666" s="731"/>
      <c r="CD666" s="731"/>
      <c r="CE666" s="731"/>
      <c r="CF666" s="731"/>
    </row>
    <row r="667" spans="59:84" ht="15.75" customHeight="1">
      <c r="BG667" s="762"/>
      <c r="BW667" s="790"/>
      <c r="BX667" s="790"/>
      <c r="BY667" s="792"/>
      <c r="BZ667" s="731"/>
      <c r="CA667" s="731"/>
      <c r="CB667" s="731"/>
      <c r="CC667" s="731"/>
      <c r="CD667" s="731"/>
      <c r="CE667" s="731"/>
      <c r="CF667" s="731"/>
    </row>
    <row r="668" spans="59:84" ht="15.75" customHeight="1">
      <c r="BG668" s="762"/>
      <c r="BW668" s="790"/>
      <c r="BX668" s="790"/>
      <c r="BY668" s="792"/>
      <c r="BZ668" s="731"/>
      <c r="CA668" s="731"/>
      <c r="CB668" s="731"/>
      <c r="CC668" s="731"/>
      <c r="CD668" s="731"/>
      <c r="CE668" s="731"/>
      <c r="CF668" s="731"/>
    </row>
    <row r="669" spans="59:84" ht="15.75" customHeight="1">
      <c r="BG669" s="762"/>
      <c r="BW669" s="790"/>
      <c r="BX669" s="790"/>
      <c r="BY669" s="792"/>
      <c r="BZ669" s="731"/>
      <c r="CA669" s="731"/>
      <c r="CB669" s="731"/>
      <c r="CC669" s="731"/>
      <c r="CD669" s="731"/>
      <c r="CE669" s="731"/>
      <c r="CF669" s="731"/>
    </row>
    <row r="670" spans="59:84" ht="15.75" customHeight="1">
      <c r="BG670" s="762"/>
      <c r="BW670" s="790"/>
      <c r="BX670" s="790"/>
      <c r="BY670" s="792"/>
      <c r="BZ670" s="731"/>
      <c r="CA670" s="731"/>
      <c r="CB670" s="731"/>
      <c r="CC670" s="731"/>
      <c r="CD670" s="731"/>
      <c r="CE670" s="731"/>
      <c r="CF670" s="731"/>
    </row>
    <row r="671" spans="59:84" ht="15.75" customHeight="1">
      <c r="BG671" s="762"/>
      <c r="BW671" s="790"/>
      <c r="BX671" s="790"/>
      <c r="BY671" s="792"/>
      <c r="BZ671" s="731"/>
      <c r="CA671" s="731"/>
      <c r="CB671" s="731"/>
      <c r="CC671" s="731"/>
      <c r="CD671" s="731"/>
      <c r="CE671" s="731"/>
      <c r="CF671" s="731"/>
    </row>
    <row r="672" spans="59:84" ht="15.75" customHeight="1">
      <c r="BG672" s="762"/>
      <c r="BW672" s="790"/>
      <c r="BX672" s="790"/>
      <c r="BY672" s="792"/>
      <c r="BZ672" s="731"/>
      <c r="CA672" s="731"/>
      <c r="CB672" s="731"/>
      <c r="CC672" s="731"/>
      <c r="CD672" s="731"/>
      <c r="CE672" s="731"/>
      <c r="CF672" s="731"/>
    </row>
    <row r="673" spans="59:84" ht="15.75" customHeight="1">
      <c r="BG673" s="762"/>
      <c r="BW673" s="790"/>
      <c r="BX673" s="790"/>
      <c r="BY673" s="792"/>
      <c r="BZ673" s="731"/>
      <c r="CA673" s="731"/>
      <c r="CB673" s="731"/>
      <c r="CC673" s="731"/>
      <c r="CD673" s="731"/>
      <c r="CE673" s="731"/>
      <c r="CF673" s="731"/>
    </row>
    <row r="674" spans="59:84" ht="15.75" customHeight="1">
      <c r="BG674" s="762"/>
      <c r="BW674" s="790"/>
      <c r="BX674" s="790"/>
      <c r="BY674" s="792"/>
      <c r="BZ674" s="731"/>
      <c r="CA674" s="731"/>
      <c r="CB674" s="731"/>
      <c r="CC674" s="731"/>
      <c r="CD674" s="731"/>
      <c r="CE674" s="731"/>
      <c r="CF674" s="731"/>
    </row>
    <row r="675" spans="59:84" ht="15.75" customHeight="1">
      <c r="BG675" s="762"/>
      <c r="BW675" s="790"/>
      <c r="BX675" s="790"/>
      <c r="BY675" s="792"/>
      <c r="BZ675" s="731"/>
      <c r="CA675" s="731"/>
      <c r="CB675" s="731"/>
      <c r="CC675" s="731"/>
      <c r="CD675" s="731"/>
      <c r="CE675" s="731"/>
      <c r="CF675" s="731"/>
    </row>
    <row r="676" spans="59:84" ht="15.75" customHeight="1">
      <c r="BG676" s="762"/>
      <c r="BW676" s="790"/>
      <c r="BX676" s="790"/>
      <c r="BY676" s="792"/>
      <c r="BZ676" s="731"/>
      <c r="CA676" s="731"/>
      <c r="CB676" s="731"/>
      <c r="CC676" s="731"/>
      <c r="CD676" s="731"/>
      <c r="CE676" s="731"/>
      <c r="CF676" s="731"/>
    </row>
    <row r="677" spans="59:84" ht="15.75" customHeight="1">
      <c r="BG677" s="762"/>
      <c r="BW677" s="790"/>
      <c r="BX677" s="790"/>
      <c r="BY677" s="792"/>
      <c r="BZ677" s="731"/>
      <c r="CA677" s="731"/>
      <c r="CB677" s="731"/>
      <c r="CC677" s="731"/>
      <c r="CD677" s="731"/>
      <c r="CE677" s="731"/>
      <c r="CF677" s="731"/>
    </row>
    <row r="678" spans="59:84" ht="15.75" customHeight="1">
      <c r="BG678" s="762"/>
      <c r="BW678" s="790"/>
      <c r="BX678" s="790"/>
      <c r="BY678" s="792"/>
      <c r="BZ678" s="731"/>
      <c r="CA678" s="731"/>
      <c r="CB678" s="731"/>
      <c r="CC678" s="731"/>
      <c r="CD678" s="731"/>
      <c r="CE678" s="731"/>
      <c r="CF678" s="731"/>
    </row>
    <row r="679" spans="59:84" ht="15.75" customHeight="1">
      <c r="BG679" s="762"/>
      <c r="BW679" s="790"/>
      <c r="BX679" s="790"/>
      <c r="BY679" s="792"/>
      <c r="BZ679" s="731"/>
      <c r="CA679" s="731"/>
      <c r="CB679" s="731"/>
      <c r="CC679" s="731"/>
      <c r="CD679" s="731"/>
      <c r="CE679" s="731"/>
      <c r="CF679" s="731"/>
    </row>
    <row r="680" spans="59:84" ht="15.75" customHeight="1">
      <c r="BG680" s="762"/>
      <c r="BW680" s="790"/>
      <c r="BX680" s="790"/>
      <c r="BY680" s="792"/>
      <c r="BZ680" s="731"/>
      <c r="CA680" s="731"/>
      <c r="CB680" s="731"/>
      <c r="CC680" s="731"/>
      <c r="CD680" s="731"/>
      <c r="CE680" s="731"/>
      <c r="CF680" s="731"/>
    </row>
    <row r="681" spans="59:84" ht="15.75" customHeight="1">
      <c r="BG681" s="762"/>
      <c r="BW681" s="790"/>
      <c r="BX681" s="790"/>
      <c r="BY681" s="792"/>
      <c r="BZ681" s="731"/>
      <c r="CA681" s="731"/>
      <c r="CB681" s="731"/>
      <c r="CC681" s="731"/>
      <c r="CD681" s="731"/>
      <c r="CE681" s="731"/>
      <c r="CF681" s="731"/>
    </row>
    <row r="682" spans="59:84" ht="15.75" customHeight="1">
      <c r="BG682" s="762"/>
      <c r="BW682" s="790"/>
      <c r="BX682" s="790"/>
      <c r="BY682" s="792"/>
      <c r="BZ682" s="731"/>
      <c r="CA682" s="731"/>
      <c r="CB682" s="731"/>
      <c r="CC682" s="731"/>
      <c r="CD682" s="731"/>
      <c r="CE682" s="731"/>
      <c r="CF682" s="731"/>
    </row>
    <row r="683" spans="59:84" ht="15.75" customHeight="1">
      <c r="BG683" s="762"/>
      <c r="BW683" s="790"/>
      <c r="BX683" s="790"/>
      <c r="BY683" s="792"/>
      <c r="BZ683" s="731"/>
      <c r="CA683" s="731"/>
      <c r="CB683" s="731"/>
      <c r="CC683" s="731"/>
      <c r="CD683" s="731"/>
      <c r="CE683" s="731"/>
      <c r="CF683" s="731"/>
    </row>
    <row r="684" spans="59:84" ht="15.75" customHeight="1">
      <c r="BG684" s="762"/>
      <c r="BW684" s="790"/>
      <c r="BX684" s="790"/>
      <c r="BY684" s="792"/>
      <c r="BZ684" s="731"/>
      <c r="CA684" s="731"/>
      <c r="CB684" s="731"/>
      <c r="CC684" s="731"/>
      <c r="CD684" s="731"/>
      <c r="CE684" s="731"/>
      <c r="CF684" s="731"/>
    </row>
    <row r="685" spans="59:84" ht="15.75" customHeight="1">
      <c r="BG685" s="762"/>
      <c r="BW685" s="790"/>
      <c r="BX685" s="790"/>
      <c r="BY685" s="792"/>
      <c r="BZ685" s="731"/>
      <c r="CA685" s="731"/>
      <c r="CB685" s="731"/>
      <c r="CC685" s="731"/>
      <c r="CD685" s="731"/>
      <c r="CE685" s="731"/>
      <c r="CF685" s="731"/>
    </row>
    <row r="686" spans="59:84" ht="15.75" customHeight="1">
      <c r="BG686" s="762"/>
      <c r="BW686" s="790"/>
      <c r="BX686" s="790"/>
      <c r="BY686" s="792"/>
      <c r="BZ686" s="731"/>
      <c r="CA686" s="731"/>
      <c r="CB686" s="731"/>
      <c r="CC686" s="731"/>
      <c r="CD686" s="731"/>
      <c r="CE686" s="731"/>
      <c r="CF686" s="731"/>
    </row>
    <row r="687" spans="59:84" ht="15.75" customHeight="1">
      <c r="BG687" s="762"/>
      <c r="BW687" s="790"/>
      <c r="BX687" s="790"/>
      <c r="BY687" s="792"/>
      <c r="BZ687" s="731"/>
      <c r="CA687" s="731"/>
      <c r="CB687" s="731"/>
      <c r="CC687" s="731"/>
      <c r="CD687" s="731"/>
      <c r="CE687" s="731"/>
      <c r="CF687" s="731"/>
    </row>
    <row r="688" spans="59:84" ht="15.75" customHeight="1">
      <c r="BG688" s="762"/>
      <c r="BW688" s="790"/>
      <c r="BX688" s="790"/>
      <c r="BY688" s="792"/>
      <c r="BZ688" s="731"/>
      <c r="CA688" s="731"/>
      <c r="CB688" s="731"/>
      <c r="CC688" s="731"/>
      <c r="CD688" s="731"/>
      <c r="CE688" s="731"/>
      <c r="CF688" s="731"/>
    </row>
    <row r="689" spans="59:84" ht="15.75" customHeight="1">
      <c r="BG689" s="762"/>
      <c r="BW689" s="790"/>
      <c r="BX689" s="790"/>
      <c r="BY689" s="792"/>
      <c r="BZ689" s="731"/>
      <c r="CA689" s="731"/>
      <c r="CB689" s="731"/>
      <c r="CC689" s="731"/>
      <c r="CD689" s="731"/>
      <c r="CE689" s="731"/>
      <c r="CF689" s="731"/>
    </row>
    <row r="690" spans="59:84" ht="15.75" customHeight="1">
      <c r="BG690" s="762"/>
      <c r="BW690" s="790"/>
      <c r="BX690" s="790"/>
      <c r="BY690" s="792"/>
      <c r="BZ690" s="731"/>
      <c r="CA690" s="731"/>
      <c r="CB690" s="731"/>
      <c r="CC690" s="731"/>
      <c r="CD690" s="731"/>
      <c r="CE690" s="731"/>
      <c r="CF690" s="731"/>
    </row>
    <row r="691" spans="59:84" ht="15.75" customHeight="1">
      <c r="BG691" s="762"/>
      <c r="BW691" s="790"/>
      <c r="BX691" s="790"/>
      <c r="BY691" s="792"/>
      <c r="BZ691" s="731"/>
      <c r="CA691" s="731"/>
      <c r="CB691" s="731"/>
      <c r="CC691" s="731"/>
      <c r="CD691" s="731"/>
      <c r="CE691" s="731"/>
      <c r="CF691" s="731"/>
    </row>
    <row r="692" spans="59:84" ht="15.75" customHeight="1">
      <c r="BG692" s="762"/>
      <c r="BW692" s="790"/>
      <c r="BX692" s="790"/>
      <c r="BY692" s="792"/>
      <c r="BZ692" s="731"/>
      <c r="CA692" s="731"/>
      <c r="CB692" s="731"/>
      <c r="CC692" s="731"/>
      <c r="CD692" s="731"/>
      <c r="CE692" s="731"/>
      <c r="CF692" s="731"/>
    </row>
    <row r="693" spans="59:84" ht="15.75" customHeight="1">
      <c r="BG693" s="762"/>
      <c r="BW693" s="790"/>
      <c r="BX693" s="790"/>
      <c r="BY693" s="792"/>
      <c r="BZ693" s="731"/>
      <c r="CA693" s="731"/>
      <c r="CB693" s="731"/>
      <c r="CC693" s="731"/>
      <c r="CD693" s="731"/>
      <c r="CE693" s="731"/>
      <c r="CF693" s="731"/>
    </row>
    <row r="694" spans="59:84" ht="15.75" customHeight="1">
      <c r="BG694" s="762"/>
      <c r="BW694" s="790"/>
      <c r="BX694" s="790"/>
      <c r="BY694" s="792"/>
      <c r="BZ694" s="731"/>
      <c r="CA694" s="731"/>
      <c r="CB694" s="731"/>
      <c r="CC694" s="731"/>
      <c r="CD694" s="731"/>
      <c r="CE694" s="731"/>
      <c r="CF694" s="731"/>
    </row>
    <row r="695" spans="59:84" ht="15.75" customHeight="1">
      <c r="BG695" s="762"/>
      <c r="BW695" s="790"/>
      <c r="BX695" s="790"/>
      <c r="BY695" s="792"/>
      <c r="BZ695" s="731"/>
      <c r="CA695" s="731"/>
      <c r="CB695" s="731"/>
      <c r="CC695" s="731"/>
      <c r="CD695" s="731"/>
      <c r="CE695" s="731"/>
      <c r="CF695" s="731"/>
    </row>
    <row r="696" spans="59:84" ht="15.75" customHeight="1">
      <c r="BG696" s="762"/>
      <c r="BW696" s="790"/>
      <c r="BX696" s="790"/>
      <c r="BY696" s="792"/>
      <c r="BZ696" s="731"/>
      <c r="CA696" s="731"/>
      <c r="CB696" s="731"/>
      <c r="CC696" s="731"/>
      <c r="CD696" s="731"/>
      <c r="CE696" s="731"/>
      <c r="CF696" s="731"/>
    </row>
    <row r="697" spans="59:84" ht="15.75" customHeight="1">
      <c r="BG697" s="762"/>
      <c r="BW697" s="790"/>
      <c r="BX697" s="790"/>
      <c r="BY697" s="792"/>
      <c r="BZ697" s="731"/>
      <c r="CA697" s="731"/>
      <c r="CB697" s="731"/>
      <c r="CC697" s="731"/>
      <c r="CD697" s="731"/>
      <c r="CE697" s="731"/>
      <c r="CF697" s="731"/>
    </row>
    <row r="698" spans="59:84" ht="15.75" customHeight="1">
      <c r="BG698" s="762"/>
      <c r="BW698" s="790"/>
      <c r="BX698" s="790"/>
      <c r="BY698" s="792"/>
      <c r="BZ698" s="731"/>
      <c r="CA698" s="731"/>
      <c r="CB698" s="731"/>
      <c r="CC698" s="731"/>
      <c r="CD698" s="731"/>
      <c r="CE698" s="731"/>
      <c r="CF698" s="731"/>
    </row>
    <row r="699" spans="59:84" ht="15.75" customHeight="1">
      <c r="BG699" s="762"/>
      <c r="BW699" s="790"/>
      <c r="BX699" s="790"/>
      <c r="BY699" s="792"/>
      <c r="BZ699" s="731"/>
      <c r="CA699" s="731"/>
      <c r="CB699" s="731"/>
      <c r="CC699" s="731"/>
      <c r="CD699" s="731"/>
      <c r="CE699" s="731"/>
      <c r="CF699" s="731"/>
    </row>
    <row r="700" spans="59:84" ht="15.75" customHeight="1">
      <c r="BG700" s="762"/>
      <c r="BW700" s="790"/>
      <c r="BX700" s="790"/>
      <c r="BY700" s="792"/>
      <c r="BZ700" s="731"/>
      <c r="CA700" s="731"/>
      <c r="CB700" s="731"/>
      <c r="CC700" s="731"/>
      <c r="CD700" s="731"/>
      <c r="CE700" s="731"/>
      <c r="CF700" s="731"/>
    </row>
    <row r="701" spans="59:84" ht="15.75" customHeight="1">
      <c r="BG701" s="762"/>
      <c r="BW701" s="790"/>
      <c r="BX701" s="790"/>
      <c r="BY701" s="792"/>
      <c r="BZ701" s="731"/>
      <c r="CA701" s="731"/>
      <c r="CB701" s="731"/>
      <c r="CC701" s="731"/>
      <c r="CD701" s="731"/>
      <c r="CE701" s="731"/>
      <c r="CF701" s="731"/>
    </row>
    <row r="702" spans="59:84" ht="15.75" customHeight="1">
      <c r="BG702" s="762"/>
      <c r="BW702" s="790"/>
      <c r="BX702" s="790"/>
      <c r="BY702" s="792"/>
      <c r="BZ702" s="731"/>
      <c r="CA702" s="731"/>
      <c r="CB702" s="731"/>
      <c r="CC702" s="731"/>
      <c r="CD702" s="731"/>
      <c r="CE702" s="731"/>
      <c r="CF702" s="731"/>
    </row>
    <row r="703" spans="59:84" ht="15.75" customHeight="1">
      <c r="BG703" s="762"/>
      <c r="BW703" s="790"/>
      <c r="BX703" s="790"/>
      <c r="BY703" s="792"/>
      <c r="BZ703" s="731"/>
      <c r="CA703" s="731"/>
      <c r="CB703" s="731"/>
      <c r="CC703" s="731"/>
      <c r="CD703" s="731"/>
      <c r="CE703" s="731"/>
      <c r="CF703" s="731"/>
    </row>
    <row r="704" spans="59:84" ht="15.75" customHeight="1">
      <c r="BG704" s="762"/>
      <c r="BW704" s="790"/>
      <c r="BX704" s="790"/>
      <c r="BY704" s="792"/>
      <c r="BZ704" s="731"/>
      <c r="CA704" s="731"/>
      <c r="CB704" s="731"/>
      <c r="CC704" s="731"/>
      <c r="CD704" s="731"/>
      <c r="CE704" s="731"/>
      <c r="CF704" s="731"/>
    </row>
    <row r="705" spans="59:84" ht="15.75" customHeight="1">
      <c r="BG705" s="762"/>
      <c r="BW705" s="790"/>
      <c r="BX705" s="790"/>
      <c r="BY705" s="792"/>
      <c r="BZ705" s="731"/>
      <c r="CA705" s="731"/>
      <c r="CB705" s="731"/>
      <c r="CC705" s="731"/>
      <c r="CD705" s="731"/>
      <c r="CE705" s="731"/>
      <c r="CF705" s="731"/>
    </row>
    <row r="706" spans="59:84" ht="15.75" customHeight="1">
      <c r="BG706" s="762"/>
      <c r="BW706" s="790"/>
      <c r="BX706" s="790"/>
      <c r="BY706" s="792"/>
      <c r="BZ706" s="731"/>
      <c r="CA706" s="731"/>
      <c r="CB706" s="731"/>
      <c r="CC706" s="731"/>
      <c r="CD706" s="731"/>
      <c r="CE706" s="731"/>
      <c r="CF706" s="731"/>
    </row>
    <row r="707" spans="59:84" ht="15.75" customHeight="1">
      <c r="BG707" s="762"/>
      <c r="BW707" s="790"/>
      <c r="BX707" s="790"/>
      <c r="BY707" s="792"/>
      <c r="BZ707" s="731"/>
      <c r="CA707" s="731"/>
      <c r="CB707" s="731"/>
      <c r="CC707" s="731"/>
      <c r="CD707" s="731"/>
      <c r="CE707" s="731"/>
      <c r="CF707" s="731"/>
    </row>
    <row r="708" spans="59:84" ht="15.75" customHeight="1">
      <c r="BG708" s="762"/>
      <c r="BW708" s="790"/>
      <c r="BX708" s="790"/>
      <c r="BY708" s="792"/>
      <c r="BZ708" s="731"/>
      <c r="CA708" s="731"/>
      <c r="CB708" s="731"/>
      <c r="CC708" s="731"/>
      <c r="CD708" s="731"/>
      <c r="CE708" s="731"/>
      <c r="CF708" s="731"/>
    </row>
    <row r="709" spans="59:84" ht="15.75" customHeight="1">
      <c r="BG709" s="762"/>
      <c r="BW709" s="790"/>
      <c r="BX709" s="790"/>
      <c r="BY709" s="792"/>
      <c r="BZ709" s="731"/>
      <c r="CA709" s="731"/>
      <c r="CB709" s="731"/>
      <c r="CC709" s="731"/>
      <c r="CD709" s="731"/>
      <c r="CE709" s="731"/>
      <c r="CF709" s="731"/>
    </row>
    <row r="710" spans="59:84" ht="15.75" customHeight="1">
      <c r="BG710" s="762"/>
      <c r="BW710" s="790"/>
      <c r="BX710" s="790"/>
      <c r="BY710" s="792"/>
      <c r="BZ710" s="731"/>
      <c r="CA710" s="731"/>
      <c r="CB710" s="731"/>
      <c r="CC710" s="731"/>
      <c r="CD710" s="731"/>
      <c r="CE710" s="731"/>
      <c r="CF710" s="731"/>
    </row>
    <row r="711" spans="59:84" ht="15.75" customHeight="1">
      <c r="BG711" s="762"/>
      <c r="BW711" s="790"/>
      <c r="BX711" s="790"/>
      <c r="BY711" s="792"/>
      <c r="BZ711" s="731"/>
      <c r="CA711" s="731"/>
      <c r="CB711" s="731"/>
      <c r="CC711" s="731"/>
      <c r="CD711" s="731"/>
      <c r="CE711" s="731"/>
      <c r="CF711" s="731"/>
    </row>
    <row r="712" spans="59:84" ht="15.75" customHeight="1">
      <c r="BG712" s="762"/>
      <c r="BW712" s="790"/>
      <c r="BX712" s="790"/>
      <c r="BY712" s="792"/>
      <c r="BZ712" s="731"/>
      <c r="CA712" s="731"/>
      <c r="CB712" s="731"/>
      <c r="CC712" s="731"/>
      <c r="CD712" s="731"/>
      <c r="CE712" s="731"/>
      <c r="CF712" s="731"/>
    </row>
    <row r="713" spans="59:84" ht="15.75" customHeight="1">
      <c r="BG713" s="762"/>
      <c r="BW713" s="790"/>
      <c r="BX713" s="790"/>
      <c r="BY713" s="792"/>
      <c r="BZ713" s="731"/>
      <c r="CA713" s="731"/>
      <c r="CB713" s="731"/>
      <c r="CC713" s="731"/>
      <c r="CD713" s="731"/>
      <c r="CE713" s="731"/>
      <c r="CF713" s="731"/>
    </row>
    <row r="714" spans="59:84" ht="15.75" customHeight="1">
      <c r="BG714" s="762"/>
      <c r="BW714" s="790"/>
      <c r="BX714" s="790"/>
      <c r="BY714" s="792"/>
      <c r="BZ714" s="731"/>
      <c r="CA714" s="731"/>
      <c r="CB714" s="731"/>
      <c r="CC714" s="731"/>
      <c r="CD714" s="731"/>
      <c r="CE714" s="731"/>
      <c r="CF714" s="731"/>
    </row>
    <row r="715" spans="59:84" ht="15.75" customHeight="1">
      <c r="BG715" s="762"/>
      <c r="BW715" s="790"/>
      <c r="BX715" s="790"/>
      <c r="BY715" s="792"/>
      <c r="BZ715" s="731"/>
      <c r="CA715" s="731"/>
      <c r="CB715" s="731"/>
      <c r="CC715" s="731"/>
      <c r="CD715" s="731"/>
      <c r="CE715" s="731"/>
      <c r="CF715" s="731"/>
    </row>
    <row r="716" spans="59:84" ht="15.75" customHeight="1">
      <c r="BG716" s="762"/>
      <c r="BW716" s="790"/>
      <c r="BX716" s="790"/>
      <c r="BY716" s="792"/>
      <c r="BZ716" s="731"/>
      <c r="CA716" s="731"/>
      <c r="CB716" s="731"/>
      <c r="CC716" s="731"/>
      <c r="CD716" s="731"/>
      <c r="CE716" s="731"/>
      <c r="CF716" s="731"/>
    </row>
    <row r="717" spans="59:84" ht="15.75" customHeight="1">
      <c r="BG717" s="762"/>
      <c r="BW717" s="790"/>
      <c r="BX717" s="790"/>
      <c r="BY717" s="792"/>
      <c r="BZ717" s="731"/>
      <c r="CA717" s="731"/>
      <c r="CB717" s="731"/>
      <c r="CC717" s="731"/>
      <c r="CD717" s="731"/>
      <c r="CE717" s="731"/>
      <c r="CF717" s="731"/>
    </row>
    <row r="718" spans="59:84" ht="15.75" customHeight="1">
      <c r="BG718" s="762"/>
      <c r="BW718" s="790"/>
      <c r="BX718" s="790"/>
      <c r="BY718" s="792"/>
      <c r="BZ718" s="731"/>
      <c r="CA718" s="731"/>
      <c r="CB718" s="731"/>
      <c r="CC718" s="731"/>
      <c r="CD718" s="731"/>
      <c r="CE718" s="731"/>
      <c r="CF718" s="731"/>
    </row>
    <row r="719" spans="59:84" ht="15.75" customHeight="1">
      <c r="BG719" s="762"/>
      <c r="BW719" s="790"/>
      <c r="BX719" s="790"/>
      <c r="BY719" s="792"/>
      <c r="BZ719" s="731"/>
      <c r="CA719" s="731"/>
      <c r="CB719" s="731"/>
      <c r="CC719" s="731"/>
      <c r="CD719" s="731"/>
      <c r="CE719" s="731"/>
      <c r="CF719" s="731"/>
    </row>
    <row r="720" spans="59:84" ht="15.75" customHeight="1">
      <c r="BG720" s="762"/>
      <c r="BW720" s="790"/>
      <c r="BX720" s="790"/>
      <c r="BY720" s="792"/>
      <c r="BZ720" s="731"/>
      <c r="CA720" s="731"/>
      <c r="CB720" s="731"/>
      <c r="CC720" s="731"/>
      <c r="CD720" s="731"/>
      <c r="CE720" s="731"/>
      <c r="CF720" s="731"/>
    </row>
    <row r="721" spans="59:84" ht="15.75" customHeight="1">
      <c r="BG721" s="762"/>
      <c r="BW721" s="790"/>
      <c r="BX721" s="790"/>
      <c r="BY721" s="792"/>
      <c r="BZ721" s="731"/>
      <c r="CA721" s="731"/>
      <c r="CB721" s="731"/>
      <c r="CC721" s="731"/>
      <c r="CD721" s="731"/>
      <c r="CE721" s="731"/>
      <c r="CF721" s="731"/>
    </row>
    <row r="722" spans="59:84" ht="15.75" customHeight="1">
      <c r="BG722" s="762"/>
      <c r="BW722" s="790"/>
      <c r="BX722" s="790"/>
      <c r="BY722" s="792"/>
      <c r="BZ722" s="731"/>
      <c r="CA722" s="731"/>
      <c r="CB722" s="731"/>
      <c r="CC722" s="731"/>
      <c r="CD722" s="731"/>
      <c r="CE722" s="731"/>
      <c r="CF722" s="731"/>
    </row>
    <row r="723" spans="59:84" ht="15.75" customHeight="1">
      <c r="BG723" s="762"/>
      <c r="BW723" s="790"/>
      <c r="BX723" s="790"/>
      <c r="BY723" s="792"/>
      <c r="BZ723" s="731"/>
      <c r="CA723" s="731"/>
      <c r="CB723" s="731"/>
      <c r="CC723" s="731"/>
      <c r="CD723" s="731"/>
      <c r="CE723" s="731"/>
      <c r="CF723" s="731"/>
    </row>
    <row r="724" spans="59:84" ht="15.75" customHeight="1">
      <c r="BG724" s="762"/>
      <c r="BW724" s="790"/>
      <c r="BX724" s="790"/>
      <c r="BY724" s="792"/>
      <c r="BZ724" s="731"/>
      <c r="CA724" s="731"/>
      <c r="CB724" s="731"/>
      <c r="CC724" s="731"/>
      <c r="CD724" s="731"/>
      <c r="CE724" s="731"/>
      <c r="CF724" s="731"/>
    </row>
    <row r="725" spans="59:84" ht="15.75" customHeight="1">
      <c r="BG725" s="762"/>
      <c r="BW725" s="790"/>
      <c r="BX725" s="790"/>
      <c r="BY725" s="792"/>
      <c r="BZ725" s="731"/>
      <c r="CA725" s="731"/>
      <c r="CB725" s="731"/>
      <c r="CC725" s="731"/>
      <c r="CD725" s="731"/>
      <c r="CE725" s="731"/>
      <c r="CF725" s="731"/>
    </row>
    <row r="726" spans="59:84" ht="15.75" customHeight="1">
      <c r="BG726" s="762"/>
      <c r="BW726" s="790"/>
      <c r="BX726" s="790"/>
      <c r="BY726" s="792"/>
      <c r="BZ726" s="731"/>
      <c r="CA726" s="731"/>
      <c r="CB726" s="731"/>
      <c r="CC726" s="731"/>
      <c r="CD726" s="731"/>
      <c r="CE726" s="731"/>
      <c r="CF726" s="731"/>
    </row>
    <row r="727" spans="59:84" ht="15.75" customHeight="1">
      <c r="BG727" s="762"/>
      <c r="BW727" s="790"/>
      <c r="BX727" s="790"/>
      <c r="BY727" s="792"/>
      <c r="BZ727" s="731"/>
      <c r="CA727" s="731"/>
      <c r="CB727" s="731"/>
      <c r="CC727" s="731"/>
      <c r="CD727" s="731"/>
      <c r="CE727" s="731"/>
      <c r="CF727" s="731"/>
    </row>
    <row r="728" spans="59:84" ht="15.75" customHeight="1">
      <c r="BG728" s="762"/>
      <c r="BW728" s="790"/>
      <c r="BX728" s="790"/>
      <c r="BY728" s="792"/>
      <c r="BZ728" s="731"/>
      <c r="CA728" s="731"/>
      <c r="CB728" s="731"/>
      <c r="CC728" s="731"/>
      <c r="CD728" s="731"/>
      <c r="CE728" s="731"/>
      <c r="CF728" s="731"/>
    </row>
    <row r="729" spans="59:84" ht="15.75" customHeight="1">
      <c r="BG729" s="762"/>
      <c r="BW729" s="790"/>
      <c r="BX729" s="790"/>
      <c r="BY729" s="792"/>
      <c r="BZ729" s="731"/>
      <c r="CA729" s="731"/>
      <c r="CB729" s="731"/>
      <c r="CC729" s="731"/>
      <c r="CD729" s="731"/>
      <c r="CE729" s="731"/>
      <c r="CF729" s="731"/>
    </row>
    <row r="730" spans="59:84" ht="15.75" customHeight="1">
      <c r="BG730" s="762"/>
      <c r="BW730" s="790"/>
      <c r="BX730" s="790"/>
      <c r="BY730" s="792"/>
      <c r="BZ730" s="731"/>
      <c r="CA730" s="731"/>
      <c r="CB730" s="731"/>
      <c r="CC730" s="731"/>
      <c r="CD730" s="731"/>
      <c r="CE730" s="731"/>
      <c r="CF730" s="731"/>
    </row>
    <row r="731" spans="59:84" ht="15.75" customHeight="1">
      <c r="BG731" s="762"/>
      <c r="BW731" s="790"/>
      <c r="BX731" s="790"/>
      <c r="BY731" s="792"/>
      <c r="BZ731" s="731"/>
      <c r="CA731" s="731"/>
      <c r="CB731" s="731"/>
      <c r="CC731" s="731"/>
      <c r="CD731" s="731"/>
      <c r="CE731" s="731"/>
      <c r="CF731" s="731"/>
    </row>
    <row r="732" spans="59:84" ht="15.75" customHeight="1">
      <c r="BG732" s="762"/>
      <c r="BW732" s="790"/>
      <c r="BX732" s="790"/>
      <c r="BY732" s="792"/>
      <c r="BZ732" s="731"/>
      <c r="CA732" s="731"/>
      <c r="CB732" s="731"/>
      <c r="CC732" s="731"/>
      <c r="CD732" s="731"/>
      <c r="CE732" s="731"/>
      <c r="CF732" s="731"/>
    </row>
    <row r="733" spans="59:84" ht="15.75" customHeight="1">
      <c r="BG733" s="762"/>
      <c r="BW733" s="790"/>
      <c r="BX733" s="790"/>
      <c r="BY733" s="792"/>
      <c r="BZ733" s="731"/>
      <c r="CA733" s="731"/>
      <c r="CB733" s="731"/>
      <c r="CC733" s="731"/>
      <c r="CD733" s="731"/>
      <c r="CE733" s="731"/>
      <c r="CF733" s="731"/>
    </row>
    <row r="734" spans="59:84" ht="15.75" customHeight="1">
      <c r="BG734" s="762"/>
      <c r="BW734" s="790"/>
      <c r="BX734" s="790"/>
      <c r="BY734" s="792"/>
      <c r="BZ734" s="731"/>
      <c r="CA734" s="731"/>
      <c r="CB734" s="731"/>
      <c r="CC734" s="731"/>
      <c r="CD734" s="731"/>
      <c r="CE734" s="731"/>
      <c r="CF734" s="731"/>
    </row>
    <row r="735" spans="59:84" ht="15.75" customHeight="1">
      <c r="BG735" s="762"/>
      <c r="BW735" s="790"/>
      <c r="BX735" s="790"/>
      <c r="BY735" s="792"/>
      <c r="BZ735" s="731"/>
      <c r="CA735" s="731"/>
      <c r="CB735" s="731"/>
      <c r="CC735" s="731"/>
      <c r="CD735" s="731"/>
      <c r="CE735" s="731"/>
      <c r="CF735" s="731"/>
    </row>
    <row r="736" spans="59:84" ht="15.75" customHeight="1">
      <c r="BG736" s="762"/>
      <c r="BW736" s="790"/>
      <c r="BX736" s="790"/>
      <c r="BY736" s="792"/>
      <c r="BZ736" s="731"/>
      <c r="CA736" s="731"/>
      <c r="CB736" s="731"/>
      <c r="CC736" s="731"/>
      <c r="CD736" s="731"/>
      <c r="CE736" s="731"/>
      <c r="CF736" s="731"/>
    </row>
    <row r="737" spans="59:84" ht="15.75" customHeight="1">
      <c r="BG737" s="762"/>
      <c r="BW737" s="790"/>
      <c r="BX737" s="790"/>
      <c r="BY737" s="792"/>
      <c r="BZ737" s="731"/>
      <c r="CA737" s="731"/>
      <c r="CB737" s="731"/>
      <c r="CC737" s="731"/>
      <c r="CD737" s="731"/>
      <c r="CE737" s="731"/>
      <c r="CF737" s="731"/>
    </row>
    <row r="738" spans="59:84" ht="15.75" customHeight="1">
      <c r="BG738" s="762"/>
      <c r="BW738" s="790"/>
      <c r="BX738" s="790"/>
      <c r="BY738" s="792"/>
      <c r="BZ738" s="731"/>
      <c r="CA738" s="731"/>
      <c r="CB738" s="731"/>
      <c r="CC738" s="731"/>
      <c r="CD738" s="731"/>
      <c r="CE738" s="731"/>
      <c r="CF738" s="731"/>
    </row>
    <row r="739" spans="59:84" ht="15.75" customHeight="1">
      <c r="BG739" s="762"/>
      <c r="BW739" s="790"/>
      <c r="BX739" s="790"/>
      <c r="BY739" s="792"/>
      <c r="BZ739" s="731"/>
      <c r="CA739" s="731"/>
      <c r="CB739" s="731"/>
      <c r="CC739" s="731"/>
      <c r="CD739" s="731"/>
      <c r="CE739" s="731"/>
      <c r="CF739" s="731"/>
    </row>
    <row r="740" spans="59:84" ht="15.75" customHeight="1">
      <c r="BG740" s="762"/>
      <c r="BW740" s="790"/>
      <c r="BX740" s="790"/>
      <c r="BY740" s="792"/>
      <c r="BZ740" s="731"/>
      <c r="CA740" s="731"/>
      <c r="CB740" s="731"/>
      <c r="CC740" s="731"/>
      <c r="CD740" s="731"/>
      <c r="CE740" s="731"/>
      <c r="CF740" s="731"/>
    </row>
    <row r="741" spans="59:84" ht="15.75" customHeight="1">
      <c r="BG741" s="762"/>
      <c r="BW741" s="790"/>
      <c r="BX741" s="790"/>
      <c r="BY741" s="792"/>
      <c r="BZ741" s="731"/>
      <c r="CA741" s="731"/>
      <c r="CB741" s="731"/>
      <c r="CC741" s="731"/>
      <c r="CD741" s="731"/>
      <c r="CE741" s="731"/>
      <c r="CF741" s="731"/>
    </row>
    <row r="742" spans="59:84" ht="15.75" customHeight="1">
      <c r="BG742" s="762"/>
      <c r="BW742" s="790"/>
      <c r="BX742" s="790"/>
      <c r="BY742" s="792"/>
      <c r="BZ742" s="731"/>
      <c r="CA742" s="731"/>
      <c r="CB742" s="731"/>
      <c r="CC742" s="731"/>
      <c r="CD742" s="731"/>
      <c r="CE742" s="731"/>
      <c r="CF742" s="731"/>
    </row>
    <row r="743" spans="59:84" ht="15.75" customHeight="1">
      <c r="BG743" s="762"/>
      <c r="BW743" s="790"/>
      <c r="BX743" s="790"/>
      <c r="BY743" s="792"/>
      <c r="BZ743" s="731"/>
      <c r="CA743" s="731"/>
      <c r="CB743" s="731"/>
      <c r="CC743" s="731"/>
      <c r="CD743" s="731"/>
      <c r="CE743" s="731"/>
      <c r="CF743" s="731"/>
    </row>
    <row r="744" spans="59:84" ht="15.75" customHeight="1">
      <c r="BG744" s="762"/>
      <c r="BW744" s="790"/>
      <c r="BX744" s="790"/>
      <c r="BY744" s="792"/>
      <c r="BZ744" s="731"/>
      <c r="CA744" s="731"/>
      <c r="CB744" s="731"/>
      <c r="CC744" s="731"/>
      <c r="CD744" s="731"/>
      <c r="CE744" s="731"/>
      <c r="CF744" s="731"/>
    </row>
    <row r="745" spans="59:84" ht="15.75" customHeight="1">
      <c r="BG745" s="762"/>
      <c r="BW745" s="790"/>
      <c r="BX745" s="790"/>
      <c r="BY745" s="792"/>
      <c r="BZ745" s="731"/>
      <c r="CA745" s="731"/>
      <c r="CB745" s="731"/>
      <c r="CC745" s="731"/>
      <c r="CD745" s="731"/>
      <c r="CE745" s="731"/>
      <c r="CF745" s="731"/>
    </row>
    <row r="746" spans="59:84" ht="15.75" customHeight="1">
      <c r="BG746" s="762"/>
      <c r="BW746" s="790"/>
      <c r="BX746" s="790"/>
      <c r="BY746" s="792"/>
      <c r="BZ746" s="731"/>
      <c r="CA746" s="731"/>
      <c r="CB746" s="731"/>
      <c r="CC746" s="731"/>
      <c r="CD746" s="731"/>
      <c r="CE746" s="731"/>
      <c r="CF746" s="731"/>
    </row>
    <row r="747" spans="59:84" ht="15.75" customHeight="1">
      <c r="BG747" s="762"/>
      <c r="BW747" s="790"/>
      <c r="BX747" s="790"/>
      <c r="BY747" s="792"/>
      <c r="BZ747" s="731"/>
      <c r="CA747" s="731"/>
      <c r="CB747" s="731"/>
      <c r="CC747" s="731"/>
      <c r="CD747" s="731"/>
      <c r="CE747" s="731"/>
      <c r="CF747" s="731"/>
    </row>
    <row r="748" spans="59:84" ht="15.75" customHeight="1">
      <c r="BG748" s="762"/>
      <c r="BW748" s="790"/>
      <c r="BX748" s="790"/>
      <c r="BY748" s="792"/>
      <c r="BZ748" s="731"/>
      <c r="CA748" s="731"/>
      <c r="CB748" s="731"/>
      <c r="CC748" s="731"/>
      <c r="CD748" s="731"/>
      <c r="CE748" s="731"/>
      <c r="CF748" s="731"/>
    </row>
    <row r="749" spans="59:84" ht="15.75" customHeight="1">
      <c r="BG749" s="762"/>
      <c r="BW749" s="790"/>
      <c r="BX749" s="790"/>
      <c r="BY749" s="792"/>
      <c r="BZ749" s="731"/>
      <c r="CA749" s="731"/>
      <c r="CB749" s="731"/>
      <c r="CC749" s="731"/>
      <c r="CD749" s="731"/>
      <c r="CE749" s="731"/>
      <c r="CF749" s="731"/>
    </row>
    <row r="750" spans="59:84" ht="15.75" customHeight="1">
      <c r="BG750" s="762"/>
      <c r="BW750" s="790"/>
      <c r="BX750" s="790"/>
      <c r="BY750" s="792"/>
      <c r="BZ750" s="731"/>
      <c r="CA750" s="731"/>
      <c r="CB750" s="731"/>
      <c r="CC750" s="731"/>
      <c r="CD750" s="731"/>
      <c r="CE750" s="731"/>
      <c r="CF750" s="731"/>
    </row>
    <row r="751" spans="59:84" ht="15.75" customHeight="1">
      <c r="BG751" s="762"/>
      <c r="BW751" s="790"/>
      <c r="BX751" s="790"/>
      <c r="BY751" s="792"/>
      <c r="BZ751" s="731"/>
      <c r="CA751" s="731"/>
      <c r="CB751" s="731"/>
      <c r="CC751" s="731"/>
      <c r="CD751" s="731"/>
      <c r="CE751" s="731"/>
      <c r="CF751" s="731"/>
    </row>
    <row r="752" spans="59:84" ht="15.75" customHeight="1">
      <c r="BG752" s="762"/>
      <c r="BW752" s="790"/>
      <c r="BX752" s="790"/>
      <c r="BY752" s="792"/>
      <c r="BZ752" s="731"/>
      <c r="CA752" s="731"/>
      <c r="CB752" s="731"/>
      <c r="CC752" s="731"/>
      <c r="CD752" s="731"/>
      <c r="CE752" s="731"/>
      <c r="CF752" s="731"/>
    </row>
    <row r="753" spans="59:84" ht="15.75" customHeight="1">
      <c r="BG753" s="762"/>
      <c r="BW753" s="790"/>
      <c r="BX753" s="790"/>
      <c r="BY753" s="792"/>
      <c r="BZ753" s="731"/>
      <c r="CA753" s="731"/>
      <c r="CB753" s="731"/>
      <c r="CC753" s="731"/>
      <c r="CD753" s="731"/>
      <c r="CE753" s="731"/>
      <c r="CF753" s="731"/>
    </row>
    <row r="754" spans="59:84" ht="15.75" customHeight="1">
      <c r="BG754" s="762"/>
      <c r="BW754" s="790"/>
      <c r="BX754" s="790"/>
      <c r="BY754" s="792"/>
      <c r="BZ754" s="731"/>
      <c r="CA754" s="731"/>
      <c r="CB754" s="731"/>
      <c r="CC754" s="731"/>
      <c r="CD754" s="731"/>
      <c r="CE754" s="731"/>
      <c r="CF754" s="731"/>
    </row>
    <row r="755" spans="59:84" ht="15.75" customHeight="1">
      <c r="BG755" s="762"/>
      <c r="BW755" s="790"/>
      <c r="BX755" s="790"/>
      <c r="BY755" s="792"/>
      <c r="BZ755" s="731"/>
      <c r="CA755" s="731"/>
      <c r="CB755" s="731"/>
      <c r="CC755" s="731"/>
      <c r="CD755" s="731"/>
      <c r="CE755" s="731"/>
      <c r="CF755" s="731"/>
    </row>
    <row r="756" spans="59:84" ht="15.75" customHeight="1">
      <c r="BG756" s="762"/>
      <c r="BW756" s="790"/>
      <c r="BX756" s="790"/>
      <c r="BY756" s="792"/>
      <c r="BZ756" s="731"/>
      <c r="CA756" s="731"/>
      <c r="CB756" s="731"/>
      <c r="CC756" s="731"/>
      <c r="CD756" s="731"/>
      <c r="CE756" s="731"/>
      <c r="CF756" s="731"/>
    </row>
    <row r="757" spans="59:84" ht="15.75" customHeight="1">
      <c r="BG757" s="762"/>
      <c r="BW757" s="790"/>
      <c r="BX757" s="790"/>
      <c r="BY757" s="792"/>
      <c r="BZ757" s="731"/>
      <c r="CA757" s="731"/>
      <c r="CB757" s="731"/>
      <c r="CC757" s="731"/>
      <c r="CD757" s="731"/>
      <c r="CE757" s="731"/>
      <c r="CF757" s="731"/>
    </row>
    <row r="758" spans="59:84" ht="15.75" customHeight="1">
      <c r="BG758" s="762"/>
      <c r="BW758" s="790"/>
      <c r="BX758" s="790"/>
      <c r="BY758" s="792"/>
      <c r="BZ758" s="731"/>
      <c r="CA758" s="731"/>
      <c r="CB758" s="731"/>
      <c r="CC758" s="731"/>
      <c r="CD758" s="731"/>
      <c r="CE758" s="731"/>
      <c r="CF758" s="731"/>
    </row>
    <row r="759" spans="59:84" ht="15.75" customHeight="1">
      <c r="BG759" s="762"/>
      <c r="BW759" s="790"/>
      <c r="BX759" s="790"/>
      <c r="BY759" s="792"/>
      <c r="BZ759" s="731"/>
      <c r="CA759" s="731"/>
      <c r="CB759" s="731"/>
      <c r="CC759" s="731"/>
      <c r="CD759" s="731"/>
      <c r="CE759" s="731"/>
      <c r="CF759" s="731"/>
    </row>
    <row r="760" spans="59:84" ht="15.75" customHeight="1">
      <c r="BG760" s="762"/>
      <c r="BW760" s="790"/>
      <c r="BX760" s="790"/>
      <c r="BY760" s="792"/>
      <c r="BZ760" s="731"/>
      <c r="CA760" s="731"/>
      <c r="CB760" s="731"/>
      <c r="CC760" s="731"/>
      <c r="CD760" s="731"/>
      <c r="CE760" s="731"/>
      <c r="CF760" s="731"/>
    </row>
    <row r="761" spans="59:84" ht="15.75" customHeight="1">
      <c r="BG761" s="762"/>
      <c r="BW761" s="790"/>
      <c r="BX761" s="790"/>
      <c r="BY761" s="792"/>
      <c r="BZ761" s="731"/>
      <c r="CA761" s="731"/>
      <c r="CB761" s="731"/>
      <c r="CC761" s="731"/>
      <c r="CD761" s="731"/>
      <c r="CE761" s="731"/>
      <c r="CF761" s="731"/>
    </row>
    <row r="762" spans="59:84" ht="15.75" customHeight="1">
      <c r="BG762" s="762"/>
      <c r="BW762" s="790"/>
      <c r="BX762" s="790"/>
      <c r="BY762" s="792"/>
      <c r="BZ762" s="731"/>
      <c r="CA762" s="731"/>
      <c r="CB762" s="731"/>
      <c r="CC762" s="731"/>
      <c r="CD762" s="731"/>
      <c r="CE762" s="731"/>
      <c r="CF762" s="731"/>
    </row>
    <row r="763" spans="59:84" ht="15.75" customHeight="1">
      <c r="BG763" s="762"/>
      <c r="BW763" s="790"/>
      <c r="BX763" s="790"/>
      <c r="BY763" s="792"/>
      <c r="BZ763" s="731"/>
      <c r="CA763" s="731"/>
      <c r="CB763" s="731"/>
      <c r="CC763" s="731"/>
      <c r="CD763" s="731"/>
      <c r="CE763" s="731"/>
      <c r="CF763" s="731"/>
    </row>
    <row r="764" spans="59:84" ht="15.75" customHeight="1">
      <c r="BG764" s="762"/>
      <c r="BW764" s="790"/>
      <c r="BX764" s="790"/>
      <c r="BY764" s="792"/>
      <c r="BZ764" s="731"/>
      <c r="CA764" s="731"/>
      <c r="CB764" s="731"/>
      <c r="CC764" s="731"/>
      <c r="CD764" s="731"/>
      <c r="CE764" s="731"/>
      <c r="CF764" s="731"/>
    </row>
    <row r="765" spans="59:84" ht="15.75" customHeight="1">
      <c r="BG765" s="762"/>
      <c r="BW765" s="790"/>
      <c r="BX765" s="790"/>
      <c r="BY765" s="792"/>
      <c r="BZ765" s="731"/>
      <c r="CA765" s="731"/>
      <c r="CB765" s="731"/>
      <c r="CC765" s="731"/>
      <c r="CD765" s="731"/>
      <c r="CE765" s="731"/>
      <c r="CF765" s="731"/>
    </row>
    <row r="766" spans="59:84" ht="15.75" customHeight="1">
      <c r="BG766" s="762"/>
      <c r="BW766" s="790"/>
      <c r="BX766" s="790"/>
      <c r="BY766" s="792"/>
      <c r="BZ766" s="731"/>
      <c r="CA766" s="731"/>
      <c r="CB766" s="731"/>
      <c r="CC766" s="731"/>
      <c r="CD766" s="731"/>
      <c r="CE766" s="731"/>
      <c r="CF766" s="731"/>
    </row>
    <row r="767" spans="59:84" ht="15.75" customHeight="1">
      <c r="BG767" s="762"/>
      <c r="BW767" s="790"/>
      <c r="BX767" s="790"/>
      <c r="BY767" s="792"/>
      <c r="BZ767" s="731"/>
      <c r="CA767" s="731"/>
      <c r="CB767" s="731"/>
      <c r="CC767" s="731"/>
      <c r="CD767" s="731"/>
      <c r="CE767" s="731"/>
      <c r="CF767" s="731"/>
    </row>
    <row r="768" spans="59:84" ht="15.75" customHeight="1">
      <c r="BG768" s="762"/>
      <c r="BW768" s="790"/>
      <c r="BX768" s="790"/>
      <c r="BY768" s="792"/>
      <c r="BZ768" s="731"/>
      <c r="CA768" s="731"/>
      <c r="CB768" s="731"/>
      <c r="CC768" s="731"/>
      <c r="CD768" s="731"/>
      <c r="CE768" s="731"/>
      <c r="CF768" s="731"/>
    </row>
    <row r="769" spans="59:84" ht="15.75" customHeight="1">
      <c r="BG769" s="762"/>
      <c r="BW769" s="790"/>
      <c r="BX769" s="790"/>
      <c r="BY769" s="792"/>
      <c r="BZ769" s="731"/>
      <c r="CA769" s="731"/>
      <c r="CB769" s="731"/>
      <c r="CC769" s="731"/>
      <c r="CD769" s="731"/>
      <c r="CE769" s="731"/>
      <c r="CF769" s="731"/>
    </row>
    <row r="770" spans="59:84" ht="15.75" customHeight="1">
      <c r="BG770" s="762"/>
      <c r="BW770" s="790"/>
      <c r="BX770" s="790"/>
      <c r="BY770" s="792"/>
      <c r="BZ770" s="731"/>
      <c r="CA770" s="731"/>
      <c r="CB770" s="731"/>
      <c r="CC770" s="731"/>
      <c r="CD770" s="731"/>
      <c r="CE770" s="731"/>
      <c r="CF770" s="731"/>
    </row>
    <row r="771" spans="59:84" ht="15.75" customHeight="1">
      <c r="BG771" s="762"/>
      <c r="BW771" s="790"/>
      <c r="BX771" s="790"/>
      <c r="BY771" s="792"/>
      <c r="BZ771" s="731"/>
      <c r="CA771" s="731"/>
      <c r="CB771" s="731"/>
      <c r="CC771" s="731"/>
      <c r="CD771" s="731"/>
      <c r="CE771" s="731"/>
      <c r="CF771" s="731"/>
    </row>
    <row r="772" spans="59:84" ht="15.75" customHeight="1">
      <c r="BG772" s="762"/>
      <c r="BW772" s="790"/>
      <c r="BX772" s="790"/>
      <c r="BY772" s="792"/>
      <c r="BZ772" s="731"/>
      <c r="CA772" s="731"/>
      <c r="CB772" s="731"/>
      <c r="CC772" s="731"/>
      <c r="CD772" s="731"/>
      <c r="CE772" s="731"/>
      <c r="CF772" s="731"/>
    </row>
    <row r="773" spans="59:84" ht="15.75" customHeight="1">
      <c r="BG773" s="762"/>
      <c r="BW773" s="790"/>
      <c r="BX773" s="790"/>
      <c r="BY773" s="792"/>
      <c r="BZ773" s="731"/>
      <c r="CA773" s="731"/>
      <c r="CB773" s="731"/>
      <c r="CC773" s="731"/>
      <c r="CD773" s="731"/>
      <c r="CE773" s="731"/>
      <c r="CF773" s="731"/>
    </row>
    <row r="774" spans="59:84" ht="15.75" customHeight="1">
      <c r="BG774" s="762"/>
      <c r="BW774" s="790"/>
      <c r="BX774" s="790"/>
      <c r="BY774" s="792"/>
      <c r="BZ774" s="731"/>
      <c r="CA774" s="731"/>
      <c r="CB774" s="731"/>
      <c r="CC774" s="731"/>
      <c r="CD774" s="731"/>
      <c r="CE774" s="731"/>
      <c r="CF774" s="731"/>
    </row>
    <row r="775" spans="59:84" ht="15.75" customHeight="1">
      <c r="BG775" s="762"/>
      <c r="BW775" s="790"/>
      <c r="BX775" s="790"/>
      <c r="BY775" s="792"/>
      <c r="BZ775" s="731"/>
      <c r="CA775" s="731"/>
      <c r="CB775" s="731"/>
      <c r="CC775" s="731"/>
      <c r="CD775" s="731"/>
      <c r="CE775" s="731"/>
      <c r="CF775" s="731"/>
    </row>
    <row r="776" spans="59:84" ht="15.75" customHeight="1">
      <c r="BG776" s="762"/>
      <c r="BW776" s="790"/>
      <c r="BX776" s="790"/>
      <c r="BY776" s="792"/>
      <c r="BZ776" s="731"/>
      <c r="CA776" s="731"/>
      <c r="CB776" s="731"/>
      <c r="CC776" s="731"/>
      <c r="CD776" s="731"/>
      <c r="CE776" s="731"/>
      <c r="CF776" s="731"/>
    </row>
    <row r="777" spans="59:84" ht="15.75" customHeight="1">
      <c r="BG777" s="762"/>
      <c r="BW777" s="790"/>
      <c r="BX777" s="790"/>
      <c r="BY777" s="792"/>
      <c r="BZ777" s="731"/>
      <c r="CA777" s="731"/>
      <c r="CB777" s="731"/>
      <c r="CC777" s="731"/>
      <c r="CD777" s="731"/>
      <c r="CE777" s="731"/>
      <c r="CF777" s="731"/>
    </row>
    <row r="778" spans="59:84" ht="15.75" customHeight="1">
      <c r="BG778" s="762"/>
      <c r="BW778" s="790"/>
      <c r="BX778" s="790"/>
      <c r="BY778" s="792"/>
      <c r="BZ778" s="731"/>
      <c r="CA778" s="731"/>
      <c r="CB778" s="731"/>
      <c r="CC778" s="731"/>
      <c r="CD778" s="731"/>
      <c r="CE778" s="731"/>
      <c r="CF778" s="731"/>
    </row>
    <row r="779" spans="59:84" ht="15.75" customHeight="1">
      <c r="BG779" s="762"/>
      <c r="BW779" s="790"/>
      <c r="BX779" s="790"/>
      <c r="BY779" s="792"/>
      <c r="BZ779" s="731"/>
      <c r="CA779" s="731"/>
      <c r="CB779" s="731"/>
      <c r="CC779" s="731"/>
      <c r="CD779" s="731"/>
      <c r="CE779" s="731"/>
      <c r="CF779" s="731"/>
    </row>
    <row r="780" spans="59:84" ht="15.75" customHeight="1">
      <c r="BG780" s="762"/>
      <c r="BW780" s="790"/>
      <c r="BX780" s="790"/>
      <c r="BY780" s="792"/>
      <c r="BZ780" s="731"/>
      <c r="CA780" s="731"/>
      <c r="CB780" s="731"/>
      <c r="CC780" s="731"/>
      <c r="CD780" s="731"/>
      <c r="CE780" s="731"/>
      <c r="CF780" s="731"/>
    </row>
    <row r="781" spans="59:84" ht="15.75" customHeight="1">
      <c r="BG781" s="762"/>
      <c r="BW781" s="790"/>
      <c r="BX781" s="790"/>
      <c r="BY781" s="792"/>
      <c r="BZ781" s="731"/>
      <c r="CA781" s="731"/>
      <c r="CB781" s="731"/>
      <c r="CC781" s="731"/>
      <c r="CD781" s="731"/>
      <c r="CE781" s="731"/>
      <c r="CF781" s="731"/>
    </row>
    <row r="782" spans="59:84" ht="15.75" customHeight="1">
      <c r="BG782" s="762"/>
      <c r="BW782" s="790"/>
      <c r="BX782" s="790"/>
      <c r="BY782" s="792"/>
      <c r="BZ782" s="731"/>
      <c r="CA782" s="731"/>
      <c r="CB782" s="731"/>
      <c r="CC782" s="731"/>
      <c r="CD782" s="731"/>
      <c r="CE782" s="731"/>
      <c r="CF782" s="731"/>
    </row>
    <row r="783" spans="59:84" ht="15.75" customHeight="1">
      <c r="BG783" s="762"/>
      <c r="BW783" s="790"/>
      <c r="BX783" s="790"/>
      <c r="BY783" s="792"/>
      <c r="BZ783" s="731"/>
      <c r="CA783" s="731"/>
      <c r="CB783" s="731"/>
      <c r="CC783" s="731"/>
      <c r="CD783" s="731"/>
      <c r="CE783" s="731"/>
      <c r="CF783" s="731"/>
    </row>
    <row r="784" spans="59:84" ht="15.75" customHeight="1">
      <c r="BG784" s="762"/>
      <c r="BW784" s="790"/>
      <c r="BX784" s="790"/>
      <c r="BY784" s="792"/>
      <c r="BZ784" s="731"/>
      <c r="CA784" s="731"/>
      <c r="CB784" s="731"/>
      <c r="CC784" s="731"/>
      <c r="CD784" s="731"/>
      <c r="CE784" s="731"/>
      <c r="CF784" s="731"/>
    </row>
    <row r="785" spans="59:84" ht="15.75" customHeight="1">
      <c r="BG785" s="762"/>
      <c r="BW785" s="790"/>
      <c r="BX785" s="790"/>
      <c r="BY785" s="792"/>
      <c r="BZ785" s="731"/>
      <c r="CA785" s="731"/>
      <c r="CB785" s="731"/>
      <c r="CC785" s="731"/>
      <c r="CD785" s="731"/>
      <c r="CE785" s="731"/>
      <c r="CF785" s="731"/>
    </row>
    <row r="786" spans="59:84" ht="15.75" customHeight="1">
      <c r="BG786" s="762"/>
      <c r="BW786" s="790"/>
      <c r="BX786" s="790"/>
      <c r="BY786" s="792"/>
      <c r="BZ786" s="731"/>
      <c r="CA786" s="731"/>
      <c r="CB786" s="731"/>
      <c r="CC786" s="731"/>
      <c r="CD786" s="731"/>
      <c r="CE786" s="731"/>
      <c r="CF786" s="731"/>
    </row>
    <row r="787" spans="59:84" ht="15.75" customHeight="1">
      <c r="BG787" s="762"/>
      <c r="BW787" s="790"/>
      <c r="BX787" s="790"/>
      <c r="BY787" s="792"/>
      <c r="BZ787" s="731"/>
      <c r="CA787" s="731"/>
      <c r="CB787" s="731"/>
      <c r="CC787" s="731"/>
      <c r="CD787" s="731"/>
      <c r="CE787" s="731"/>
      <c r="CF787" s="731"/>
    </row>
    <row r="788" spans="59:84" ht="15.75" customHeight="1">
      <c r="BG788" s="762"/>
      <c r="BW788" s="790"/>
      <c r="BX788" s="790"/>
      <c r="BY788" s="792"/>
      <c r="BZ788" s="731"/>
      <c r="CA788" s="731"/>
      <c r="CB788" s="731"/>
      <c r="CC788" s="731"/>
      <c r="CD788" s="731"/>
      <c r="CE788" s="731"/>
      <c r="CF788" s="731"/>
    </row>
    <row r="789" spans="59:84" ht="15.75" customHeight="1">
      <c r="BG789" s="762"/>
      <c r="BW789" s="790"/>
      <c r="BX789" s="790"/>
      <c r="BY789" s="792"/>
      <c r="BZ789" s="731"/>
      <c r="CA789" s="731"/>
      <c r="CB789" s="731"/>
      <c r="CC789" s="731"/>
      <c r="CD789" s="731"/>
      <c r="CE789" s="731"/>
      <c r="CF789" s="731"/>
    </row>
    <row r="790" spans="59:84" ht="15.75" customHeight="1">
      <c r="BG790" s="762"/>
      <c r="BW790" s="790"/>
      <c r="BX790" s="790"/>
      <c r="BY790" s="792"/>
      <c r="BZ790" s="731"/>
      <c r="CA790" s="731"/>
      <c r="CB790" s="731"/>
      <c r="CC790" s="731"/>
      <c r="CD790" s="731"/>
      <c r="CE790" s="731"/>
      <c r="CF790" s="731"/>
    </row>
    <row r="791" spans="59:84" ht="15.75" customHeight="1">
      <c r="BG791" s="762"/>
      <c r="BW791" s="790"/>
      <c r="BX791" s="790"/>
      <c r="BY791" s="792"/>
      <c r="BZ791" s="731"/>
      <c r="CA791" s="731"/>
      <c r="CB791" s="731"/>
      <c r="CC791" s="731"/>
      <c r="CD791" s="731"/>
      <c r="CE791" s="731"/>
      <c r="CF791" s="731"/>
    </row>
    <row r="792" spans="59:84" ht="15.75" customHeight="1">
      <c r="BG792" s="762"/>
      <c r="BW792" s="790"/>
      <c r="BX792" s="790"/>
      <c r="BY792" s="792"/>
      <c r="BZ792" s="731"/>
      <c r="CA792" s="731"/>
      <c r="CB792" s="731"/>
      <c r="CC792" s="731"/>
      <c r="CD792" s="731"/>
      <c r="CE792" s="731"/>
      <c r="CF792" s="731"/>
    </row>
    <row r="793" spans="59:84" ht="15.75" customHeight="1">
      <c r="BG793" s="762"/>
      <c r="BW793" s="790"/>
      <c r="BX793" s="790"/>
      <c r="BY793" s="792"/>
      <c r="BZ793" s="731"/>
      <c r="CA793" s="731"/>
      <c r="CB793" s="731"/>
      <c r="CC793" s="731"/>
      <c r="CD793" s="731"/>
      <c r="CE793" s="731"/>
      <c r="CF793" s="731"/>
    </row>
    <row r="794" spans="59:84" ht="15.75" customHeight="1">
      <c r="BG794" s="762"/>
      <c r="BW794" s="790"/>
      <c r="BX794" s="790"/>
      <c r="BY794" s="792"/>
      <c r="BZ794" s="731"/>
      <c r="CA794" s="731"/>
      <c r="CB794" s="731"/>
      <c r="CC794" s="731"/>
      <c r="CD794" s="731"/>
      <c r="CE794" s="731"/>
      <c r="CF794" s="731"/>
    </row>
    <row r="795" spans="59:84" ht="15.75" customHeight="1">
      <c r="BG795" s="762"/>
      <c r="BW795" s="790"/>
      <c r="BX795" s="790"/>
      <c r="BY795" s="792"/>
      <c r="BZ795" s="731"/>
      <c r="CA795" s="731"/>
      <c r="CB795" s="731"/>
      <c r="CC795" s="731"/>
      <c r="CD795" s="731"/>
      <c r="CE795" s="731"/>
      <c r="CF795" s="731"/>
    </row>
    <row r="796" spans="59:84" ht="15.75" customHeight="1">
      <c r="BG796" s="762"/>
      <c r="BW796" s="790"/>
      <c r="BX796" s="790"/>
      <c r="BY796" s="792"/>
      <c r="BZ796" s="731"/>
      <c r="CA796" s="731"/>
      <c r="CB796" s="731"/>
      <c r="CC796" s="731"/>
      <c r="CD796" s="731"/>
      <c r="CE796" s="731"/>
      <c r="CF796" s="731"/>
    </row>
    <row r="797" spans="59:84" ht="15.75" customHeight="1">
      <c r="BG797" s="762"/>
      <c r="BW797" s="790"/>
      <c r="BX797" s="790"/>
      <c r="BY797" s="792"/>
      <c r="BZ797" s="731"/>
      <c r="CA797" s="731"/>
      <c r="CB797" s="731"/>
      <c r="CC797" s="731"/>
      <c r="CD797" s="731"/>
      <c r="CE797" s="731"/>
      <c r="CF797" s="731"/>
    </row>
    <row r="798" spans="59:84" ht="15.75" customHeight="1">
      <c r="BG798" s="762"/>
      <c r="BW798" s="790"/>
      <c r="BX798" s="790"/>
      <c r="BY798" s="792"/>
      <c r="BZ798" s="731"/>
      <c r="CA798" s="731"/>
      <c r="CB798" s="731"/>
      <c r="CC798" s="731"/>
      <c r="CD798" s="731"/>
      <c r="CE798" s="731"/>
      <c r="CF798" s="731"/>
    </row>
    <row r="799" spans="59:84" ht="15.75" customHeight="1">
      <c r="BG799" s="762"/>
      <c r="BW799" s="790"/>
      <c r="BX799" s="790"/>
      <c r="BY799" s="792"/>
      <c r="BZ799" s="731"/>
      <c r="CA799" s="731"/>
      <c r="CB799" s="731"/>
      <c r="CC799" s="731"/>
      <c r="CD799" s="731"/>
      <c r="CE799" s="731"/>
      <c r="CF799" s="731"/>
    </row>
    <row r="800" spans="59:84" ht="15.75" customHeight="1">
      <c r="BG800" s="762"/>
      <c r="BW800" s="790"/>
      <c r="BX800" s="790"/>
      <c r="BY800" s="792"/>
      <c r="BZ800" s="731"/>
      <c r="CA800" s="731"/>
      <c r="CB800" s="731"/>
      <c r="CC800" s="731"/>
      <c r="CD800" s="731"/>
      <c r="CE800" s="731"/>
      <c r="CF800" s="731"/>
    </row>
    <row r="801" spans="59:84" ht="15.75" customHeight="1">
      <c r="BG801" s="762"/>
      <c r="BW801" s="790"/>
      <c r="BX801" s="790"/>
      <c r="BY801" s="792"/>
      <c r="BZ801" s="731"/>
      <c r="CA801" s="731"/>
      <c r="CB801" s="731"/>
      <c r="CC801" s="731"/>
      <c r="CD801" s="731"/>
      <c r="CE801" s="731"/>
      <c r="CF801" s="731"/>
    </row>
    <row r="802" spans="59:84" ht="15.75" customHeight="1">
      <c r="BG802" s="762"/>
      <c r="BW802" s="790"/>
      <c r="BX802" s="790"/>
      <c r="BY802" s="792"/>
      <c r="BZ802" s="731"/>
      <c r="CA802" s="731"/>
      <c r="CB802" s="731"/>
      <c r="CC802" s="731"/>
      <c r="CD802" s="731"/>
      <c r="CE802" s="731"/>
      <c r="CF802" s="731"/>
    </row>
    <row r="803" spans="59:84" ht="15.75" customHeight="1">
      <c r="BG803" s="762"/>
      <c r="BW803" s="790"/>
      <c r="BX803" s="790"/>
      <c r="BY803" s="792"/>
      <c r="BZ803" s="731"/>
      <c r="CA803" s="731"/>
      <c r="CB803" s="731"/>
      <c r="CC803" s="731"/>
      <c r="CD803" s="731"/>
      <c r="CE803" s="731"/>
      <c r="CF803" s="731"/>
    </row>
    <row r="804" spans="59:84" ht="15.75" customHeight="1">
      <c r="BG804" s="762"/>
      <c r="BW804" s="790"/>
      <c r="BX804" s="790"/>
      <c r="BY804" s="792"/>
      <c r="BZ804" s="731"/>
      <c r="CA804" s="731"/>
      <c r="CB804" s="731"/>
      <c r="CC804" s="731"/>
      <c r="CD804" s="731"/>
      <c r="CE804" s="731"/>
      <c r="CF804" s="731"/>
    </row>
    <row r="805" spans="59:84" ht="15.75" customHeight="1">
      <c r="BG805" s="762"/>
      <c r="BW805" s="790"/>
      <c r="BX805" s="790"/>
      <c r="BY805" s="792"/>
      <c r="BZ805" s="731"/>
      <c r="CA805" s="731"/>
      <c r="CB805" s="731"/>
      <c r="CC805" s="731"/>
      <c r="CD805" s="731"/>
      <c r="CE805" s="731"/>
      <c r="CF805" s="731"/>
    </row>
    <row r="806" spans="59:84" ht="15.75" customHeight="1">
      <c r="BG806" s="762"/>
      <c r="BW806" s="790"/>
      <c r="BX806" s="790"/>
      <c r="BY806" s="792"/>
      <c r="BZ806" s="731"/>
      <c r="CA806" s="731"/>
      <c r="CB806" s="731"/>
      <c r="CC806" s="731"/>
      <c r="CD806" s="731"/>
      <c r="CE806" s="731"/>
      <c r="CF806" s="731"/>
    </row>
    <row r="807" spans="59:84" ht="15.75" customHeight="1">
      <c r="BG807" s="762"/>
      <c r="BW807" s="790"/>
      <c r="BX807" s="790"/>
      <c r="BY807" s="792"/>
      <c r="BZ807" s="731"/>
      <c r="CA807" s="731"/>
      <c r="CB807" s="731"/>
      <c r="CC807" s="731"/>
      <c r="CD807" s="731"/>
      <c r="CE807" s="731"/>
      <c r="CF807" s="731"/>
    </row>
    <row r="808" spans="59:84" ht="15.75" customHeight="1">
      <c r="BG808" s="762"/>
      <c r="BW808" s="790"/>
      <c r="BX808" s="790"/>
      <c r="BY808" s="792"/>
      <c r="BZ808" s="731"/>
      <c r="CA808" s="731"/>
      <c r="CB808" s="731"/>
      <c r="CC808" s="731"/>
      <c r="CD808" s="731"/>
      <c r="CE808" s="731"/>
      <c r="CF808" s="731"/>
    </row>
    <row r="809" spans="59:84" ht="15.75" customHeight="1">
      <c r="BG809" s="762"/>
      <c r="BW809" s="790"/>
      <c r="BX809" s="790"/>
      <c r="BY809" s="792"/>
      <c r="BZ809" s="731"/>
      <c r="CA809" s="731"/>
      <c r="CB809" s="731"/>
      <c r="CC809" s="731"/>
      <c r="CD809" s="731"/>
      <c r="CE809" s="731"/>
      <c r="CF809" s="731"/>
    </row>
    <row r="810" spans="59:84" ht="15.75" customHeight="1">
      <c r="BG810" s="762"/>
      <c r="BW810" s="790"/>
      <c r="BX810" s="790"/>
      <c r="BY810" s="792"/>
      <c r="BZ810" s="731"/>
      <c r="CA810" s="731"/>
      <c r="CB810" s="731"/>
      <c r="CC810" s="731"/>
      <c r="CD810" s="731"/>
      <c r="CE810" s="731"/>
      <c r="CF810" s="731"/>
    </row>
    <row r="811" spans="59:84" ht="15.75" customHeight="1">
      <c r="BG811" s="762"/>
      <c r="BW811" s="790"/>
      <c r="BX811" s="790"/>
      <c r="BY811" s="792"/>
      <c r="BZ811" s="731"/>
      <c r="CA811" s="731"/>
      <c r="CB811" s="731"/>
      <c r="CC811" s="731"/>
      <c r="CD811" s="731"/>
      <c r="CE811" s="731"/>
      <c r="CF811" s="731"/>
    </row>
    <row r="812" spans="59:84" ht="15.75" customHeight="1">
      <c r="BG812" s="762"/>
      <c r="BW812" s="790"/>
      <c r="BX812" s="790"/>
      <c r="BY812" s="792"/>
      <c r="BZ812" s="731"/>
      <c r="CA812" s="731"/>
      <c r="CB812" s="731"/>
      <c r="CC812" s="731"/>
      <c r="CD812" s="731"/>
      <c r="CE812" s="731"/>
      <c r="CF812" s="731"/>
    </row>
    <row r="813" spans="59:84" ht="15.75" customHeight="1">
      <c r="BG813" s="762"/>
      <c r="BW813" s="790"/>
      <c r="BX813" s="790"/>
      <c r="BY813" s="792"/>
      <c r="BZ813" s="731"/>
      <c r="CA813" s="731"/>
      <c r="CB813" s="731"/>
      <c r="CC813" s="731"/>
      <c r="CD813" s="731"/>
      <c r="CE813" s="731"/>
      <c r="CF813" s="731"/>
    </row>
    <row r="814" spans="59:84" ht="15.75" customHeight="1">
      <c r="BG814" s="762"/>
      <c r="BW814" s="790"/>
      <c r="BX814" s="790"/>
      <c r="BY814" s="792"/>
      <c r="BZ814" s="731"/>
      <c r="CA814" s="731"/>
      <c r="CB814" s="731"/>
      <c r="CC814" s="731"/>
      <c r="CD814" s="731"/>
      <c r="CE814" s="731"/>
      <c r="CF814" s="731"/>
    </row>
    <row r="815" spans="59:84" ht="15.75" customHeight="1">
      <c r="BG815" s="762"/>
      <c r="BW815" s="790"/>
      <c r="BX815" s="790"/>
      <c r="BY815" s="792"/>
      <c r="BZ815" s="731"/>
      <c r="CA815" s="731"/>
      <c r="CB815" s="731"/>
      <c r="CC815" s="731"/>
      <c r="CD815" s="731"/>
      <c r="CE815" s="731"/>
      <c r="CF815" s="731"/>
    </row>
    <row r="816" spans="59:84" ht="15.75" customHeight="1">
      <c r="BG816" s="762"/>
      <c r="BW816" s="790"/>
      <c r="BX816" s="790"/>
      <c r="BY816" s="792"/>
      <c r="BZ816" s="731"/>
      <c r="CA816" s="731"/>
      <c r="CB816" s="731"/>
      <c r="CC816" s="731"/>
      <c r="CD816" s="731"/>
      <c r="CE816" s="731"/>
      <c r="CF816" s="731"/>
    </row>
    <row r="817" spans="59:84" ht="15.75" customHeight="1">
      <c r="BG817" s="762"/>
      <c r="BW817" s="790"/>
      <c r="BX817" s="790"/>
      <c r="BY817" s="792"/>
      <c r="BZ817" s="731"/>
      <c r="CA817" s="731"/>
      <c r="CB817" s="731"/>
      <c r="CC817" s="731"/>
      <c r="CD817" s="731"/>
      <c r="CE817" s="731"/>
      <c r="CF817" s="731"/>
    </row>
    <row r="818" spans="59:84" ht="15.75" customHeight="1">
      <c r="BG818" s="762"/>
      <c r="BW818" s="790"/>
      <c r="BX818" s="790"/>
      <c r="BY818" s="792"/>
      <c r="BZ818" s="731"/>
      <c r="CA818" s="731"/>
      <c r="CB818" s="731"/>
      <c r="CC818" s="731"/>
      <c r="CD818" s="731"/>
      <c r="CE818" s="731"/>
      <c r="CF818" s="731"/>
    </row>
    <row r="819" spans="59:84" ht="15.75" customHeight="1">
      <c r="BG819" s="762"/>
      <c r="BW819" s="790"/>
      <c r="BX819" s="790"/>
      <c r="BY819" s="792"/>
      <c r="BZ819" s="731"/>
      <c r="CA819" s="731"/>
      <c r="CB819" s="731"/>
      <c r="CC819" s="731"/>
      <c r="CD819" s="731"/>
      <c r="CE819" s="731"/>
      <c r="CF819" s="731"/>
    </row>
    <row r="820" spans="59:84" ht="15.75" customHeight="1">
      <c r="BG820" s="762"/>
      <c r="BW820" s="790"/>
      <c r="BX820" s="790"/>
      <c r="BY820" s="792"/>
      <c r="BZ820" s="731"/>
      <c r="CA820" s="731"/>
      <c r="CB820" s="731"/>
      <c r="CC820" s="731"/>
      <c r="CD820" s="731"/>
      <c r="CE820" s="731"/>
      <c r="CF820" s="731"/>
    </row>
    <row r="821" spans="59:84" ht="15.75" customHeight="1">
      <c r="BG821" s="762"/>
      <c r="BW821" s="790"/>
      <c r="BX821" s="790"/>
      <c r="BY821" s="792"/>
      <c r="BZ821" s="731"/>
      <c r="CA821" s="731"/>
      <c r="CB821" s="731"/>
      <c r="CC821" s="731"/>
      <c r="CD821" s="731"/>
      <c r="CE821" s="731"/>
      <c r="CF821" s="731"/>
    </row>
    <row r="822" spans="59:84" ht="15.75" customHeight="1">
      <c r="BG822" s="762"/>
      <c r="BW822" s="790"/>
      <c r="BX822" s="790"/>
      <c r="BY822" s="792"/>
      <c r="BZ822" s="731"/>
      <c r="CA822" s="731"/>
      <c r="CB822" s="731"/>
      <c r="CC822" s="731"/>
      <c r="CD822" s="731"/>
      <c r="CE822" s="731"/>
      <c r="CF822" s="731"/>
    </row>
    <row r="823" spans="59:84" ht="15.75" customHeight="1">
      <c r="BG823" s="762"/>
      <c r="BW823" s="790"/>
      <c r="BX823" s="790"/>
      <c r="BY823" s="792"/>
      <c r="BZ823" s="731"/>
      <c r="CA823" s="731"/>
      <c r="CB823" s="731"/>
      <c r="CC823" s="731"/>
      <c r="CD823" s="731"/>
      <c r="CE823" s="731"/>
      <c r="CF823" s="731"/>
    </row>
    <row r="824" spans="59:84" ht="15.75" customHeight="1">
      <c r="BG824" s="762"/>
      <c r="BW824" s="790"/>
      <c r="BX824" s="790"/>
      <c r="BY824" s="792"/>
      <c r="BZ824" s="731"/>
      <c r="CA824" s="731"/>
      <c r="CB824" s="731"/>
      <c r="CC824" s="731"/>
      <c r="CD824" s="731"/>
      <c r="CE824" s="731"/>
      <c r="CF824" s="731"/>
    </row>
    <row r="825" spans="59:84" ht="15.75" customHeight="1">
      <c r="BG825" s="762"/>
      <c r="BW825" s="790"/>
      <c r="BX825" s="790"/>
      <c r="BY825" s="792"/>
      <c r="BZ825" s="731"/>
      <c r="CA825" s="731"/>
      <c r="CB825" s="731"/>
      <c r="CC825" s="731"/>
      <c r="CD825" s="731"/>
      <c r="CE825" s="731"/>
      <c r="CF825" s="731"/>
    </row>
    <row r="826" spans="59:84" ht="15.75" customHeight="1">
      <c r="BG826" s="762"/>
      <c r="BW826" s="790"/>
      <c r="BX826" s="790"/>
      <c r="BY826" s="792"/>
      <c r="BZ826" s="731"/>
      <c r="CA826" s="731"/>
      <c r="CB826" s="731"/>
      <c r="CC826" s="731"/>
      <c r="CD826" s="731"/>
      <c r="CE826" s="731"/>
      <c r="CF826" s="731"/>
    </row>
    <row r="827" spans="59:84" ht="15.75" customHeight="1">
      <c r="BG827" s="762"/>
      <c r="BW827" s="790"/>
      <c r="BX827" s="790"/>
      <c r="BY827" s="792"/>
      <c r="BZ827" s="731"/>
      <c r="CA827" s="731"/>
      <c r="CB827" s="731"/>
      <c r="CC827" s="731"/>
      <c r="CD827" s="731"/>
      <c r="CE827" s="731"/>
      <c r="CF827" s="731"/>
    </row>
    <row r="828" spans="59:84" ht="15.75" customHeight="1">
      <c r="BG828" s="762"/>
      <c r="BW828" s="790"/>
      <c r="BX828" s="790"/>
      <c r="BY828" s="792"/>
      <c r="BZ828" s="731"/>
      <c r="CA828" s="731"/>
      <c r="CB828" s="731"/>
      <c r="CC828" s="731"/>
      <c r="CD828" s="731"/>
      <c r="CE828" s="731"/>
      <c r="CF828" s="731"/>
    </row>
    <row r="829" spans="59:84" ht="15.75" customHeight="1">
      <c r="BG829" s="762"/>
      <c r="BW829" s="790"/>
      <c r="BX829" s="790"/>
      <c r="BY829" s="792"/>
      <c r="BZ829" s="731"/>
      <c r="CA829" s="731"/>
      <c r="CB829" s="731"/>
      <c r="CC829" s="731"/>
      <c r="CD829" s="731"/>
      <c r="CE829" s="731"/>
      <c r="CF829" s="731"/>
    </row>
    <row r="830" spans="59:84" ht="15.75" customHeight="1">
      <c r="BG830" s="762"/>
      <c r="BW830" s="790"/>
      <c r="BX830" s="790"/>
      <c r="BY830" s="792"/>
      <c r="BZ830" s="731"/>
      <c r="CA830" s="731"/>
      <c r="CB830" s="731"/>
      <c r="CC830" s="731"/>
      <c r="CD830" s="731"/>
      <c r="CE830" s="731"/>
      <c r="CF830" s="731"/>
    </row>
    <row r="831" spans="59:84" ht="15.75" customHeight="1">
      <c r="BG831" s="762"/>
      <c r="BW831" s="790"/>
      <c r="BX831" s="790"/>
      <c r="BY831" s="792"/>
      <c r="BZ831" s="731"/>
      <c r="CA831" s="731"/>
      <c r="CB831" s="731"/>
      <c r="CC831" s="731"/>
      <c r="CD831" s="731"/>
      <c r="CE831" s="731"/>
      <c r="CF831" s="731"/>
    </row>
    <row r="832" spans="59:84" ht="15.75" customHeight="1">
      <c r="BG832" s="762"/>
      <c r="BW832" s="790"/>
      <c r="BX832" s="790"/>
      <c r="BY832" s="792"/>
      <c r="BZ832" s="731"/>
      <c r="CA832" s="731"/>
      <c r="CB832" s="731"/>
      <c r="CC832" s="731"/>
      <c r="CD832" s="731"/>
      <c r="CE832" s="731"/>
      <c r="CF832" s="731"/>
    </row>
    <row r="833" spans="59:84" ht="15.75" customHeight="1">
      <c r="BG833" s="762"/>
      <c r="BW833" s="790"/>
      <c r="BX833" s="790"/>
      <c r="BY833" s="792"/>
      <c r="BZ833" s="731"/>
      <c r="CA833" s="731"/>
      <c r="CB833" s="731"/>
      <c r="CC833" s="731"/>
      <c r="CD833" s="731"/>
      <c r="CE833" s="731"/>
      <c r="CF833" s="731"/>
    </row>
    <row r="834" spans="59:84" ht="15.75" customHeight="1">
      <c r="BG834" s="762"/>
      <c r="BW834" s="790"/>
      <c r="BX834" s="790"/>
      <c r="BY834" s="792"/>
      <c r="BZ834" s="731"/>
      <c r="CA834" s="731"/>
      <c r="CB834" s="731"/>
      <c r="CC834" s="731"/>
      <c r="CD834" s="731"/>
      <c r="CE834" s="731"/>
      <c r="CF834" s="731"/>
    </row>
    <row r="835" spans="59:84" ht="15.75" customHeight="1">
      <c r="BG835" s="762"/>
      <c r="BW835" s="790"/>
      <c r="BX835" s="790"/>
      <c r="BY835" s="792"/>
      <c r="BZ835" s="731"/>
      <c r="CA835" s="731"/>
      <c r="CB835" s="731"/>
      <c r="CC835" s="731"/>
      <c r="CD835" s="731"/>
      <c r="CE835" s="731"/>
      <c r="CF835" s="731"/>
    </row>
    <row r="836" spans="59:84" ht="15.75" customHeight="1">
      <c r="BG836" s="762"/>
      <c r="BW836" s="790"/>
      <c r="BX836" s="790"/>
      <c r="BY836" s="792"/>
      <c r="BZ836" s="731"/>
      <c r="CA836" s="731"/>
      <c r="CB836" s="731"/>
      <c r="CC836" s="731"/>
      <c r="CD836" s="731"/>
      <c r="CE836" s="731"/>
      <c r="CF836" s="731"/>
    </row>
    <row r="837" spans="59:84" ht="15.75" customHeight="1">
      <c r="BG837" s="762"/>
      <c r="BW837" s="790"/>
      <c r="BX837" s="790"/>
      <c r="BY837" s="792"/>
      <c r="BZ837" s="731"/>
      <c r="CA837" s="731"/>
      <c r="CB837" s="731"/>
      <c r="CC837" s="731"/>
      <c r="CD837" s="731"/>
      <c r="CE837" s="731"/>
      <c r="CF837" s="731"/>
    </row>
    <row r="838" spans="59:84" ht="15.75" customHeight="1">
      <c r="BG838" s="762"/>
      <c r="BW838" s="790"/>
      <c r="BX838" s="790"/>
      <c r="BY838" s="792"/>
      <c r="BZ838" s="731"/>
      <c r="CA838" s="731"/>
      <c r="CB838" s="731"/>
      <c r="CC838" s="731"/>
      <c r="CD838" s="731"/>
      <c r="CE838" s="731"/>
      <c r="CF838" s="731"/>
    </row>
    <row r="839" spans="59:84" ht="15.75" customHeight="1">
      <c r="BG839" s="762"/>
      <c r="BW839" s="790"/>
      <c r="BX839" s="790"/>
      <c r="BY839" s="792"/>
      <c r="BZ839" s="731"/>
      <c r="CA839" s="731"/>
      <c r="CB839" s="731"/>
      <c r="CC839" s="731"/>
      <c r="CD839" s="731"/>
      <c r="CE839" s="731"/>
      <c r="CF839" s="731"/>
    </row>
    <row r="840" spans="59:84" ht="15.75" customHeight="1">
      <c r="BG840" s="762"/>
      <c r="BW840" s="790"/>
      <c r="BX840" s="790"/>
      <c r="BY840" s="792"/>
      <c r="BZ840" s="731"/>
      <c r="CA840" s="731"/>
      <c r="CB840" s="731"/>
      <c r="CC840" s="731"/>
      <c r="CD840" s="731"/>
      <c r="CE840" s="731"/>
      <c r="CF840" s="731"/>
    </row>
    <row r="841" spans="59:84" ht="15.75" customHeight="1">
      <c r="BG841" s="762"/>
      <c r="BW841" s="790"/>
      <c r="BX841" s="790"/>
      <c r="BY841" s="792"/>
      <c r="BZ841" s="731"/>
      <c r="CA841" s="731"/>
      <c r="CB841" s="731"/>
      <c r="CC841" s="731"/>
      <c r="CD841" s="731"/>
      <c r="CE841" s="731"/>
      <c r="CF841" s="731"/>
    </row>
    <row r="842" spans="59:84" ht="15.75" customHeight="1">
      <c r="BG842" s="762"/>
      <c r="BW842" s="790"/>
      <c r="BX842" s="790"/>
      <c r="BY842" s="792"/>
      <c r="BZ842" s="731"/>
      <c r="CA842" s="731"/>
      <c r="CB842" s="731"/>
      <c r="CC842" s="731"/>
      <c r="CD842" s="731"/>
      <c r="CE842" s="731"/>
      <c r="CF842" s="731"/>
    </row>
    <row r="843" spans="59:84" ht="15.75" customHeight="1">
      <c r="BG843" s="762"/>
      <c r="BW843" s="790"/>
      <c r="BX843" s="790"/>
      <c r="BY843" s="792"/>
      <c r="BZ843" s="731"/>
      <c r="CA843" s="731"/>
      <c r="CB843" s="731"/>
      <c r="CC843" s="731"/>
      <c r="CD843" s="731"/>
      <c r="CE843" s="731"/>
      <c r="CF843" s="731"/>
    </row>
    <row r="844" spans="59:84" ht="15.75" customHeight="1">
      <c r="BG844" s="762"/>
      <c r="BW844" s="790"/>
      <c r="BX844" s="790"/>
      <c r="BY844" s="792"/>
      <c r="BZ844" s="731"/>
      <c r="CA844" s="731"/>
      <c r="CB844" s="731"/>
      <c r="CC844" s="731"/>
      <c r="CD844" s="731"/>
      <c r="CE844" s="731"/>
      <c r="CF844" s="731"/>
    </row>
    <row r="845" spans="59:84" ht="15.75" customHeight="1">
      <c r="BG845" s="762"/>
      <c r="BW845" s="790"/>
      <c r="BX845" s="790"/>
      <c r="BY845" s="792"/>
      <c r="BZ845" s="731"/>
      <c r="CA845" s="731"/>
      <c r="CB845" s="731"/>
      <c r="CC845" s="731"/>
      <c r="CD845" s="731"/>
      <c r="CE845" s="731"/>
      <c r="CF845" s="731"/>
    </row>
    <row r="846" spans="59:84" ht="15.75" customHeight="1">
      <c r="BG846" s="762"/>
      <c r="BW846" s="790"/>
      <c r="BX846" s="790"/>
      <c r="BY846" s="792"/>
      <c r="BZ846" s="731"/>
      <c r="CA846" s="731"/>
      <c r="CB846" s="731"/>
      <c r="CC846" s="731"/>
      <c r="CD846" s="731"/>
      <c r="CE846" s="731"/>
      <c r="CF846" s="731"/>
    </row>
    <row r="847" spans="59:84" ht="15.75" customHeight="1">
      <c r="BG847" s="762"/>
      <c r="BW847" s="790"/>
      <c r="BX847" s="790"/>
      <c r="BY847" s="792"/>
      <c r="BZ847" s="731"/>
      <c r="CA847" s="731"/>
      <c r="CB847" s="731"/>
      <c r="CC847" s="731"/>
      <c r="CD847" s="731"/>
      <c r="CE847" s="731"/>
      <c r="CF847" s="731"/>
    </row>
    <row r="848" spans="59:84" ht="15.75" customHeight="1">
      <c r="BG848" s="762"/>
      <c r="BW848" s="790"/>
      <c r="BX848" s="790"/>
      <c r="BY848" s="792"/>
      <c r="BZ848" s="731"/>
      <c r="CA848" s="731"/>
      <c r="CB848" s="731"/>
      <c r="CC848" s="731"/>
      <c r="CD848" s="731"/>
      <c r="CE848" s="731"/>
      <c r="CF848" s="731"/>
    </row>
    <row r="849" spans="59:84" ht="15.75" customHeight="1">
      <c r="BG849" s="762"/>
      <c r="BW849" s="790"/>
      <c r="BX849" s="790"/>
      <c r="BY849" s="792"/>
      <c r="BZ849" s="731"/>
      <c r="CA849" s="731"/>
      <c r="CB849" s="731"/>
      <c r="CC849" s="731"/>
      <c r="CD849" s="731"/>
      <c r="CE849" s="731"/>
      <c r="CF849" s="731"/>
    </row>
    <row r="850" spans="59:84" ht="15.75" customHeight="1">
      <c r="BG850" s="762"/>
      <c r="BW850" s="790"/>
      <c r="BX850" s="790"/>
      <c r="BY850" s="792"/>
      <c r="BZ850" s="731"/>
      <c r="CA850" s="731"/>
      <c r="CB850" s="731"/>
      <c r="CC850" s="731"/>
      <c r="CD850" s="731"/>
      <c r="CE850" s="731"/>
      <c r="CF850" s="731"/>
    </row>
    <row r="851" spans="59:84" ht="15.75" customHeight="1">
      <c r="BG851" s="762"/>
      <c r="BW851" s="790"/>
      <c r="BX851" s="790"/>
      <c r="BY851" s="792"/>
      <c r="BZ851" s="731"/>
      <c r="CA851" s="731"/>
      <c r="CB851" s="731"/>
      <c r="CC851" s="731"/>
      <c r="CD851" s="731"/>
      <c r="CE851" s="731"/>
      <c r="CF851" s="731"/>
    </row>
    <row r="852" spans="59:84" ht="15.75" customHeight="1">
      <c r="BG852" s="762"/>
      <c r="BW852" s="790"/>
      <c r="BX852" s="790"/>
      <c r="BY852" s="792"/>
      <c r="BZ852" s="731"/>
      <c r="CA852" s="731"/>
      <c r="CB852" s="731"/>
      <c r="CC852" s="731"/>
      <c r="CD852" s="731"/>
      <c r="CE852" s="731"/>
      <c r="CF852" s="731"/>
    </row>
    <row r="853" spans="59:84" ht="15.75" customHeight="1">
      <c r="BG853" s="762"/>
      <c r="BW853" s="790"/>
      <c r="BX853" s="790"/>
      <c r="BY853" s="792"/>
      <c r="BZ853" s="731"/>
      <c r="CA853" s="731"/>
      <c r="CB853" s="731"/>
      <c r="CC853" s="731"/>
      <c r="CD853" s="731"/>
      <c r="CE853" s="731"/>
      <c r="CF853" s="731"/>
    </row>
    <row r="854" spans="59:84" ht="15.75" customHeight="1">
      <c r="BG854" s="762"/>
      <c r="BW854" s="790"/>
      <c r="BX854" s="790"/>
      <c r="BY854" s="792"/>
      <c r="BZ854" s="731"/>
      <c r="CA854" s="731"/>
      <c r="CB854" s="731"/>
      <c r="CC854" s="731"/>
      <c r="CD854" s="731"/>
      <c r="CE854" s="731"/>
      <c r="CF854" s="731"/>
    </row>
    <row r="855" spans="59:84" ht="15.75" customHeight="1">
      <c r="BG855" s="762"/>
      <c r="BW855" s="790"/>
      <c r="BX855" s="790"/>
      <c r="BY855" s="792"/>
      <c r="BZ855" s="731"/>
      <c r="CA855" s="731"/>
      <c r="CB855" s="731"/>
      <c r="CC855" s="731"/>
      <c r="CD855" s="731"/>
      <c r="CE855" s="731"/>
      <c r="CF855" s="731"/>
    </row>
    <row r="856" spans="59:84" ht="15.75" customHeight="1">
      <c r="BG856" s="762"/>
      <c r="BW856" s="790"/>
      <c r="BX856" s="790"/>
      <c r="BY856" s="792"/>
      <c r="BZ856" s="731"/>
      <c r="CA856" s="731"/>
      <c r="CB856" s="731"/>
      <c r="CC856" s="731"/>
      <c r="CD856" s="731"/>
      <c r="CE856" s="731"/>
      <c r="CF856" s="731"/>
    </row>
    <row r="857" spans="59:84" ht="15.75" customHeight="1">
      <c r="BG857" s="762"/>
      <c r="BW857" s="790"/>
      <c r="BX857" s="790"/>
      <c r="BY857" s="792"/>
      <c r="BZ857" s="731"/>
      <c r="CA857" s="731"/>
      <c r="CB857" s="731"/>
      <c r="CC857" s="731"/>
      <c r="CD857" s="731"/>
      <c r="CE857" s="731"/>
      <c r="CF857" s="731"/>
    </row>
    <row r="858" spans="59:84" ht="15.75" customHeight="1">
      <c r="BG858" s="762"/>
      <c r="BW858" s="790"/>
      <c r="BX858" s="790"/>
      <c r="BY858" s="792"/>
      <c r="BZ858" s="731"/>
      <c r="CA858" s="731"/>
      <c r="CB858" s="731"/>
      <c r="CC858" s="731"/>
      <c r="CD858" s="731"/>
      <c r="CE858" s="731"/>
      <c r="CF858" s="731"/>
    </row>
    <row r="859" spans="59:84" ht="15.75" customHeight="1">
      <c r="BG859" s="762"/>
      <c r="BW859" s="790"/>
      <c r="BX859" s="790"/>
      <c r="BY859" s="792"/>
      <c r="BZ859" s="731"/>
      <c r="CA859" s="731"/>
      <c r="CB859" s="731"/>
      <c r="CC859" s="731"/>
      <c r="CD859" s="731"/>
      <c r="CE859" s="731"/>
      <c r="CF859" s="731"/>
    </row>
    <row r="860" spans="59:84" ht="15.75" customHeight="1">
      <c r="BG860" s="762"/>
      <c r="BW860" s="790"/>
      <c r="BX860" s="790"/>
      <c r="BY860" s="792"/>
      <c r="BZ860" s="731"/>
      <c r="CA860" s="731"/>
      <c r="CB860" s="731"/>
      <c r="CC860" s="731"/>
      <c r="CD860" s="731"/>
      <c r="CE860" s="731"/>
      <c r="CF860" s="731"/>
    </row>
    <row r="861" spans="59:84" ht="15.75" customHeight="1">
      <c r="BG861" s="762"/>
      <c r="BW861" s="790"/>
      <c r="BX861" s="790"/>
      <c r="BY861" s="792"/>
      <c r="BZ861" s="731"/>
      <c r="CA861" s="731"/>
      <c r="CB861" s="731"/>
      <c r="CC861" s="731"/>
      <c r="CD861" s="731"/>
      <c r="CE861" s="731"/>
      <c r="CF861" s="731"/>
    </row>
    <row r="862" spans="59:84" ht="15.75" customHeight="1">
      <c r="BG862" s="762"/>
      <c r="BW862" s="790"/>
      <c r="BX862" s="790"/>
      <c r="BY862" s="792"/>
      <c r="BZ862" s="731"/>
      <c r="CA862" s="731"/>
      <c r="CB862" s="731"/>
      <c r="CC862" s="731"/>
      <c r="CD862" s="731"/>
      <c r="CE862" s="731"/>
      <c r="CF862" s="731"/>
    </row>
    <row r="863" spans="59:84" ht="15.75" customHeight="1">
      <c r="BG863" s="762"/>
      <c r="BW863" s="790"/>
      <c r="BX863" s="790"/>
      <c r="BY863" s="792"/>
      <c r="BZ863" s="731"/>
      <c r="CA863" s="731"/>
      <c r="CB863" s="731"/>
      <c r="CC863" s="731"/>
      <c r="CD863" s="731"/>
      <c r="CE863" s="731"/>
      <c r="CF863" s="731"/>
    </row>
    <row r="864" spans="59:84" ht="15.75" customHeight="1">
      <c r="BG864" s="762"/>
      <c r="BW864" s="790"/>
      <c r="BX864" s="790"/>
      <c r="BY864" s="792"/>
      <c r="BZ864" s="731"/>
      <c r="CA864" s="731"/>
      <c r="CB864" s="731"/>
      <c r="CC864" s="731"/>
      <c r="CD864" s="731"/>
      <c r="CE864" s="731"/>
      <c r="CF864" s="731"/>
    </row>
    <row r="865" spans="59:84" ht="15.75" customHeight="1">
      <c r="BG865" s="762"/>
      <c r="BW865" s="790"/>
      <c r="BX865" s="790"/>
      <c r="BY865" s="792"/>
      <c r="BZ865" s="731"/>
      <c r="CA865" s="731"/>
      <c r="CB865" s="731"/>
      <c r="CC865" s="731"/>
      <c r="CD865" s="731"/>
      <c r="CE865" s="731"/>
      <c r="CF865" s="731"/>
    </row>
    <row r="866" spans="59:84" ht="15.75" customHeight="1">
      <c r="BG866" s="762"/>
      <c r="BW866" s="790"/>
      <c r="BX866" s="790"/>
      <c r="BY866" s="792"/>
      <c r="BZ866" s="731"/>
      <c r="CA866" s="731"/>
      <c r="CB866" s="731"/>
      <c r="CC866" s="731"/>
      <c r="CD866" s="731"/>
      <c r="CE866" s="731"/>
      <c r="CF866" s="731"/>
    </row>
    <row r="867" spans="59:84" ht="15.75" customHeight="1">
      <c r="BG867" s="762"/>
      <c r="BW867" s="790"/>
      <c r="BX867" s="790"/>
      <c r="BY867" s="792"/>
      <c r="BZ867" s="731"/>
      <c r="CA867" s="731"/>
      <c r="CB867" s="731"/>
      <c r="CC867" s="731"/>
      <c r="CD867" s="731"/>
      <c r="CE867" s="731"/>
      <c r="CF867" s="731"/>
    </row>
    <row r="868" spans="59:84" ht="15.75" customHeight="1">
      <c r="BG868" s="762"/>
      <c r="BW868" s="790"/>
      <c r="BX868" s="790"/>
      <c r="BY868" s="792"/>
      <c r="BZ868" s="731"/>
      <c r="CA868" s="731"/>
      <c r="CB868" s="731"/>
      <c r="CC868" s="731"/>
      <c r="CD868" s="731"/>
      <c r="CE868" s="731"/>
      <c r="CF868" s="731"/>
    </row>
    <row r="869" spans="59:84" ht="15.75" customHeight="1">
      <c r="BG869" s="762"/>
      <c r="BW869" s="790"/>
      <c r="BX869" s="790"/>
      <c r="BY869" s="792"/>
      <c r="BZ869" s="731"/>
      <c r="CA869" s="731"/>
      <c r="CB869" s="731"/>
      <c r="CC869" s="731"/>
      <c r="CD869" s="731"/>
      <c r="CE869" s="731"/>
      <c r="CF869" s="731"/>
    </row>
    <row r="870" spans="59:84" ht="15.75" customHeight="1">
      <c r="BG870" s="762"/>
      <c r="BW870" s="790"/>
      <c r="BX870" s="790"/>
      <c r="BY870" s="792"/>
      <c r="BZ870" s="731"/>
      <c r="CA870" s="731"/>
      <c r="CB870" s="731"/>
      <c r="CC870" s="731"/>
      <c r="CD870" s="731"/>
      <c r="CE870" s="731"/>
      <c r="CF870" s="731"/>
    </row>
    <row r="871" spans="59:84" ht="15.75" customHeight="1">
      <c r="BG871" s="762"/>
      <c r="BW871" s="790"/>
      <c r="BX871" s="790"/>
      <c r="BY871" s="792"/>
      <c r="BZ871" s="731"/>
      <c r="CA871" s="731"/>
      <c r="CB871" s="731"/>
      <c r="CC871" s="731"/>
      <c r="CD871" s="731"/>
      <c r="CE871" s="731"/>
      <c r="CF871" s="731"/>
    </row>
    <row r="872" spans="59:84" ht="15.75" customHeight="1">
      <c r="BG872" s="762"/>
      <c r="BW872" s="790"/>
      <c r="BX872" s="790"/>
      <c r="BY872" s="792"/>
      <c r="BZ872" s="731"/>
      <c r="CA872" s="731"/>
      <c r="CB872" s="731"/>
      <c r="CC872" s="731"/>
      <c r="CD872" s="731"/>
      <c r="CE872" s="731"/>
      <c r="CF872" s="731"/>
    </row>
    <row r="873" spans="59:84" ht="15.75" customHeight="1">
      <c r="BG873" s="762"/>
      <c r="BW873" s="790"/>
      <c r="BX873" s="790"/>
      <c r="BY873" s="792"/>
      <c r="BZ873" s="731"/>
      <c r="CA873" s="731"/>
      <c r="CB873" s="731"/>
      <c r="CC873" s="731"/>
      <c r="CD873" s="731"/>
      <c r="CE873" s="731"/>
      <c r="CF873" s="731"/>
    </row>
    <row r="874" spans="59:84" ht="15.75" customHeight="1">
      <c r="BG874" s="762"/>
      <c r="BW874" s="790"/>
      <c r="BX874" s="790"/>
      <c r="BY874" s="792"/>
      <c r="BZ874" s="731"/>
      <c r="CA874" s="731"/>
      <c r="CB874" s="731"/>
      <c r="CC874" s="731"/>
      <c r="CD874" s="731"/>
      <c r="CE874" s="731"/>
      <c r="CF874" s="731"/>
    </row>
    <row r="875" spans="59:84" ht="15.75" customHeight="1">
      <c r="BG875" s="762"/>
      <c r="BW875" s="790"/>
      <c r="BX875" s="790"/>
      <c r="BY875" s="792"/>
      <c r="BZ875" s="731"/>
      <c r="CA875" s="731"/>
      <c r="CB875" s="731"/>
      <c r="CC875" s="731"/>
      <c r="CD875" s="731"/>
      <c r="CE875" s="731"/>
      <c r="CF875" s="731"/>
    </row>
    <row r="876" spans="59:84" ht="15.75" customHeight="1">
      <c r="BG876" s="762"/>
      <c r="BW876" s="790"/>
      <c r="BX876" s="790"/>
      <c r="BY876" s="792"/>
      <c r="BZ876" s="731"/>
      <c r="CA876" s="731"/>
      <c r="CB876" s="731"/>
      <c r="CC876" s="731"/>
      <c r="CD876" s="731"/>
      <c r="CE876" s="731"/>
      <c r="CF876" s="731"/>
    </row>
    <row r="877" spans="59:84" ht="15.75" customHeight="1">
      <c r="BG877" s="762"/>
      <c r="BW877" s="790"/>
      <c r="BX877" s="790"/>
      <c r="BY877" s="792"/>
      <c r="BZ877" s="731"/>
      <c r="CA877" s="731"/>
      <c r="CB877" s="731"/>
      <c r="CC877" s="731"/>
      <c r="CD877" s="731"/>
      <c r="CE877" s="731"/>
      <c r="CF877" s="731"/>
    </row>
    <row r="878" spans="59:84" ht="15.75" customHeight="1">
      <c r="BG878" s="762"/>
      <c r="BW878" s="790"/>
      <c r="BX878" s="790"/>
      <c r="BY878" s="792"/>
      <c r="BZ878" s="731"/>
      <c r="CA878" s="731"/>
      <c r="CB878" s="731"/>
      <c r="CC878" s="731"/>
      <c r="CD878" s="731"/>
      <c r="CE878" s="731"/>
      <c r="CF878" s="731"/>
    </row>
    <row r="879" spans="59:84" ht="15.75" customHeight="1">
      <c r="BG879" s="762"/>
      <c r="BW879" s="790"/>
      <c r="BX879" s="790"/>
      <c r="BY879" s="792"/>
      <c r="BZ879" s="731"/>
      <c r="CA879" s="731"/>
      <c r="CB879" s="731"/>
      <c r="CC879" s="731"/>
      <c r="CD879" s="731"/>
      <c r="CE879" s="731"/>
      <c r="CF879" s="731"/>
    </row>
    <row r="880" spans="59:84" ht="15.75" customHeight="1">
      <c r="BG880" s="762"/>
      <c r="BW880" s="790"/>
      <c r="BX880" s="790"/>
      <c r="BY880" s="792"/>
      <c r="BZ880" s="731"/>
      <c r="CA880" s="731"/>
      <c r="CB880" s="731"/>
      <c r="CC880" s="731"/>
      <c r="CD880" s="731"/>
      <c r="CE880" s="731"/>
      <c r="CF880" s="731"/>
    </row>
    <row r="881" spans="59:84" ht="15.75" customHeight="1">
      <c r="BG881" s="762"/>
      <c r="BW881" s="790"/>
      <c r="BX881" s="790"/>
      <c r="BY881" s="792"/>
      <c r="BZ881" s="731"/>
      <c r="CA881" s="731"/>
      <c r="CB881" s="731"/>
      <c r="CC881" s="731"/>
      <c r="CD881" s="731"/>
      <c r="CE881" s="731"/>
      <c r="CF881" s="731"/>
    </row>
    <row r="882" spans="59:84" ht="15.75" customHeight="1">
      <c r="BG882" s="762"/>
      <c r="BW882" s="790"/>
      <c r="BX882" s="790"/>
      <c r="BY882" s="792"/>
      <c r="BZ882" s="731"/>
      <c r="CA882" s="731"/>
      <c r="CB882" s="731"/>
      <c r="CC882" s="731"/>
      <c r="CD882" s="731"/>
      <c r="CE882" s="731"/>
      <c r="CF882" s="731"/>
    </row>
    <row r="883" spans="59:84" ht="15.75" customHeight="1">
      <c r="BG883" s="762"/>
      <c r="BW883" s="790"/>
      <c r="BX883" s="790"/>
      <c r="BY883" s="792"/>
      <c r="BZ883" s="731"/>
      <c r="CA883" s="731"/>
      <c r="CB883" s="731"/>
      <c r="CC883" s="731"/>
      <c r="CD883" s="731"/>
      <c r="CE883" s="731"/>
      <c r="CF883" s="731"/>
    </row>
    <row r="884" spans="59:84" ht="15.75" customHeight="1">
      <c r="BG884" s="762"/>
      <c r="BW884" s="790"/>
      <c r="BX884" s="790"/>
      <c r="BY884" s="792"/>
      <c r="BZ884" s="731"/>
      <c r="CA884" s="731"/>
      <c r="CB884" s="731"/>
      <c r="CC884" s="731"/>
      <c r="CD884" s="731"/>
      <c r="CE884" s="731"/>
      <c r="CF884" s="731"/>
    </row>
    <row r="885" spans="59:84" ht="15.75" customHeight="1">
      <c r="BG885" s="762"/>
      <c r="BW885" s="790"/>
      <c r="BX885" s="790"/>
      <c r="BY885" s="792"/>
      <c r="BZ885" s="731"/>
      <c r="CA885" s="731"/>
      <c r="CB885" s="731"/>
      <c r="CC885" s="731"/>
      <c r="CD885" s="731"/>
      <c r="CE885" s="731"/>
      <c r="CF885" s="731"/>
    </row>
    <row r="886" spans="59:84" ht="15.75" customHeight="1">
      <c r="BG886" s="762"/>
      <c r="BW886" s="790"/>
      <c r="BX886" s="790"/>
      <c r="BY886" s="792"/>
      <c r="BZ886" s="731"/>
      <c r="CA886" s="731"/>
      <c r="CB886" s="731"/>
      <c r="CC886" s="731"/>
      <c r="CD886" s="731"/>
      <c r="CE886" s="731"/>
      <c r="CF886" s="731"/>
    </row>
    <row r="887" spans="59:84" ht="15.75" customHeight="1">
      <c r="BG887" s="762"/>
      <c r="BW887" s="790"/>
      <c r="BX887" s="790"/>
      <c r="BY887" s="792"/>
      <c r="BZ887" s="731"/>
      <c r="CA887" s="731"/>
      <c r="CB887" s="731"/>
      <c r="CC887" s="731"/>
      <c r="CD887" s="731"/>
      <c r="CE887" s="731"/>
      <c r="CF887" s="731"/>
    </row>
    <row r="888" spans="59:84" ht="15.75" customHeight="1">
      <c r="BG888" s="762"/>
      <c r="BW888" s="790"/>
      <c r="BX888" s="790"/>
      <c r="BY888" s="792"/>
      <c r="BZ888" s="731"/>
      <c r="CA888" s="731"/>
      <c r="CB888" s="731"/>
      <c r="CC888" s="731"/>
      <c r="CD888" s="731"/>
      <c r="CE888" s="731"/>
      <c r="CF888" s="731"/>
    </row>
    <row r="889" spans="59:84" ht="15.75" customHeight="1">
      <c r="BG889" s="762"/>
      <c r="BW889" s="790"/>
      <c r="BX889" s="790"/>
      <c r="BY889" s="792"/>
      <c r="BZ889" s="731"/>
      <c r="CA889" s="731"/>
      <c r="CB889" s="731"/>
      <c r="CC889" s="731"/>
      <c r="CD889" s="731"/>
      <c r="CE889" s="731"/>
      <c r="CF889" s="731"/>
    </row>
    <row r="890" spans="59:84" ht="15.75" customHeight="1">
      <c r="BG890" s="762"/>
      <c r="BW890" s="790"/>
      <c r="BX890" s="790"/>
      <c r="BY890" s="792"/>
      <c r="BZ890" s="731"/>
      <c r="CA890" s="731"/>
      <c r="CB890" s="731"/>
      <c r="CC890" s="731"/>
      <c r="CD890" s="731"/>
      <c r="CE890" s="731"/>
      <c r="CF890" s="731"/>
    </row>
    <row r="891" spans="59:84" ht="15.75" customHeight="1">
      <c r="BG891" s="762"/>
      <c r="BW891" s="790"/>
      <c r="BX891" s="790"/>
      <c r="BY891" s="792"/>
      <c r="BZ891" s="731"/>
      <c r="CA891" s="731"/>
      <c r="CB891" s="731"/>
      <c r="CC891" s="731"/>
      <c r="CD891" s="731"/>
      <c r="CE891" s="731"/>
      <c r="CF891" s="731"/>
    </row>
    <row r="892" spans="59:84" ht="15.75" customHeight="1">
      <c r="BG892" s="762"/>
      <c r="BW892" s="790"/>
      <c r="BX892" s="790"/>
      <c r="BY892" s="792"/>
      <c r="BZ892" s="731"/>
      <c r="CA892" s="731"/>
      <c r="CB892" s="731"/>
      <c r="CC892" s="731"/>
      <c r="CD892" s="731"/>
      <c r="CE892" s="731"/>
      <c r="CF892" s="731"/>
    </row>
    <row r="893" spans="59:84" ht="15.75" customHeight="1">
      <c r="BG893" s="762"/>
      <c r="BW893" s="790"/>
      <c r="BX893" s="790"/>
      <c r="BY893" s="792"/>
      <c r="BZ893" s="731"/>
      <c r="CA893" s="731"/>
      <c r="CB893" s="731"/>
      <c r="CC893" s="731"/>
      <c r="CD893" s="731"/>
      <c r="CE893" s="731"/>
      <c r="CF893" s="731"/>
    </row>
    <row r="894" spans="59:84" ht="15.75" customHeight="1">
      <c r="BG894" s="762"/>
      <c r="BW894" s="790"/>
      <c r="BX894" s="790"/>
      <c r="BY894" s="792"/>
      <c r="BZ894" s="731"/>
      <c r="CA894" s="731"/>
      <c r="CB894" s="731"/>
      <c r="CC894" s="731"/>
      <c r="CD894" s="731"/>
      <c r="CE894" s="731"/>
      <c r="CF894" s="731"/>
    </row>
    <row r="895" spans="59:84" ht="15.75" customHeight="1">
      <c r="BG895" s="762"/>
      <c r="BW895" s="790"/>
      <c r="BX895" s="790"/>
      <c r="BY895" s="792"/>
      <c r="BZ895" s="731"/>
      <c r="CA895" s="731"/>
      <c r="CB895" s="731"/>
      <c r="CC895" s="731"/>
      <c r="CD895" s="731"/>
      <c r="CE895" s="731"/>
      <c r="CF895" s="731"/>
    </row>
    <row r="896" spans="59:84" ht="15.75" customHeight="1">
      <c r="BG896" s="762"/>
      <c r="BW896" s="790"/>
      <c r="BX896" s="790"/>
      <c r="BY896" s="792"/>
      <c r="BZ896" s="731"/>
      <c r="CA896" s="731"/>
      <c r="CB896" s="731"/>
      <c r="CC896" s="731"/>
      <c r="CD896" s="731"/>
      <c r="CE896" s="731"/>
      <c r="CF896" s="731"/>
    </row>
    <row r="897" spans="59:84" ht="15.75" customHeight="1">
      <c r="BG897" s="762"/>
      <c r="BW897" s="790"/>
      <c r="BX897" s="790"/>
      <c r="BY897" s="792"/>
      <c r="BZ897" s="731"/>
      <c r="CA897" s="731"/>
      <c r="CB897" s="731"/>
      <c r="CC897" s="731"/>
      <c r="CD897" s="731"/>
      <c r="CE897" s="731"/>
      <c r="CF897" s="731"/>
    </row>
    <row r="898" spans="59:84" ht="15.75" customHeight="1">
      <c r="BG898" s="762"/>
      <c r="BW898" s="790"/>
      <c r="BX898" s="790"/>
      <c r="BY898" s="792"/>
      <c r="BZ898" s="731"/>
      <c r="CA898" s="731"/>
      <c r="CB898" s="731"/>
      <c r="CC898" s="731"/>
      <c r="CD898" s="731"/>
      <c r="CE898" s="731"/>
      <c r="CF898" s="731"/>
    </row>
    <row r="899" spans="59:84" ht="15.75" customHeight="1">
      <c r="BG899" s="762"/>
      <c r="BW899" s="790"/>
      <c r="BX899" s="790"/>
      <c r="BY899" s="792"/>
      <c r="BZ899" s="731"/>
      <c r="CA899" s="731"/>
      <c r="CB899" s="731"/>
      <c r="CC899" s="731"/>
      <c r="CD899" s="731"/>
      <c r="CE899" s="731"/>
      <c r="CF899" s="731"/>
    </row>
    <row r="900" spans="59:84" ht="15.75" customHeight="1">
      <c r="BG900" s="762"/>
      <c r="BW900" s="790"/>
      <c r="BX900" s="790"/>
      <c r="BY900" s="792"/>
      <c r="BZ900" s="731"/>
      <c r="CA900" s="731"/>
      <c r="CB900" s="731"/>
      <c r="CC900" s="731"/>
      <c r="CD900" s="731"/>
      <c r="CE900" s="731"/>
      <c r="CF900" s="731"/>
    </row>
    <row r="901" spans="59:84" ht="15.75" customHeight="1">
      <c r="BG901" s="762"/>
      <c r="BW901" s="790"/>
      <c r="BX901" s="790"/>
      <c r="BY901" s="792"/>
      <c r="BZ901" s="731"/>
      <c r="CA901" s="731"/>
      <c r="CB901" s="731"/>
      <c r="CC901" s="731"/>
      <c r="CD901" s="731"/>
      <c r="CE901" s="731"/>
      <c r="CF901" s="731"/>
    </row>
    <row r="902" spans="59:84" ht="15.75" customHeight="1">
      <c r="BG902" s="762"/>
      <c r="BW902" s="790"/>
      <c r="BX902" s="790"/>
      <c r="BY902" s="792"/>
      <c r="BZ902" s="731"/>
      <c r="CA902" s="731"/>
      <c r="CB902" s="731"/>
      <c r="CC902" s="731"/>
      <c r="CD902" s="731"/>
      <c r="CE902" s="731"/>
      <c r="CF902" s="731"/>
    </row>
    <row r="903" spans="59:84" ht="15.75" customHeight="1">
      <c r="BG903" s="762"/>
      <c r="BW903" s="790"/>
      <c r="BX903" s="790"/>
      <c r="BY903" s="792"/>
      <c r="BZ903" s="731"/>
      <c r="CA903" s="731"/>
      <c r="CB903" s="731"/>
      <c r="CC903" s="731"/>
      <c r="CD903" s="731"/>
      <c r="CE903" s="731"/>
      <c r="CF903" s="731"/>
    </row>
    <row r="904" spans="59:84" ht="15.75" customHeight="1">
      <c r="BG904" s="762"/>
      <c r="BW904" s="790"/>
      <c r="BX904" s="790"/>
      <c r="BY904" s="792"/>
      <c r="BZ904" s="731"/>
      <c r="CA904" s="731"/>
      <c r="CB904" s="731"/>
      <c r="CC904" s="731"/>
      <c r="CD904" s="731"/>
      <c r="CE904" s="731"/>
      <c r="CF904" s="731"/>
    </row>
    <row r="905" spans="59:84" ht="15.75" customHeight="1">
      <c r="BG905" s="762"/>
      <c r="BW905" s="790"/>
      <c r="BX905" s="790"/>
      <c r="BY905" s="792"/>
      <c r="BZ905" s="731"/>
      <c r="CA905" s="731"/>
      <c r="CB905" s="731"/>
      <c r="CC905" s="731"/>
      <c r="CD905" s="731"/>
      <c r="CE905" s="731"/>
      <c r="CF905" s="731"/>
    </row>
    <row r="906" spans="59:84" ht="15.75" customHeight="1">
      <c r="BG906" s="762"/>
      <c r="BW906" s="790"/>
      <c r="BX906" s="790"/>
      <c r="BY906" s="792"/>
      <c r="BZ906" s="731"/>
      <c r="CA906" s="731"/>
      <c r="CB906" s="731"/>
      <c r="CC906" s="731"/>
      <c r="CD906" s="731"/>
      <c r="CE906" s="731"/>
      <c r="CF906" s="731"/>
    </row>
    <row r="907" spans="59:84" ht="15.75" customHeight="1">
      <c r="BG907" s="762"/>
      <c r="BW907" s="790"/>
      <c r="BX907" s="790"/>
      <c r="BY907" s="792"/>
      <c r="BZ907" s="731"/>
      <c r="CA907" s="731"/>
      <c r="CB907" s="731"/>
      <c r="CC907" s="731"/>
      <c r="CD907" s="731"/>
      <c r="CE907" s="731"/>
      <c r="CF907" s="731"/>
    </row>
    <row r="908" spans="59:84" ht="15.75" customHeight="1">
      <c r="BG908" s="762"/>
      <c r="BW908" s="790"/>
      <c r="BX908" s="790"/>
      <c r="BY908" s="792"/>
      <c r="BZ908" s="731"/>
      <c r="CA908" s="731"/>
      <c r="CB908" s="731"/>
      <c r="CC908" s="731"/>
      <c r="CD908" s="731"/>
      <c r="CE908" s="731"/>
      <c r="CF908" s="731"/>
    </row>
    <row r="909" spans="59:84" ht="15.75" customHeight="1">
      <c r="BG909" s="762"/>
      <c r="BW909" s="790"/>
      <c r="BX909" s="790"/>
      <c r="BY909" s="792"/>
      <c r="BZ909" s="731"/>
      <c r="CA909" s="731"/>
      <c r="CB909" s="731"/>
      <c r="CC909" s="731"/>
      <c r="CD909" s="731"/>
      <c r="CE909" s="731"/>
      <c r="CF909" s="731"/>
    </row>
    <row r="910" spans="59:84" ht="15.75" customHeight="1">
      <c r="BG910" s="762"/>
      <c r="BW910" s="790"/>
      <c r="BX910" s="790"/>
      <c r="BY910" s="792"/>
      <c r="BZ910" s="731"/>
      <c r="CA910" s="731"/>
      <c r="CB910" s="731"/>
      <c r="CC910" s="731"/>
      <c r="CD910" s="731"/>
      <c r="CE910" s="731"/>
      <c r="CF910" s="731"/>
    </row>
    <row r="911" spans="59:84" ht="15.75" customHeight="1">
      <c r="BG911" s="762"/>
      <c r="BW911" s="790"/>
      <c r="BX911" s="790"/>
      <c r="BY911" s="792"/>
      <c r="BZ911" s="731"/>
      <c r="CA911" s="731"/>
      <c r="CB911" s="731"/>
      <c r="CC911" s="731"/>
      <c r="CD911" s="731"/>
      <c r="CE911" s="731"/>
      <c r="CF911" s="731"/>
    </row>
    <row r="912" spans="59:84" ht="15.75" customHeight="1">
      <c r="BG912" s="762"/>
      <c r="BW912" s="790"/>
      <c r="BX912" s="790"/>
      <c r="BY912" s="792"/>
      <c r="BZ912" s="731"/>
      <c r="CA912" s="731"/>
      <c r="CB912" s="731"/>
      <c r="CC912" s="731"/>
      <c r="CD912" s="731"/>
      <c r="CE912" s="731"/>
      <c r="CF912" s="731"/>
    </row>
    <row r="913" spans="59:84" ht="15.75" customHeight="1">
      <c r="BG913" s="762"/>
      <c r="BW913" s="790"/>
      <c r="BX913" s="790"/>
      <c r="BY913" s="792"/>
      <c r="BZ913" s="731"/>
      <c r="CA913" s="731"/>
      <c r="CB913" s="731"/>
      <c r="CC913" s="731"/>
      <c r="CD913" s="731"/>
      <c r="CE913" s="731"/>
      <c r="CF913" s="731"/>
    </row>
    <row r="914" spans="59:84" ht="15.75" customHeight="1">
      <c r="BG914" s="762"/>
      <c r="BW914" s="790"/>
      <c r="BX914" s="790"/>
      <c r="BY914" s="792"/>
      <c r="BZ914" s="731"/>
      <c r="CA914" s="731"/>
      <c r="CB914" s="731"/>
      <c r="CC914" s="731"/>
      <c r="CD914" s="731"/>
      <c r="CE914" s="731"/>
      <c r="CF914" s="731"/>
    </row>
    <row r="915" spans="59:84" ht="15.75" customHeight="1">
      <c r="BG915" s="762"/>
      <c r="BW915" s="790"/>
      <c r="BX915" s="790"/>
      <c r="BY915" s="792"/>
      <c r="BZ915" s="731"/>
      <c r="CA915" s="731"/>
      <c r="CB915" s="731"/>
      <c r="CC915" s="731"/>
      <c r="CD915" s="731"/>
      <c r="CE915" s="731"/>
      <c r="CF915" s="731"/>
    </row>
    <row r="916" spans="59:84" ht="15.75" customHeight="1">
      <c r="BG916" s="762"/>
      <c r="BW916" s="790"/>
      <c r="BX916" s="790"/>
      <c r="BY916" s="792"/>
      <c r="BZ916" s="731"/>
      <c r="CA916" s="731"/>
      <c r="CB916" s="731"/>
      <c r="CC916" s="731"/>
      <c r="CD916" s="731"/>
      <c r="CE916" s="731"/>
      <c r="CF916" s="731"/>
    </row>
    <row r="917" spans="59:84" ht="15.75" customHeight="1">
      <c r="BG917" s="762"/>
      <c r="BW917" s="790"/>
      <c r="BX917" s="790"/>
      <c r="BY917" s="792"/>
      <c r="BZ917" s="731"/>
      <c r="CA917" s="731"/>
      <c r="CB917" s="731"/>
      <c r="CC917" s="731"/>
      <c r="CD917" s="731"/>
      <c r="CE917" s="731"/>
      <c r="CF917" s="731"/>
    </row>
    <row r="918" spans="59:84" ht="15.75" customHeight="1">
      <c r="BG918" s="762"/>
      <c r="BW918" s="790"/>
      <c r="BX918" s="790"/>
      <c r="BY918" s="792"/>
      <c r="BZ918" s="731"/>
      <c r="CA918" s="731"/>
      <c r="CB918" s="731"/>
      <c r="CC918" s="731"/>
      <c r="CD918" s="731"/>
      <c r="CE918" s="731"/>
      <c r="CF918" s="731"/>
    </row>
    <row r="919" spans="59:84" ht="15.75" customHeight="1">
      <c r="BG919" s="762"/>
      <c r="BW919" s="790"/>
      <c r="BX919" s="790"/>
      <c r="BY919" s="792"/>
      <c r="BZ919" s="731"/>
      <c r="CA919" s="731"/>
      <c r="CB919" s="731"/>
      <c r="CC919" s="731"/>
      <c r="CD919" s="731"/>
      <c r="CE919" s="731"/>
      <c r="CF919" s="731"/>
    </row>
    <row r="920" spans="59:84" ht="15.75" customHeight="1">
      <c r="BG920" s="762"/>
      <c r="BW920" s="790"/>
      <c r="BX920" s="790"/>
      <c r="BY920" s="792"/>
      <c r="BZ920" s="731"/>
      <c r="CA920" s="731"/>
      <c r="CB920" s="731"/>
      <c r="CC920" s="731"/>
      <c r="CD920" s="731"/>
      <c r="CE920" s="731"/>
      <c r="CF920" s="731"/>
    </row>
    <row r="921" spans="59:84" ht="15.75" customHeight="1">
      <c r="BG921" s="762"/>
      <c r="BW921" s="790"/>
      <c r="BX921" s="790"/>
      <c r="BY921" s="792"/>
      <c r="BZ921" s="731"/>
      <c r="CA921" s="731"/>
      <c r="CB921" s="731"/>
      <c r="CC921" s="731"/>
      <c r="CD921" s="731"/>
      <c r="CE921" s="731"/>
      <c r="CF921" s="731"/>
    </row>
    <row r="922" spans="59:84" ht="15.75" customHeight="1">
      <c r="BG922" s="762"/>
      <c r="BW922" s="790"/>
      <c r="BX922" s="790"/>
      <c r="BY922" s="792"/>
      <c r="BZ922" s="731"/>
      <c r="CA922" s="731"/>
      <c r="CB922" s="731"/>
      <c r="CC922" s="731"/>
      <c r="CD922" s="731"/>
      <c r="CE922" s="731"/>
      <c r="CF922" s="731"/>
    </row>
    <row r="923" spans="59:84" ht="15.75" customHeight="1">
      <c r="BG923" s="762"/>
      <c r="BW923" s="790"/>
      <c r="BX923" s="790"/>
      <c r="BY923" s="792"/>
      <c r="BZ923" s="731"/>
      <c r="CA923" s="731"/>
      <c r="CB923" s="731"/>
      <c r="CC923" s="731"/>
      <c r="CD923" s="731"/>
      <c r="CE923" s="731"/>
      <c r="CF923" s="731"/>
    </row>
    <row r="924" spans="59:84" ht="15.75" customHeight="1">
      <c r="BG924" s="762"/>
      <c r="BW924" s="790"/>
      <c r="BX924" s="790"/>
      <c r="BY924" s="792"/>
      <c r="BZ924" s="731"/>
      <c r="CA924" s="731"/>
      <c r="CB924" s="731"/>
      <c r="CC924" s="731"/>
      <c r="CD924" s="731"/>
      <c r="CE924" s="731"/>
      <c r="CF924" s="731"/>
    </row>
    <row r="925" spans="59:84" ht="15.75" customHeight="1">
      <c r="BG925" s="762"/>
      <c r="BW925" s="790"/>
      <c r="BX925" s="790"/>
      <c r="BY925" s="792"/>
      <c r="BZ925" s="731"/>
      <c r="CA925" s="731"/>
      <c r="CB925" s="731"/>
      <c r="CC925" s="731"/>
      <c r="CD925" s="731"/>
      <c r="CE925" s="731"/>
      <c r="CF925" s="731"/>
    </row>
    <row r="926" spans="59:84" ht="15.75" customHeight="1">
      <c r="BG926" s="762"/>
      <c r="BW926" s="790"/>
      <c r="BX926" s="790"/>
      <c r="BY926" s="792"/>
      <c r="BZ926" s="731"/>
      <c r="CA926" s="731"/>
      <c r="CB926" s="731"/>
      <c r="CC926" s="731"/>
      <c r="CD926" s="731"/>
      <c r="CE926" s="731"/>
      <c r="CF926" s="731"/>
    </row>
    <row r="927" spans="59:84" ht="15.75" customHeight="1">
      <c r="BG927" s="762"/>
      <c r="BW927" s="790"/>
      <c r="BX927" s="790"/>
      <c r="BY927" s="792"/>
      <c r="BZ927" s="731"/>
      <c r="CA927" s="731"/>
      <c r="CB927" s="731"/>
      <c r="CC927" s="731"/>
      <c r="CD927" s="731"/>
      <c r="CE927" s="731"/>
      <c r="CF927" s="731"/>
    </row>
    <row r="928" spans="59:84" ht="15.75" customHeight="1">
      <c r="BG928" s="762"/>
      <c r="BW928" s="790"/>
      <c r="BX928" s="790"/>
      <c r="BY928" s="792"/>
      <c r="BZ928" s="731"/>
      <c r="CA928" s="731"/>
      <c r="CB928" s="731"/>
      <c r="CC928" s="731"/>
      <c r="CD928" s="731"/>
      <c r="CE928" s="731"/>
      <c r="CF928" s="731"/>
    </row>
    <row r="929" spans="59:84" ht="15.75" customHeight="1">
      <c r="BG929" s="762"/>
      <c r="BW929" s="790"/>
      <c r="BX929" s="790"/>
      <c r="BY929" s="792"/>
      <c r="BZ929" s="731"/>
      <c r="CA929" s="731"/>
      <c r="CB929" s="731"/>
      <c r="CC929" s="731"/>
      <c r="CD929" s="731"/>
      <c r="CE929" s="731"/>
      <c r="CF929" s="731"/>
    </row>
    <row r="930" spans="59:84" ht="15.75" customHeight="1">
      <c r="BG930" s="762"/>
      <c r="BW930" s="790"/>
      <c r="BX930" s="790"/>
      <c r="BY930" s="792"/>
      <c r="BZ930" s="731"/>
      <c r="CA930" s="731"/>
      <c r="CB930" s="731"/>
      <c r="CC930" s="731"/>
      <c r="CD930" s="731"/>
      <c r="CE930" s="731"/>
      <c r="CF930" s="731"/>
    </row>
    <row r="931" spans="59:84" ht="15.75" customHeight="1">
      <c r="BG931" s="762"/>
      <c r="BW931" s="790"/>
      <c r="BX931" s="790"/>
      <c r="BY931" s="792"/>
      <c r="BZ931" s="731"/>
      <c r="CA931" s="731"/>
      <c r="CB931" s="731"/>
      <c r="CC931" s="731"/>
      <c r="CD931" s="731"/>
      <c r="CE931" s="731"/>
      <c r="CF931" s="731"/>
    </row>
    <row r="932" spans="59:84" ht="15.75" customHeight="1">
      <c r="BG932" s="762"/>
      <c r="BW932" s="790"/>
      <c r="BX932" s="790"/>
      <c r="BY932" s="792"/>
      <c r="BZ932" s="731"/>
      <c r="CA932" s="731"/>
      <c r="CB932" s="731"/>
      <c r="CC932" s="731"/>
      <c r="CD932" s="731"/>
      <c r="CE932" s="731"/>
      <c r="CF932" s="731"/>
    </row>
    <row r="933" spans="59:84" ht="15.75" customHeight="1">
      <c r="BG933" s="762"/>
      <c r="BW933" s="790"/>
      <c r="BX933" s="790"/>
      <c r="BY933" s="792"/>
      <c r="BZ933" s="731"/>
      <c r="CA933" s="731"/>
      <c r="CB933" s="731"/>
      <c r="CC933" s="731"/>
      <c r="CD933" s="731"/>
      <c r="CE933" s="731"/>
      <c r="CF933" s="731"/>
    </row>
    <row r="934" spans="59:84" ht="15.75" customHeight="1">
      <c r="BG934" s="762"/>
      <c r="BW934" s="790"/>
      <c r="BX934" s="790"/>
      <c r="BY934" s="792"/>
      <c r="BZ934" s="731"/>
      <c r="CA934" s="731"/>
      <c r="CB934" s="731"/>
      <c r="CC934" s="731"/>
      <c r="CD934" s="731"/>
      <c r="CE934" s="731"/>
      <c r="CF934" s="731"/>
    </row>
    <row r="935" spans="59:84" ht="15.75" customHeight="1">
      <c r="BG935" s="762"/>
      <c r="BW935" s="790"/>
      <c r="BX935" s="790"/>
      <c r="BY935" s="792"/>
      <c r="BZ935" s="731"/>
      <c r="CA935" s="731"/>
      <c r="CB935" s="731"/>
      <c r="CC935" s="731"/>
      <c r="CD935" s="731"/>
      <c r="CE935" s="731"/>
      <c r="CF935" s="731"/>
    </row>
    <row r="936" spans="59:84" ht="15.75" customHeight="1">
      <c r="BG936" s="762"/>
      <c r="BW936" s="790"/>
      <c r="BX936" s="790"/>
      <c r="BY936" s="792"/>
      <c r="BZ936" s="731"/>
      <c r="CA936" s="731"/>
      <c r="CB936" s="731"/>
      <c r="CC936" s="731"/>
      <c r="CD936" s="731"/>
      <c r="CE936" s="731"/>
      <c r="CF936" s="731"/>
    </row>
    <row r="937" spans="59:84" ht="15.75" customHeight="1">
      <c r="BG937" s="762"/>
      <c r="BW937" s="790"/>
      <c r="BX937" s="790"/>
      <c r="BY937" s="792"/>
      <c r="BZ937" s="731"/>
      <c r="CA937" s="731"/>
      <c r="CB937" s="731"/>
      <c r="CC937" s="731"/>
      <c r="CD937" s="731"/>
      <c r="CE937" s="731"/>
      <c r="CF937" s="731"/>
    </row>
    <row r="938" spans="59:84" ht="15.75" customHeight="1">
      <c r="BG938" s="762"/>
      <c r="BW938" s="790"/>
      <c r="BX938" s="790"/>
      <c r="BY938" s="792"/>
      <c r="BZ938" s="731"/>
      <c r="CA938" s="731"/>
      <c r="CB938" s="731"/>
      <c r="CC938" s="731"/>
      <c r="CD938" s="731"/>
      <c r="CE938" s="731"/>
      <c r="CF938" s="731"/>
    </row>
    <row r="939" spans="59:84" ht="15.75" customHeight="1">
      <c r="BG939" s="762"/>
      <c r="BW939" s="790"/>
      <c r="BX939" s="790"/>
      <c r="BY939" s="792"/>
      <c r="BZ939" s="731"/>
      <c r="CA939" s="731"/>
      <c r="CB939" s="731"/>
      <c r="CC939" s="731"/>
      <c r="CD939" s="731"/>
      <c r="CE939" s="731"/>
      <c r="CF939" s="731"/>
    </row>
    <row r="940" spans="59:84" ht="15.75" customHeight="1">
      <c r="BG940" s="762"/>
      <c r="BW940" s="790"/>
      <c r="BX940" s="790"/>
      <c r="BY940" s="792"/>
      <c r="BZ940" s="731"/>
      <c r="CA940" s="731"/>
      <c r="CB940" s="731"/>
      <c r="CC940" s="731"/>
      <c r="CD940" s="731"/>
      <c r="CE940" s="731"/>
      <c r="CF940" s="731"/>
    </row>
    <row r="941" spans="59:84" ht="15.75" customHeight="1">
      <c r="BG941" s="762"/>
      <c r="BW941" s="790"/>
      <c r="BX941" s="790"/>
      <c r="BY941" s="792"/>
      <c r="BZ941" s="731"/>
      <c r="CA941" s="731"/>
      <c r="CB941" s="731"/>
      <c r="CC941" s="731"/>
      <c r="CD941" s="731"/>
      <c r="CE941" s="731"/>
      <c r="CF941" s="731"/>
    </row>
    <row r="942" spans="59:84" ht="15.75" customHeight="1">
      <c r="BG942" s="762"/>
      <c r="BW942" s="790"/>
      <c r="BX942" s="790"/>
      <c r="BY942" s="792"/>
      <c r="BZ942" s="731"/>
      <c r="CA942" s="731"/>
      <c r="CB942" s="731"/>
      <c r="CC942" s="731"/>
      <c r="CD942" s="731"/>
      <c r="CE942" s="731"/>
      <c r="CF942" s="731"/>
    </row>
    <row r="943" spans="59:84" ht="15.75" customHeight="1">
      <c r="BG943" s="762"/>
      <c r="BW943" s="790"/>
      <c r="BX943" s="790"/>
      <c r="BY943" s="792"/>
      <c r="BZ943" s="731"/>
      <c r="CA943" s="731"/>
      <c r="CB943" s="731"/>
      <c r="CC943" s="731"/>
      <c r="CD943" s="731"/>
      <c r="CE943" s="731"/>
      <c r="CF943" s="731"/>
    </row>
    <row r="944" spans="59:84" ht="15.75" customHeight="1">
      <c r="BG944" s="762"/>
      <c r="BW944" s="790"/>
      <c r="BX944" s="790"/>
      <c r="BY944" s="792"/>
      <c r="BZ944" s="731"/>
      <c r="CA944" s="731"/>
      <c r="CB944" s="731"/>
      <c r="CC944" s="731"/>
      <c r="CD944" s="731"/>
      <c r="CE944" s="731"/>
      <c r="CF944" s="731"/>
    </row>
    <row r="945" spans="59:84" ht="15.75" customHeight="1">
      <c r="BG945" s="762"/>
      <c r="BW945" s="790"/>
      <c r="BX945" s="790"/>
      <c r="BY945" s="792"/>
      <c r="BZ945" s="731"/>
      <c r="CA945" s="731"/>
      <c r="CB945" s="731"/>
      <c r="CC945" s="731"/>
      <c r="CD945" s="731"/>
      <c r="CE945" s="731"/>
      <c r="CF945" s="731"/>
    </row>
    <row r="946" spans="59:84" ht="15.75" customHeight="1">
      <c r="BG946" s="762"/>
      <c r="BW946" s="790"/>
      <c r="BX946" s="790"/>
      <c r="BY946" s="792"/>
      <c r="BZ946" s="731"/>
      <c r="CA946" s="731"/>
      <c r="CB946" s="731"/>
      <c r="CC946" s="731"/>
      <c r="CD946" s="731"/>
      <c r="CE946" s="731"/>
      <c r="CF946" s="731"/>
    </row>
    <row r="947" spans="59:84" ht="15.75" customHeight="1">
      <c r="BG947" s="762"/>
      <c r="BW947" s="790"/>
      <c r="BX947" s="790"/>
      <c r="BY947" s="792"/>
      <c r="BZ947" s="731"/>
      <c r="CA947" s="731"/>
      <c r="CB947" s="731"/>
      <c r="CC947" s="731"/>
      <c r="CD947" s="731"/>
      <c r="CE947" s="731"/>
      <c r="CF947" s="731"/>
    </row>
    <row r="948" spans="59:84" ht="15.75" customHeight="1">
      <c r="BG948" s="762"/>
      <c r="BW948" s="790"/>
      <c r="BX948" s="790"/>
      <c r="BY948" s="792"/>
      <c r="BZ948" s="731"/>
      <c r="CA948" s="731"/>
      <c r="CB948" s="731"/>
      <c r="CC948" s="731"/>
      <c r="CD948" s="731"/>
      <c r="CE948" s="731"/>
      <c r="CF948" s="731"/>
    </row>
    <row r="949" spans="59:84" ht="15.75" customHeight="1">
      <c r="BG949" s="762"/>
      <c r="BW949" s="790"/>
      <c r="BX949" s="790"/>
      <c r="BY949" s="792"/>
      <c r="BZ949" s="731"/>
      <c r="CA949" s="731"/>
      <c r="CB949" s="731"/>
      <c r="CC949" s="731"/>
      <c r="CD949" s="731"/>
      <c r="CE949" s="731"/>
      <c r="CF949" s="731"/>
    </row>
    <row r="950" spans="59:84" ht="15.75" customHeight="1">
      <c r="BG950" s="762"/>
      <c r="BW950" s="790"/>
      <c r="BX950" s="790"/>
      <c r="BY950" s="792"/>
      <c r="BZ950" s="731"/>
      <c r="CA950" s="731"/>
      <c r="CB950" s="731"/>
      <c r="CC950" s="731"/>
      <c r="CD950" s="731"/>
      <c r="CE950" s="731"/>
      <c r="CF950" s="731"/>
    </row>
    <row r="951" spans="59:84" ht="15.75" customHeight="1">
      <c r="BG951" s="762"/>
      <c r="BW951" s="790"/>
      <c r="BX951" s="790"/>
      <c r="BY951" s="792"/>
      <c r="BZ951" s="731"/>
      <c r="CA951" s="731"/>
      <c r="CB951" s="731"/>
      <c r="CC951" s="731"/>
      <c r="CD951" s="731"/>
      <c r="CE951" s="731"/>
      <c r="CF951" s="731"/>
    </row>
    <row r="952" spans="59:84" ht="15.75" customHeight="1">
      <c r="BG952" s="762"/>
      <c r="BW952" s="790"/>
      <c r="BX952" s="790"/>
      <c r="BY952" s="792"/>
      <c r="BZ952" s="731"/>
      <c r="CA952" s="731"/>
      <c r="CB952" s="731"/>
      <c r="CC952" s="731"/>
      <c r="CD952" s="731"/>
      <c r="CE952" s="731"/>
      <c r="CF952" s="731"/>
    </row>
    <row r="953" spans="59:84" ht="15.75" customHeight="1">
      <c r="BG953" s="762"/>
      <c r="BW953" s="790"/>
      <c r="BX953" s="790"/>
      <c r="BY953" s="792"/>
      <c r="BZ953" s="731"/>
      <c r="CA953" s="731"/>
      <c r="CB953" s="731"/>
      <c r="CC953" s="731"/>
      <c r="CD953" s="731"/>
      <c r="CE953" s="731"/>
      <c r="CF953" s="731"/>
    </row>
    <row r="954" spans="59:84" ht="15.75" customHeight="1">
      <c r="BG954" s="762"/>
      <c r="BW954" s="790"/>
      <c r="BX954" s="790"/>
      <c r="BY954" s="792"/>
      <c r="BZ954" s="731"/>
      <c r="CA954" s="731"/>
      <c r="CB954" s="731"/>
      <c r="CC954" s="731"/>
      <c r="CD954" s="731"/>
      <c r="CE954" s="731"/>
      <c r="CF954" s="731"/>
    </row>
    <row r="955" spans="59:84" ht="15.75" customHeight="1">
      <c r="BG955" s="762"/>
      <c r="BW955" s="790"/>
      <c r="BX955" s="790"/>
      <c r="BY955" s="792"/>
      <c r="BZ955" s="731"/>
      <c r="CA955" s="731"/>
      <c r="CB955" s="731"/>
      <c r="CC955" s="731"/>
      <c r="CD955" s="731"/>
      <c r="CE955" s="731"/>
      <c r="CF955" s="731"/>
    </row>
    <row r="956" spans="59:84" ht="15.75" customHeight="1">
      <c r="BG956" s="762"/>
      <c r="BW956" s="790"/>
      <c r="BX956" s="790"/>
      <c r="BY956" s="792"/>
      <c r="BZ956" s="731"/>
      <c r="CA956" s="731"/>
      <c r="CB956" s="731"/>
      <c r="CC956" s="731"/>
      <c r="CD956" s="731"/>
      <c r="CE956" s="731"/>
      <c r="CF956" s="731"/>
    </row>
    <row r="957" spans="59:84" ht="15.75" customHeight="1">
      <c r="BG957" s="762"/>
      <c r="BW957" s="790"/>
      <c r="BX957" s="790"/>
      <c r="BY957" s="792"/>
      <c r="BZ957" s="731"/>
      <c r="CA957" s="731"/>
      <c r="CB957" s="731"/>
      <c r="CC957" s="731"/>
      <c r="CD957" s="731"/>
      <c r="CE957" s="731"/>
      <c r="CF957" s="731"/>
    </row>
    <row r="958" spans="59:84" ht="15.75" customHeight="1">
      <c r="BG958" s="762"/>
      <c r="BW958" s="790"/>
      <c r="BX958" s="790"/>
      <c r="BY958" s="792"/>
      <c r="BZ958" s="731"/>
      <c r="CA958" s="731"/>
      <c r="CB958" s="731"/>
      <c r="CC958" s="731"/>
      <c r="CD958" s="731"/>
      <c r="CE958" s="731"/>
      <c r="CF958" s="731"/>
    </row>
    <row r="959" spans="59:84" ht="15.75" customHeight="1">
      <c r="BG959" s="762"/>
      <c r="BW959" s="790"/>
      <c r="BX959" s="790"/>
      <c r="BY959" s="792"/>
      <c r="BZ959" s="731"/>
      <c r="CA959" s="731"/>
      <c r="CB959" s="731"/>
      <c r="CC959" s="731"/>
      <c r="CD959" s="731"/>
      <c r="CE959" s="731"/>
      <c r="CF959" s="731"/>
    </row>
    <row r="960" spans="59:84" ht="15.75" customHeight="1">
      <c r="BG960" s="762"/>
      <c r="BW960" s="790"/>
      <c r="BX960" s="790"/>
      <c r="BY960" s="792"/>
      <c r="BZ960" s="731"/>
      <c r="CA960" s="731"/>
      <c r="CB960" s="731"/>
      <c r="CC960" s="731"/>
      <c r="CD960" s="731"/>
      <c r="CE960" s="731"/>
      <c r="CF960" s="731"/>
    </row>
    <row r="961" spans="59:84" ht="15.75" customHeight="1">
      <c r="BG961" s="762"/>
      <c r="BW961" s="790"/>
      <c r="BX961" s="790"/>
      <c r="BY961" s="792"/>
      <c r="BZ961" s="731"/>
      <c r="CA961" s="731"/>
      <c r="CB961" s="731"/>
      <c r="CC961" s="731"/>
      <c r="CD961" s="731"/>
      <c r="CE961" s="731"/>
      <c r="CF961" s="731"/>
    </row>
    <row r="962" spans="59:84" ht="15.75" customHeight="1">
      <c r="BG962" s="762"/>
      <c r="BW962" s="790"/>
      <c r="BX962" s="790"/>
      <c r="BY962" s="792"/>
      <c r="BZ962" s="731"/>
      <c r="CA962" s="731"/>
      <c r="CB962" s="731"/>
      <c r="CC962" s="731"/>
      <c r="CD962" s="731"/>
      <c r="CE962" s="731"/>
      <c r="CF962" s="731"/>
    </row>
    <row r="963" spans="59:84" ht="15.75" customHeight="1">
      <c r="BG963" s="762"/>
      <c r="BW963" s="790"/>
      <c r="BX963" s="790"/>
      <c r="BY963" s="792"/>
      <c r="BZ963" s="731"/>
      <c r="CA963" s="731"/>
      <c r="CB963" s="731"/>
      <c r="CC963" s="731"/>
      <c r="CD963" s="731"/>
      <c r="CE963" s="731"/>
      <c r="CF963" s="731"/>
    </row>
    <row r="964" spans="59:84" ht="15.75" customHeight="1">
      <c r="BG964" s="762"/>
      <c r="BW964" s="790"/>
      <c r="BX964" s="790"/>
      <c r="BY964" s="792"/>
      <c r="BZ964" s="731"/>
      <c r="CA964" s="731"/>
      <c r="CB964" s="731"/>
      <c r="CC964" s="731"/>
      <c r="CD964" s="731"/>
      <c r="CE964" s="731"/>
      <c r="CF964" s="731"/>
    </row>
    <row r="965" spans="59:84" ht="15.75" customHeight="1">
      <c r="BG965" s="762"/>
      <c r="BW965" s="790"/>
      <c r="BX965" s="790"/>
      <c r="BY965" s="792"/>
      <c r="BZ965" s="731"/>
      <c r="CA965" s="731"/>
      <c r="CB965" s="731"/>
      <c r="CC965" s="731"/>
      <c r="CD965" s="731"/>
      <c r="CE965" s="731"/>
      <c r="CF965" s="731"/>
    </row>
    <row r="966" spans="59:84" ht="15.75" customHeight="1">
      <c r="BG966" s="762"/>
      <c r="BW966" s="790"/>
      <c r="BX966" s="790"/>
      <c r="BY966" s="792"/>
      <c r="BZ966" s="731"/>
      <c r="CA966" s="731"/>
      <c r="CB966" s="731"/>
      <c r="CC966" s="731"/>
      <c r="CD966" s="731"/>
      <c r="CE966" s="731"/>
      <c r="CF966" s="731"/>
    </row>
    <row r="967" spans="59:84" ht="15.75" customHeight="1">
      <c r="BG967" s="762"/>
      <c r="BW967" s="790"/>
      <c r="BX967" s="790"/>
      <c r="BY967" s="792"/>
      <c r="BZ967" s="731"/>
      <c r="CA967" s="731"/>
      <c r="CB967" s="731"/>
      <c r="CC967" s="731"/>
      <c r="CD967" s="731"/>
      <c r="CE967" s="731"/>
      <c r="CF967" s="731"/>
    </row>
    <row r="968" spans="59:84" ht="15.75" customHeight="1">
      <c r="BG968" s="762"/>
      <c r="BW968" s="790"/>
      <c r="BX968" s="790"/>
      <c r="BY968" s="792"/>
      <c r="BZ968" s="731"/>
      <c r="CA968" s="731"/>
      <c r="CB968" s="731"/>
      <c r="CC968" s="731"/>
      <c r="CD968" s="731"/>
      <c r="CE968" s="731"/>
      <c r="CF968" s="731"/>
    </row>
    <row r="969" spans="59:84" ht="15.75" customHeight="1">
      <c r="BG969" s="762"/>
      <c r="BW969" s="790"/>
      <c r="BX969" s="790"/>
      <c r="BY969" s="792"/>
      <c r="BZ969" s="731"/>
      <c r="CA969" s="731"/>
      <c r="CB969" s="731"/>
      <c r="CC969" s="731"/>
      <c r="CD969" s="731"/>
      <c r="CE969" s="731"/>
      <c r="CF969" s="731"/>
    </row>
    <row r="970" spans="59:84" ht="15.75" customHeight="1">
      <c r="BG970" s="762"/>
      <c r="BW970" s="790"/>
      <c r="BX970" s="790"/>
      <c r="BY970" s="792"/>
      <c r="BZ970" s="731"/>
      <c r="CA970" s="731"/>
      <c r="CB970" s="731"/>
      <c r="CC970" s="731"/>
      <c r="CD970" s="731"/>
      <c r="CE970" s="731"/>
      <c r="CF970" s="731"/>
    </row>
    <row r="971" spans="59:84" ht="15.75" customHeight="1">
      <c r="BG971" s="762"/>
      <c r="BW971" s="790"/>
      <c r="BX971" s="790"/>
      <c r="BY971" s="792"/>
      <c r="BZ971" s="731"/>
      <c r="CA971" s="731"/>
      <c r="CB971" s="731"/>
      <c r="CC971" s="731"/>
      <c r="CD971" s="731"/>
      <c r="CE971" s="731"/>
      <c r="CF971" s="731"/>
    </row>
    <row r="972" spans="59:84" ht="15.75" customHeight="1">
      <c r="BG972" s="762"/>
      <c r="BW972" s="790"/>
      <c r="BX972" s="790"/>
      <c r="BY972" s="792"/>
      <c r="BZ972" s="731"/>
      <c r="CA972" s="731"/>
      <c r="CB972" s="731"/>
      <c r="CC972" s="731"/>
      <c r="CD972" s="731"/>
      <c r="CE972" s="731"/>
      <c r="CF972" s="731"/>
    </row>
    <row r="973" spans="59:84" ht="15.75" customHeight="1">
      <c r="BG973" s="762"/>
      <c r="BW973" s="790"/>
      <c r="BX973" s="790"/>
      <c r="BY973" s="792"/>
      <c r="BZ973" s="731"/>
      <c r="CA973" s="731"/>
      <c r="CB973" s="731"/>
      <c r="CC973" s="731"/>
      <c r="CD973" s="731"/>
      <c r="CE973" s="731"/>
      <c r="CF973" s="731"/>
    </row>
    <row r="974" spans="59:84" ht="15.75" customHeight="1">
      <c r="BG974" s="762"/>
      <c r="BW974" s="790"/>
      <c r="BX974" s="790"/>
      <c r="BY974" s="792"/>
      <c r="BZ974" s="731"/>
      <c r="CA974" s="731"/>
      <c r="CB974" s="731"/>
      <c r="CC974" s="731"/>
      <c r="CD974" s="731"/>
      <c r="CE974" s="731"/>
      <c r="CF974" s="731"/>
    </row>
    <row r="975" spans="59:84" ht="15.75" customHeight="1">
      <c r="BG975" s="762"/>
      <c r="BW975" s="790"/>
      <c r="BX975" s="790"/>
      <c r="BY975" s="792"/>
      <c r="BZ975" s="731"/>
      <c r="CA975" s="731"/>
      <c r="CB975" s="731"/>
      <c r="CC975" s="731"/>
      <c r="CD975" s="731"/>
      <c r="CE975" s="731"/>
      <c r="CF975" s="731"/>
    </row>
    <row r="976" spans="59:84" ht="15.75" customHeight="1">
      <c r="BG976" s="762"/>
      <c r="BW976" s="790"/>
      <c r="BX976" s="790"/>
      <c r="BY976" s="792"/>
      <c r="BZ976" s="731"/>
      <c r="CA976" s="731"/>
      <c r="CB976" s="731"/>
      <c r="CC976" s="731"/>
      <c r="CD976" s="731"/>
      <c r="CE976" s="731"/>
      <c r="CF976" s="731"/>
    </row>
    <row r="977" spans="59:84" ht="15.75" customHeight="1">
      <c r="BG977" s="762"/>
      <c r="BW977" s="790"/>
      <c r="BX977" s="790"/>
      <c r="BY977" s="792"/>
      <c r="BZ977" s="731"/>
      <c r="CA977" s="731"/>
      <c r="CB977" s="731"/>
      <c r="CC977" s="731"/>
      <c r="CD977" s="731"/>
      <c r="CE977" s="731"/>
      <c r="CF977" s="731"/>
    </row>
    <row r="978" spans="59:84" ht="15.75" customHeight="1">
      <c r="BG978" s="762"/>
      <c r="BW978" s="790"/>
      <c r="BX978" s="790"/>
      <c r="BY978" s="792"/>
      <c r="BZ978" s="731"/>
      <c r="CA978" s="731"/>
      <c r="CB978" s="731"/>
      <c r="CC978" s="731"/>
      <c r="CD978" s="731"/>
      <c r="CE978" s="731"/>
      <c r="CF978" s="731"/>
    </row>
    <row r="979" spans="59:84" ht="15.75" customHeight="1">
      <c r="BG979" s="762"/>
      <c r="BW979" s="790"/>
      <c r="BX979" s="790"/>
      <c r="BY979" s="792"/>
      <c r="BZ979" s="731"/>
      <c r="CA979" s="731"/>
      <c r="CB979" s="731"/>
      <c r="CC979" s="731"/>
      <c r="CD979" s="731"/>
      <c r="CE979" s="731"/>
      <c r="CF979" s="731"/>
    </row>
    <row r="980" spans="59:84" ht="15.75" customHeight="1">
      <c r="BG980" s="762"/>
      <c r="BW980" s="790"/>
      <c r="BX980" s="790"/>
      <c r="BY980" s="792"/>
      <c r="BZ980" s="731"/>
      <c r="CA980" s="731"/>
      <c r="CB980" s="731"/>
      <c r="CC980" s="731"/>
      <c r="CD980" s="731"/>
      <c r="CE980" s="731"/>
      <c r="CF980" s="731"/>
    </row>
    <row r="981" spans="59:84" ht="15.75" customHeight="1">
      <c r="BG981" s="762"/>
      <c r="BW981" s="790"/>
      <c r="BX981" s="790"/>
      <c r="BY981" s="792"/>
      <c r="BZ981" s="731"/>
      <c r="CA981" s="731"/>
      <c r="CB981" s="731"/>
      <c r="CC981" s="731"/>
      <c r="CD981" s="731"/>
      <c r="CE981" s="731"/>
      <c r="CF981" s="731"/>
    </row>
    <row r="982" spans="59:84" ht="15.75" customHeight="1">
      <c r="BG982" s="762"/>
      <c r="BW982" s="790"/>
      <c r="BX982" s="790"/>
      <c r="BY982" s="792"/>
      <c r="BZ982" s="731"/>
      <c r="CA982" s="731"/>
      <c r="CB982" s="731"/>
      <c r="CC982" s="731"/>
      <c r="CD982" s="731"/>
      <c r="CE982" s="731"/>
      <c r="CF982" s="731"/>
    </row>
    <row r="983" spans="59:84" ht="15.75" customHeight="1">
      <c r="BG983" s="762"/>
      <c r="BW983" s="790"/>
      <c r="BX983" s="790"/>
      <c r="BY983" s="792"/>
      <c r="BZ983" s="731"/>
      <c r="CA983" s="731"/>
      <c r="CB983" s="731"/>
      <c r="CC983" s="731"/>
      <c r="CD983" s="731"/>
      <c r="CE983" s="731"/>
      <c r="CF983" s="731"/>
    </row>
    <row r="984" spans="59:84" ht="15.75" customHeight="1">
      <c r="BG984" s="762"/>
      <c r="BW984" s="790"/>
      <c r="BX984" s="790"/>
      <c r="BY984" s="792"/>
      <c r="BZ984" s="731"/>
      <c r="CA984" s="731"/>
      <c r="CB984" s="731"/>
      <c r="CC984" s="731"/>
      <c r="CD984" s="731"/>
      <c r="CE984" s="731"/>
      <c r="CF984" s="731"/>
    </row>
    <row r="985" spans="59:84" ht="15.75" customHeight="1">
      <c r="BG985" s="762"/>
      <c r="BW985" s="790"/>
      <c r="BX985" s="790"/>
      <c r="BY985" s="792"/>
      <c r="BZ985" s="731"/>
      <c r="CA985" s="731"/>
      <c r="CB985" s="731"/>
      <c r="CC985" s="731"/>
      <c r="CD985" s="731"/>
      <c r="CE985" s="731"/>
      <c r="CF985" s="731"/>
    </row>
    <row r="986" spans="59:84" ht="15.75" customHeight="1">
      <c r="BG986" s="762"/>
      <c r="BW986" s="790"/>
      <c r="BX986" s="790"/>
      <c r="BY986" s="792"/>
      <c r="BZ986" s="731"/>
      <c r="CA986" s="731"/>
      <c r="CB986" s="731"/>
      <c r="CC986" s="731"/>
      <c r="CD986" s="731"/>
      <c r="CE986" s="731"/>
      <c r="CF986" s="731"/>
    </row>
    <row r="987" spans="59:84" ht="15.75" customHeight="1">
      <c r="BG987" s="762"/>
      <c r="BW987" s="790"/>
      <c r="BX987" s="790"/>
      <c r="BY987" s="792"/>
      <c r="BZ987" s="731"/>
      <c r="CA987" s="731"/>
      <c r="CB987" s="731"/>
      <c r="CC987" s="731"/>
      <c r="CD987" s="731"/>
      <c r="CE987" s="731"/>
      <c r="CF987" s="731"/>
    </row>
    <row r="988" spans="59:84" ht="15.75" customHeight="1">
      <c r="BG988" s="762"/>
      <c r="BW988" s="790"/>
      <c r="BX988" s="790"/>
      <c r="BY988" s="792"/>
      <c r="BZ988" s="731"/>
      <c r="CA988" s="731"/>
      <c r="CB988" s="731"/>
      <c r="CC988" s="731"/>
      <c r="CD988" s="731"/>
      <c r="CE988" s="731"/>
      <c r="CF988" s="731"/>
    </row>
    <row r="989" spans="59:84" ht="15.75" customHeight="1">
      <c r="BG989" s="762"/>
      <c r="BW989" s="790"/>
      <c r="BX989" s="790"/>
      <c r="BY989" s="792"/>
      <c r="BZ989" s="731"/>
      <c r="CA989" s="731"/>
      <c r="CB989" s="731"/>
      <c r="CC989" s="731"/>
      <c r="CD989" s="731"/>
      <c r="CE989" s="731"/>
      <c r="CF989" s="731"/>
    </row>
    <row r="990" spans="59:84" ht="15.75" customHeight="1">
      <c r="BG990" s="762"/>
      <c r="BW990" s="790"/>
      <c r="BX990" s="790"/>
      <c r="BY990" s="792"/>
      <c r="BZ990" s="731"/>
      <c r="CA990" s="731"/>
      <c r="CB990" s="731"/>
      <c r="CC990" s="731"/>
      <c r="CD990" s="731"/>
      <c r="CE990" s="731"/>
      <c r="CF990" s="731"/>
    </row>
    <row r="991" spans="59:84" ht="15.75" customHeight="1">
      <c r="BW991" s="790"/>
      <c r="BX991" s="790"/>
      <c r="BY991" s="792"/>
      <c r="BZ991" s="731"/>
      <c r="CA991" s="731"/>
      <c r="CB991" s="731"/>
      <c r="CC991" s="731"/>
      <c r="CD991" s="731"/>
      <c r="CE991" s="731"/>
      <c r="CF991" s="731"/>
    </row>
    <row r="992" spans="59:84" ht="15.75" customHeight="1">
      <c r="BW992" s="790"/>
      <c r="BX992" s="790"/>
      <c r="BY992" s="792"/>
      <c r="BZ992" s="731"/>
      <c r="CA992" s="731"/>
      <c r="CB992" s="731"/>
      <c r="CC992" s="731"/>
      <c r="CD992" s="731"/>
      <c r="CE992" s="731"/>
      <c r="CF992" s="731"/>
    </row>
    <row r="993" spans="75:84" ht="15.75" customHeight="1">
      <c r="BW993" s="790"/>
      <c r="BX993" s="790"/>
      <c r="BY993" s="792"/>
      <c r="BZ993" s="731"/>
      <c r="CA993" s="731"/>
      <c r="CB993" s="731"/>
      <c r="CC993" s="731"/>
      <c r="CD993" s="731"/>
      <c r="CE993" s="731"/>
      <c r="CF993" s="731"/>
    </row>
    <row r="994" spans="75:84" ht="15.75" customHeight="1">
      <c r="BW994" s="790"/>
      <c r="BX994" s="790"/>
      <c r="BY994" s="792"/>
      <c r="BZ994" s="731"/>
      <c r="CA994" s="731"/>
      <c r="CB994" s="731"/>
      <c r="CC994" s="731"/>
      <c r="CD994" s="731"/>
      <c r="CE994" s="731"/>
      <c r="CF994" s="731"/>
    </row>
    <row r="995" spans="75:84" ht="15.75" customHeight="1">
      <c r="BW995" s="790"/>
      <c r="BX995" s="790"/>
      <c r="BY995" s="792"/>
      <c r="BZ995" s="731"/>
      <c r="CA995" s="731"/>
      <c r="CB995" s="731"/>
      <c r="CC995" s="731"/>
      <c r="CD995" s="731"/>
      <c r="CE995" s="731"/>
      <c r="CF995" s="731"/>
    </row>
    <row r="996" spans="75:84" ht="15.75" customHeight="1">
      <c r="BW996" s="790"/>
      <c r="BX996" s="790"/>
      <c r="BY996" s="792"/>
      <c r="BZ996" s="731"/>
      <c r="CA996" s="731"/>
      <c r="CB996" s="731"/>
      <c r="CC996" s="731"/>
      <c r="CD996" s="731"/>
      <c r="CE996" s="731"/>
      <c r="CF996" s="731"/>
    </row>
    <row r="997" spans="75:84" ht="15.75" customHeight="1">
      <c r="BW997" s="790"/>
      <c r="BX997" s="790"/>
      <c r="BY997" s="792"/>
      <c r="BZ997" s="731"/>
      <c r="CA997" s="731"/>
      <c r="CB997" s="731"/>
      <c r="CC997" s="731"/>
      <c r="CD997" s="731"/>
      <c r="CE997" s="731"/>
      <c r="CF997" s="731"/>
    </row>
    <row r="998" spans="75:84" ht="15.75" customHeight="1">
      <c r="BW998" s="790"/>
      <c r="BX998" s="790"/>
      <c r="BY998" s="792"/>
      <c r="BZ998" s="731"/>
      <c r="CA998" s="731"/>
      <c r="CB998" s="731"/>
      <c r="CC998" s="731"/>
      <c r="CD998" s="731"/>
      <c r="CE998" s="731"/>
      <c r="CF998" s="731"/>
    </row>
    <row r="999" spans="75:84" ht="15.75" customHeight="1">
      <c r="BW999" s="790"/>
      <c r="BX999" s="790"/>
      <c r="BY999" s="792"/>
      <c r="BZ999" s="731"/>
      <c r="CA999" s="731"/>
      <c r="CB999" s="731"/>
      <c r="CC999" s="731"/>
      <c r="CD999" s="731"/>
      <c r="CE999" s="731"/>
      <c r="CF999" s="731"/>
    </row>
    <row r="1000" spans="75:84" ht="15.75" customHeight="1">
      <c r="BW1000" s="790"/>
      <c r="BX1000" s="790"/>
      <c r="BY1000" s="792"/>
      <c r="BZ1000" s="731"/>
      <c r="CA1000" s="731"/>
      <c r="CB1000" s="731"/>
      <c r="CC1000" s="731"/>
      <c r="CD1000" s="731"/>
      <c r="CE1000" s="731"/>
      <c r="CF1000" s="731"/>
    </row>
    <row r="1001" spans="75:84" ht="15" customHeight="1">
      <c r="BW1001" s="790"/>
      <c r="BX1001" s="790"/>
      <c r="BY1001" s="792"/>
      <c r="BZ1001" s="731"/>
      <c r="CA1001" s="731"/>
      <c r="CB1001" s="731"/>
      <c r="CC1001" s="731"/>
      <c r="CD1001" s="731"/>
      <c r="CE1001" s="731"/>
      <c r="CF1001" s="731"/>
    </row>
  </sheetData>
  <mergeCells count="15">
    <mergeCell ref="AU2:AW2"/>
    <mergeCell ref="BB2:BD2"/>
    <mergeCell ref="BE2:BG2"/>
    <mergeCell ref="BJ2:BL2"/>
    <mergeCell ref="A33:A36"/>
    <mergeCell ref="W2:Y2"/>
    <mergeCell ref="Z2:AB2"/>
    <mergeCell ref="AG2:AI2"/>
    <mergeCell ref="AJ2:AL2"/>
    <mergeCell ref="AR2:AT2"/>
    <mergeCell ref="A1:K1"/>
    <mergeCell ref="C2:E2"/>
    <mergeCell ref="F2:H2"/>
    <mergeCell ref="M2:O2"/>
    <mergeCell ref="P2:R2"/>
  </mergeCells>
  <phoneticPr fontId="65" type="noConversion"/>
  <conditionalFormatting sqref="BF3:BG53">
    <cfRule type="cellIs" dxfId="26" priority="1" stopIfTrue="1" operator="equal">
      <formula>$B$69</formula>
    </cfRule>
  </conditionalFormatting>
  <pageMargins left="0.69930555555555596" right="0.69930555555555596" top="0.75" bottom="0.75" header="0" footer="0"/>
  <pageSetup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000"/>
  <sheetViews>
    <sheetView workbookViewId="0"/>
  </sheetViews>
  <sheetFormatPr defaultColWidth="11.09765625" defaultRowHeight="15" customHeight="1"/>
  <cols>
    <col min="1" max="1" width="20.09765625" customWidth="1"/>
    <col min="2" max="2" width="7.09765625" customWidth="1"/>
    <col min="3" max="3" width="11" customWidth="1"/>
    <col min="4" max="4" width="10" hidden="1" customWidth="1"/>
    <col min="5" max="5" width="8.59765625" hidden="1" customWidth="1"/>
    <col min="6" max="6" width="10.59765625" customWidth="1"/>
    <col min="7" max="7" width="10.09765625" customWidth="1"/>
    <col min="8" max="8" width="9.296875" customWidth="1"/>
    <col min="9" max="9" width="5.59765625" customWidth="1"/>
    <col min="10" max="12" width="9.59765625" customWidth="1"/>
    <col min="13" max="13" width="10.796875" customWidth="1"/>
    <col min="14" max="14" width="13.296875" customWidth="1"/>
    <col min="15" max="15" width="17.296875" customWidth="1"/>
    <col min="16" max="16" width="19.59765625" customWidth="1"/>
    <col min="17" max="17" width="6.09765625" customWidth="1"/>
    <col min="18" max="18" width="3.09765625" customWidth="1"/>
    <col min="19" max="19" width="9.59765625" customWidth="1"/>
    <col min="20" max="20" width="8.59765625" customWidth="1"/>
    <col min="21" max="22" width="3.59765625" customWidth="1"/>
    <col min="23" max="23" width="6.59765625" customWidth="1"/>
    <col min="24" max="24" width="4.59765625" customWidth="1"/>
    <col min="25" max="25" width="5.09765625" customWidth="1"/>
    <col min="26" max="26" width="6.09765625" customWidth="1"/>
    <col min="27" max="27" width="7.59765625" customWidth="1"/>
    <col min="28" max="29" width="6.796875" customWidth="1"/>
    <col min="30" max="30" width="10.09765625" customWidth="1"/>
    <col min="31" max="31" width="6.09765625" customWidth="1"/>
    <col min="32" max="32" width="5" customWidth="1"/>
    <col min="33" max="33" width="4.59765625" customWidth="1"/>
    <col min="34" max="34" width="4.296875" customWidth="1"/>
    <col min="35" max="36" width="6.796875" customWidth="1"/>
    <col min="37" max="37" width="14.09765625" customWidth="1"/>
    <col min="38" max="39" width="6.796875" customWidth="1"/>
  </cols>
  <sheetData>
    <row r="1" spans="1:39" ht="51" customHeight="1">
      <c r="A1" s="21"/>
      <c r="B1" s="645" t="s">
        <v>387</v>
      </c>
      <c r="C1" s="1"/>
      <c r="D1" s="1"/>
      <c r="E1" s="21"/>
      <c r="F1" s="21"/>
      <c r="G1" s="21"/>
      <c r="H1" s="21"/>
      <c r="I1" s="570"/>
      <c r="J1" s="665"/>
      <c r="K1" s="957" t="s">
        <v>388</v>
      </c>
      <c r="L1" s="954"/>
      <c r="M1" s="955"/>
      <c r="N1" s="666"/>
      <c r="O1" s="958" t="str">
        <f>B1</f>
        <v>VERSION  10.12.2024</v>
      </c>
      <c r="P1" s="955"/>
      <c r="Q1" s="689" t="e">
        <f>'[1]S6 FINAL EXAM'!#REF!</f>
        <v>#REF!</v>
      </c>
      <c r="R1" s="21"/>
      <c r="S1" s="21"/>
      <c r="T1" s="21"/>
      <c r="U1" s="21"/>
      <c r="V1" s="21"/>
      <c r="W1" s="1"/>
      <c r="X1" s="1"/>
      <c r="Y1" s="1"/>
      <c r="Z1" s="1"/>
      <c r="AA1" s="21">
        <v>1</v>
      </c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39" ht="54.75" customHeight="1">
      <c r="A2" s="5" t="s">
        <v>58</v>
      </c>
      <c r="B2" s="646" t="s">
        <v>59</v>
      </c>
      <c r="C2" s="647" t="s">
        <v>389</v>
      </c>
      <c r="D2" s="648"/>
      <c r="E2" s="649"/>
      <c r="F2" s="650" t="s">
        <v>390</v>
      </c>
      <c r="G2" s="649" t="s">
        <v>62</v>
      </c>
      <c r="H2" s="651" t="s">
        <v>48</v>
      </c>
      <c r="I2" s="667"/>
      <c r="J2" s="910" t="s">
        <v>63</v>
      </c>
      <c r="K2" s="668" t="s">
        <v>64</v>
      </c>
      <c r="L2" s="669" t="s">
        <v>245</v>
      </c>
      <c r="M2" s="670" t="s">
        <v>66</v>
      </c>
      <c r="N2" s="670" t="s">
        <v>391</v>
      </c>
      <c r="O2" s="671" t="s">
        <v>67</v>
      </c>
      <c r="P2" s="253" t="s">
        <v>68</v>
      </c>
      <c r="Q2" s="690" t="s">
        <v>59</v>
      </c>
      <c r="R2" s="103"/>
      <c r="S2" s="593" t="s">
        <v>69</v>
      </c>
      <c r="T2" s="593" t="s">
        <v>70</v>
      </c>
      <c r="U2" s="228" t="s">
        <v>71</v>
      </c>
      <c r="V2" s="228" t="s">
        <v>72</v>
      </c>
      <c r="W2" s="593" t="s">
        <v>73</v>
      </c>
      <c r="X2" s="228" t="s">
        <v>74</v>
      </c>
      <c r="Y2" s="228" t="s">
        <v>75</v>
      </c>
      <c r="Z2" s="487"/>
      <c r="AA2" s="609"/>
      <c r="AB2" s="21"/>
      <c r="AC2" s="21"/>
      <c r="AD2" s="103"/>
      <c r="AE2" s="103"/>
      <c r="AF2" s="103"/>
      <c r="AG2" s="103"/>
      <c r="AH2" s="21"/>
      <c r="AI2" s="21"/>
      <c r="AJ2" s="21"/>
      <c r="AK2" s="21"/>
      <c r="AL2" s="21"/>
      <c r="AM2" s="21"/>
    </row>
    <row r="3" spans="1:39" ht="15.75" customHeight="1">
      <c r="A3" s="5" t="s">
        <v>76</v>
      </c>
      <c r="B3" s="406">
        <v>3</v>
      </c>
      <c r="C3" s="652"/>
      <c r="D3" s="653"/>
      <c r="E3" s="654"/>
      <c r="F3" s="655"/>
      <c r="G3" s="205"/>
      <c r="H3" s="205"/>
      <c r="I3" s="205"/>
      <c r="J3" s="181">
        <f>AA3</f>
        <v>0</v>
      </c>
      <c r="K3" s="672"/>
      <c r="L3" s="673"/>
      <c r="M3" s="674"/>
      <c r="N3" s="674"/>
      <c r="O3" s="675"/>
      <c r="P3" s="241" t="str">
        <f t="shared" ref="P3:P45" si="0">A3</f>
        <v>LYY</v>
      </c>
      <c r="Q3" s="690">
        <f t="shared" ref="Q3:Q45" si="1">B3</f>
        <v>3</v>
      </c>
      <c r="R3" s="103"/>
      <c r="S3" s="595">
        <v>3</v>
      </c>
      <c r="T3" s="691"/>
      <c r="U3" s="692"/>
      <c r="V3" s="692"/>
      <c r="W3" s="693"/>
      <c r="X3" s="203"/>
      <c r="Y3" s="103"/>
      <c r="Z3" s="694">
        <f t="shared" ref="Z3:Z20" si="2">SUM(T3:Y3)</f>
        <v>0</v>
      </c>
      <c r="AA3" s="695">
        <f t="shared" ref="AA3:AA20" si="3">T3+SUM(U3:Y3)*AA$1</f>
        <v>0</v>
      </c>
      <c r="AB3" s="21"/>
      <c r="AC3" s="21"/>
      <c r="AD3" s="103"/>
      <c r="AE3" s="103"/>
      <c r="AF3" s="103"/>
      <c r="AG3" s="103"/>
      <c r="AH3" s="591"/>
      <c r="AI3" s="21"/>
      <c r="AJ3" s="21"/>
      <c r="AK3" s="21"/>
      <c r="AL3" s="21"/>
      <c r="AM3" s="21"/>
    </row>
    <row r="4" spans="1:39" ht="15.75" customHeight="1">
      <c r="A4" s="13" t="s">
        <v>77</v>
      </c>
      <c r="B4" s="220">
        <v>4</v>
      </c>
      <c r="C4" s="656"/>
      <c r="D4" s="234"/>
      <c r="E4" s="657"/>
      <c r="F4" s="655"/>
      <c r="G4" s="203"/>
      <c r="H4" s="203"/>
      <c r="I4" s="103"/>
      <c r="J4" s="513"/>
      <c r="K4" s="676"/>
      <c r="L4" s="677"/>
      <c r="M4" s="678"/>
      <c r="N4" s="678"/>
      <c r="O4" s="679"/>
      <c r="P4" s="245" t="str">
        <f t="shared" si="0"/>
        <v>LMT</v>
      </c>
      <c r="Q4" s="690">
        <f t="shared" si="1"/>
        <v>4</v>
      </c>
      <c r="R4" s="103"/>
      <c r="S4" s="595">
        <v>22</v>
      </c>
      <c r="T4" s="691"/>
      <c r="U4" s="692"/>
      <c r="V4" s="692"/>
      <c r="W4" s="693"/>
      <c r="X4" s="203"/>
      <c r="Y4" s="103"/>
      <c r="Z4" s="694">
        <f t="shared" si="2"/>
        <v>0</v>
      </c>
      <c r="AA4" s="695">
        <f t="shared" si="3"/>
        <v>0</v>
      </c>
      <c r="AB4" s="21"/>
      <c r="AC4" s="21"/>
      <c r="AD4" s="103"/>
      <c r="AE4" s="103"/>
      <c r="AF4" s="103"/>
      <c r="AG4" s="103"/>
      <c r="AH4" s="591"/>
      <c r="AI4" s="21"/>
      <c r="AJ4" s="21"/>
      <c r="AK4" s="21"/>
      <c r="AL4" s="21"/>
      <c r="AM4" s="21"/>
    </row>
    <row r="5" spans="1:39" ht="15.75" customHeight="1">
      <c r="A5" s="13" t="s">
        <v>78</v>
      </c>
      <c r="B5" s="220">
        <v>5</v>
      </c>
      <c r="C5" s="656"/>
      <c r="D5" s="234"/>
      <c r="E5" s="657"/>
      <c r="F5" s="655"/>
      <c r="G5" s="203"/>
      <c r="H5" s="203"/>
      <c r="I5" s="103"/>
      <c r="J5" s="513"/>
      <c r="K5" s="676"/>
      <c r="L5" s="677"/>
      <c r="M5" s="678"/>
      <c r="N5" s="678"/>
      <c r="O5" s="679"/>
      <c r="P5" s="245" t="str">
        <f t="shared" si="0"/>
        <v>LWH</v>
      </c>
      <c r="Q5" s="690">
        <f t="shared" si="1"/>
        <v>5</v>
      </c>
      <c r="R5" s="103"/>
      <c r="S5" s="595">
        <v>39</v>
      </c>
      <c r="T5" s="691"/>
      <c r="U5" s="692"/>
      <c r="V5" s="692"/>
      <c r="W5" s="693"/>
      <c r="X5" s="203"/>
      <c r="Y5" s="103"/>
      <c r="Z5" s="694">
        <f t="shared" si="2"/>
        <v>0</v>
      </c>
      <c r="AA5" s="695">
        <f t="shared" si="3"/>
        <v>0</v>
      </c>
      <c r="AB5" s="21"/>
      <c r="AC5" s="612"/>
      <c r="AD5" s="103"/>
      <c r="AE5" s="103"/>
      <c r="AF5" s="103"/>
      <c r="AG5" s="103"/>
      <c r="AH5" s="591"/>
      <c r="AI5" s="21"/>
      <c r="AJ5" s="21"/>
      <c r="AK5" s="21"/>
      <c r="AL5" s="21"/>
      <c r="AM5" s="21"/>
    </row>
    <row r="6" spans="1:39" ht="15.75" customHeight="1">
      <c r="A6" s="10" t="s">
        <v>79</v>
      </c>
      <c r="B6" s="220">
        <v>20</v>
      </c>
      <c r="C6" s="656"/>
      <c r="D6" s="234"/>
      <c r="E6" s="657"/>
      <c r="F6" s="655"/>
      <c r="G6" s="203"/>
      <c r="H6" s="203"/>
      <c r="I6" s="103"/>
      <c r="J6" s="513"/>
      <c r="K6" s="676"/>
      <c r="L6" s="677"/>
      <c r="M6" s="678"/>
      <c r="N6" s="678"/>
      <c r="O6" s="679"/>
      <c r="P6" s="245" t="str">
        <f t="shared" si="0"/>
        <v>LWT</v>
      </c>
      <c r="Q6" s="690">
        <f t="shared" si="1"/>
        <v>20</v>
      </c>
      <c r="R6" s="103"/>
      <c r="S6" s="595">
        <v>67</v>
      </c>
      <c r="T6" s="691"/>
      <c r="U6" s="692"/>
      <c r="V6" s="692"/>
      <c r="W6" s="693"/>
      <c r="X6" s="203"/>
      <c r="Y6" s="103"/>
      <c r="Z6" s="694">
        <f t="shared" si="2"/>
        <v>0</v>
      </c>
      <c r="AA6" s="695">
        <f t="shared" si="3"/>
        <v>0</v>
      </c>
      <c r="AB6" s="21"/>
      <c r="AC6" s="612"/>
      <c r="AD6" s="103"/>
      <c r="AE6" s="103"/>
      <c r="AF6" s="103" t="s">
        <v>80</v>
      </c>
      <c r="AG6" s="103"/>
      <c r="AH6" s="591"/>
      <c r="AI6" s="21"/>
      <c r="AJ6" s="21"/>
      <c r="AK6" s="21"/>
      <c r="AL6" s="21"/>
      <c r="AM6" s="21"/>
    </row>
    <row r="7" spans="1:39" ht="15.75" customHeight="1">
      <c r="A7" s="13" t="s">
        <v>81</v>
      </c>
      <c r="B7" s="220">
        <v>22</v>
      </c>
      <c r="C7" s="656"/>
      <c r="D7" s="234"/>
      <c r="E7" s="657"/>
      <c r="F7" s="655"/>
      <c r="G7" s="203"/>
      <c r="H7" s="203"/>
      <c r="I7" s="103"/>
      <c r="J7" s="188">
        <f>AA4</f>
        <v>0</v>
      </c>
      <c r="K7" s="676"/>
      <c r="L7" s="677"/>
      <c r="M7" s="678"/>
      <c r="N7" s="678"/>
      <c r="O7" s="679"/>
      <c r="P7" s="245" t="str">
        <f t="shared" si="0"/>
        <v>WWY</v>
      </c>
      <c r="Q7" s="690">
        <f t="shared" si="1"/>
        <v>22</v>
      </c>
      <c r="R7" s="103"/>
      <c r="S7" s="595">
        <v>76</v>
      </c>
      <c r="T7" s="691"/>
      <c r="U7" s="692"/>
      <c r="V7" s="692"/>
      <c r="W7" s="693"/>
      <c r="X7" s="203"/>
      <c r="Y7" s="103"/>
      <c r="Z7" s="694">
        <f t="shared" si="2"/>
        <v>0</v>
      </c>
      <c r="AA7" s="695">
        <f t="shared" si="3"/>
        <v>0</v>
      </c>
      <c r="AB7" s="21"/>
      <c r="AC7" s="612"/>
      <c r="AD7" s="103"/>
      <c r="AE7" s="103"/>
      <c r="AF7" s="103"/>
      <c r="AG7" s="103"/>
      <c r="AH7" s="591"/>
      <c r="AI7" s="21"/>
      <c r="AJ7" s="21"/>
      <c r="AK7" s="21"/>
      <c r="AL7" s="21"/>
      <c r="AM7" s="21"/>
    </row>
    <row r="8" spans="1:39" ht="15.75" customHeight="1">
      <c r="A8" s="13" t="s">
        <v>82</v>
      </c>
      <c r="B8" s="220">
        <v>25</v>
      </c>
      <c r="C8" s="656"/>
      <c r="D8" s="234"/>
      <c r="E8" s="657"/>
      <c r="F8" s="655"/>
      <c r="G8" s="203"/>
      <c r="H8" s="203"/>
      <c r="I8" s="103"/>
      <c r="J8" s="513"/>
      <c r="K8" s="676"/>
      <c r="L8" s="677"/>
      <c r="M8" s="678"/>
      <c r="N8" s="678"/>
      <c r="O8" s="679"/>
      <c r="P8" s="245" t="str">
        <f t="shared" si="0"/>
        <v>LCS</v>
      </c>
      <c r="Q8" s="690">
        <f t="shared" si="1"/>
        <v>25</v>
      </c>
      <c r="R8" s="103"/>
      <c r="S8" s="595">
        <v>85</v>
      </c>
      <c r="T8" s="691"/>
      <c r="U8" s="692"/>
      <c r="V8" s="692"/>
      <c r="W8" s="693"/>
      <c r="X8" s="203"/>
      <c r="Y8" s="103"/>
      <c r="Z8" s="694">
        <f t="shared" si="2"/>
        <v>0</v>
      </c>
      <c r="AA8" s="695">
        <f t="shared" si="3"/>
        <v>0</v>
      </c>
      <c r="AB8" s="21"/>
      <c r="AC8" s="612"/>
      <c r="AD8" s="103"/>
      <c r="AE8" s="103"/>
      <c r="AF8" s="103"/>
      <c r="AG8" s="103"/>
      <c r="AH8" s="591"/>
      <c r="AI8" s="21"/>
      <c r="AJ8" s="21"/>
      <c r="AK8" s="21"/>
      <c r="AL8" s="21"/>
      <c r="AM8" s="21"/>
    </row>
    <row r="9" spans="1:39" ht="15.75" customHeight="1">
      <c r="A9" s="13" t="s">
        <v>83</v>
      </c>
      <c r="B9" s="220">
        <v>32</v>
      </c>
      <c r="C9" s="656"/>
      <c r="D9" s="234"/>
      <c r="E9" s="657"/>
      <c r="F9" s="655"/>
      <c r="G9" s="203"/>
      <c r="H9" s="203"/>
      <c r="I9" s="103"/>
      <c r="J9" s="513"/>
      <c r="K9" s="676"/>
      <c r="L9" s="677"/>
      <c r="M9" s="678"/>
      <c r="N9" s="678"/>
      <c r="O9" s="679"/>
      <c r="P9" s="245" t="str">
        <f t="shared" si="0"/>
        <v>LPK</v>
      </c>
      <c r="Q9" s="690">
        <f t="shared" si="1"/>
        <v>32</v>
      </c>
      <c r="R9" s="103"/>
      <c r="S9" s="595">
        <v>128</v>
      </c>
      <c r="T9" s="691"/>
      <c r="U9" s="692"/>
      <c r="V9" s="692"/>
      <c r="W9" s="693"/>
      <c r="X9" s="203"/>
      <c r="Y9" s="103"/>
      <c r="Z9" s="694">
        <f t="shared" si="2"/>
        <v>0</v>
      </c>
      <c r="AA9" s="695">
        <f t="shared" si="3"/>
        <v>0</v>
      </c>
      <c r="AB9" s="21"/>
      <c r="AC9" s="612"/>
      <c r="AD9" s="103"/>
      <c r="AE9" s="103"/>
      <c r="AF9" s="103"/>
      <c r="AG9" s="103"/>
      <c r="AH9" s="591"/>
      <c r="AI9" s="21"/>
      <c r="AJ9" s="21"/>
      <c r="AK9" s="21"/>
      <c r="AL9" s="21"/>
      <c r="AM9" s="21"/>
    </row>
    <row r="10" spans="1:39" ht="15.75" customHeight="1">
      <c r="A10" s="8" t="s">
        <v>84</v>
      </c>
      <c r="B10" s="222">
        <v>37</v>
      </c>
      <c r="C10" s="658"/>
      <c r="D10" s="659"/>
      <c r="E10" s="660"/>
      <c r="F10" s="655"/>
      <c r="G10" s="201"/>
      <c r="H10" s="201"/>
      <c r="I10" s="581"/>
      <c r="J10" s="514"/>
      <c r="K10" s="680"/>
      <c r="L10" s="681"/>
      <c r="M10" s="682"/>
      <c r="N10" s="682"/>
      <c r="O10" s="504"/>
      <c r="P10" s="245" t="str">
        <f t="shared" si="0"/>
        <v>WLP</v>
      </c>
      <c r="Q10" s="690">
        <f t="shared" si="1"/>
        <v>37</v>
      </c>
      <c r="R10" s="103"/>
      <c r="S10" s="595">
        <v>135</v>
      </c>
      <c r="T10" s="691"/>
      <c r="U10" s="692"/>
      <c r="V10" s="692"/>
      <c r="W10" s="693"/>
      <c r="X10" s="203"/>
      <c r="Y10" s="103"/>
      <c r="Z10" s="694">
        <f t="shared" si="2"/>
        <v>0</v>
      </c>
      <c r="AA10" s="695">
        <f t="shared" si="3"/>
        <v>0</v>
      </c>
      <c r="AB10" s="21"/>
      <c r="AC10" s="612"/>
      <c r="AD10" s="103"/>
      <c r="AE10" s="103"/>
      <c r="AF10" s="103"/>
      <c r="AG10" s="103"/>
      <c r="AH10" s="591"/>
      <c r="AI10" s="21"/>
      <c r="AJ10" s="21"/>
      <c r="AK10" s="21"/>
      <c r="AL10" s="21"/>
      <c r="AM10" s="21"/>
    </row>
    <row r="11" spans="1:39" ht="23.25" customHeight="1">
      <c r="A11" s="12" t="s">
        <v>85</v>
      </c>
      <c r="B11" s="406">
        <v>39</v>
      </c>
      <c r="C11" s="652"/>
      <c r="D11" s="234"/>
      <c r="E11" s="657"/>
      <c r="F11" s="655"/>
      <c r="G11" s="203"/>
      <c r="H11" s="203"/>
      <c r="I11" s="103"/>
      <c r="J11" s="203">
        <f>AA5</f>
        <v>0</v>
      </c>
      <c r="K11" s="672"/>
      <c r="L11" s="673"/>
      <c r="M11" s="674"/>
      <c r="N11" s="674"/>
      <c r="O11" s="675"/>
      <c r="P11" s="241" t="str">
        <f t="shared" si="0"/>
        <v>CML</v>
      </c>
      <c r="Q11" s="690">
        <f t="shared" si="1"/>
        <v>39</v>
      </c>
      <c r="R11" s="103"/>
      <c r="S11" s="595"/>
      <c r="T11" s="691"/>
      <c r="U11" s="692"/>
      <c r="V11" s="692"/>
      <c r="W11" s="693"/>
      <c r="X11" s="203"/>
      <c r="Y11" s="103"/>
      <c r="Z11" s="694">
        <f t="shared" si="2"/>
        <v>0</v>
      </c>
      <c r="AA11" s="695">
        <f t="shared" si="3"/>
        <v>0</v>
      </c>
      <c r="AB11" s="21"/>
      <c r="AC11" s="612"/>
      <c r="AD11" s="103"/>
      <c r="AE11" s="103"/>
      <c r="AF11" s="103"/>
      <c r="AG11" s="103"/>
      <c r="AH11" s="591"/>
      <c r="AI11" s="21"/>
      <c r="AJ11" s="21"/>
      <c r="AK11" s="225"/>
      <c r="AL11" s="592"/>
      <c r="AM11" s="21"/>
    </row>
    <row r="12" spans="1:39" ht="15.75" customHeight="1">
      <c r="A12" s="1" t="s">
        <v>86</v>
      </c>
      <c r="B12" s="220">
        <v>49</v>
      </c>
      <c r="C12" s="656"/>
      <c r="D12" s="234"/>
      <c r="E12" s="657"/>
      <c r="F12" s="655"/>
      <c r="G12" s="203"/>
      <c r="H12" s="203"/>
      <c r="I12" s="103"/>
      <c r="J12" s="103"/>
      <c r="K12" s="676"/>
      <c r="L12" s="677"/>
      <c r="M12" s="678"/>
      <c r="N12" s="678"/>
      <c r="O12" s="679"/>
      <c r="P12" s="245" t="str">
        <f t="shared" si="0"/>
        <v>TCH</v>
      </c>
      <c r="Q12" s="690">
        <f t="shared" si="1"/>
        <v>49</v>
      </c>
      <c r="R12" s="103"/>
      <c r="S12" s="595">
        <v>190</v>
      </c>
      <c r="T12" s="691"/>
      <c r="U12" s="692"/>
      <c r="V12" s="692"/>
      <c r="W12" s="693"/>
      <c r="X12" s="203"/>
      <c r="Y12" s="103"/>
      <c r="Z12" s="694">
        <f t="shared" si="2"/>
        <v>0</v>
      </c>
      <c r="AA12" s="695">
        <f t="shared" si="3"/>
        <v>0</v>
      </c>
      <c r="AB12" s="21"/>
      <c r="AC12" s="612"/>
      <c r="AD12" s="103"/>
      <c r="AE12" s="103"/>
      <c r="AF12" s="103"/>
      <c r="AG12" s="103"/>
      <c r="AH12" s="591"/>
      <c r="AI12" s="21"/>
      <c r="AJ12" s="21"/>
      <c r="AK12" s="225"/>
      <c r="AL12" s="592"/>
      <c r="AM12" s="21"/>
    </row>
    <row r="13" spans="1:39" ht="15.75" customHeight="1">
      <c r="A13" s="1" t="s">
        <v>87</v>
      </c>
      <c r="B13" s="220">
        <v>67</v>
      </c>
      <c r="C13" s="656"/>
      <c r="D13" s="234"/>
      <c r="E13" s="657"/>
      <c r="F13" s="655"/>
      <c r="G13" s="203"/>
      <c r="H13" s="203"/>
      <c r="I13" s="103"/>
      <c r="J13" s="203">
        <f>AA6</f>
        <v>0</v>
      </c>
      <c r="K13" s="676"/>
      <c r="L13" s="677"/>
      <c r="M13" s="678"/>
      <c r="N13" s="678"/>
      <c r="O13" s="679"/>
      <c r="P13" s="245" t="str">
        <f t="shared" si="0"/>
        <v>LTN</v>
      </c>
      <c r="Q13" s="690">
        <f t="shared" si="1"/>
        <v>67</v>
      </c>
      <c r="R13" s="103"/>
      <c r="S13" s="595">
        <v>214</v>
      </c>
      <c r="T13" s="691"/>
      <c r="U13" s="692"/>
      <c r="V13" s="692"/>
      <c r="W13" s="693"/>
      <c r="X13" s="203"/>
      <c r="Y13" s="103"/>
      <c r="Z13" s="694">
        <f t="shared" si="2"/>
        <v>0</v>
      </c>
      <c r="AA13" s="695">
        <f t="shared" si="3"/>
        <v>0</v>
      </c>
      <c r="AB13" s="21"/>
      <c r="AC13" s="612"/>
      <c r="AD13" s="103"/>
      <c r="AE13" s="103"/>
      <c r="AF13" s="103"/>
      <c r="AG13" s="103"/>
      <c r="AH13" s="591"/>
      <c r="AI13" s="21"/>
      <c r="AJ13" s="21"/>
      <c r="AK13" s="225"/>
      <c r="AL13" s="592"/>
      <c r="AM13" s="21"/>
    </row>
    <row r="14" spans="1:39" ht="15.75" customHeight="1">
      <c r="A14" s="1" t="s">
        <v>88</v>
      </c>
      <c r="B14" s="220">
        <v>72</v>
      </c>
      <c r="C14" s="656"/>
      <c r="D14" s="234"/>
      <c r="E14" s="657"/>
      <c r="F14" s="655"/>
      <c r="G14" s="203"/>
      <c r="H14" s="203"/>
      <c r="I14" s="103"/>
      <c r="J14" s="103"/>
      <c r="K14" s="676"/>
      <c r="L14" s="677"/>
      <c r="M14" s="678"/>
      <c r="N14" s="678"/>
      <c r="O14" s="679"/>
      <c r="P14" s="245" t="str">
        <f t="shared" si="0"/>
        <v>LPC</v>
      </c>
      <c r="Q14" s="690">
        <f t="shared" si="1"/>
        <v>72</v>
      </c>
      <c r="R14" s="103"/>
      <c r="S14" s="595">
        <v>222</v>
      </c>
      <c r="T14" s="691"/>
      <c r="U14" s="692"/>
      <c r="V14" s="692"/>
      <c r="W14" s="693"/>
      <c r="X14" s="203"/>
      <c r="Y14" s="103"/>
      <c r="Z14" s="694">
        <f t="shared" si="2"/>
        <v>0</v>
      </c>
      <c r="AA14" s="695">
        <f t="shared" si="3"/>
        <v>0</v>
      </c>
      <c r="AB14" s="21"/>
      <c r="AC14" s="612"/>
      <c r="AD14" s="103"/>
      <c r="AE14" s="103"/>
      <c r="AF14" s="103"/>
      <c r="AG14" s="103"/>
      <c r="AH14" s="591"/>
      <c r="AI14" s="21"/>
      <c r="AJ14" s="21"/>
      <c r="AK14" s="225"/>
      <c r="AL14" s="592"/>
      <c r="AM14" s="21"/>
    </row>
    <row r="15" spans="1:39" ht="15.75" customHeight="1">
      <c r="A15" s="12" t="s">
        <v>89</v>
      </c>
      <c r="B15" s="220">
        <v>73</v>
      </c>
      <c r="C15" s="656"/>
      <c r="D15" s="234"/>
      <c r="E15" s="657"/>
      <c r="F15" s="655"/>
      <c r="G15" s="203"/>
      <c r="H15" s="203"/>
      <c r="I15" s="103"/>
      <c r="J15" s="103"/>
      <c r="K15" s="676"/>
      <c r="L15" s="677"/>
      <c r="M15" s="678"/>
      <c r="N15" s="678"/>
      <c r="O15" s="679"/>
      <c r="P15" s="245" t="str">
        <f t="shared" si="0"/>
        <v>LHK</v>
      </c>
      <c r="Q15" s="690">
        <f t="shared" si="1"/>
        <v>73</v>
      </c>
      <c r="R15" s="103"/>
      <c r="S15" s="595"/>
      <c r="T15" s="595"/>
      <c r="U15" s="203"/>
      <c r="V15" s="203"/>
      <c r="W15" s="693"/>
      <c r="X15" s="203"/>
      <c r="Y15" s="103"/>
      <c r="Z15" s="694">
        <f t="shared" si="2"/>
        <v>0</v>
      </c>
      <c r="AA15" s="695">
        <f t="shared" si="3"/>
        <v>0</v>
      </c>
      <c r="AB15" s="21"/>
      <c r="AC15" s="612"/>
      <c r="AD15" s="103"/>
      <c r="AE15" s="103"/>
      <c r="AF15" s="103"/>
      <c r="AG15" s="103"/>
      <c r="AH15" s="591"/>
      <c r="AI15" s="21"/>
      <c r="AJ15" s="21"/>
      <c r="AK15" s="225"/>
      <c r="AL15" s="592"/>
      <c r="AM15" s="21"/>
    </row>
    <row r="16" spans="1:39" ht="15.75" customHeight="1">
      <c r="A16" s="12" t="s">
        <v>81</v>
      </c>
      <c r="B16" s="220">
        <v>76</v>
      </c>
      <c r="C16" s="656"/>
      <c r="D16" s="234"/>
      <c r="E16" s="657"/>
      <c r="F16" s="655"/>
      <c r="G16" s="203"/>
      <c r="H16" s="203"/>
      <c r="I16" s="103"/>
      <c r="J16" s="203">
        <f>AA7</f>
        <v>0</v>
      </c>
      <c r="K16" s="676"/>
      <c r="L16" s="677"/>
      <c r="M16" s="678"/>
      <c r="N16" s="678"/>
      <c r="O16" s="679"/>
      <c r="P16" s="245" t="str">
        <f t="shared" si="0"/>
        <v>WWY</v>
      </c>
      <c r="Q16" s="690">
        <f t="shared" si="1"/>
        <v>76</v>
      </c>
      <c r="R16" s="103"/>
      <c r="S16" s="595"/>
      <c r="T16" s="595"/>
      <c r="U16" s="103"/>
      <c r="V16" s="103"/>
      <c r="W16" s="595"/>
      <c r="X16" s="103"/>
      <c r="Y16" s="103"/>
      <c r="Z16" s="696">
        <f t="shared" si="2"/>
        <v>0</v>
      </c>
      <c r="AA16" s="610">
        <f t="shared" si="3"/>
        <v>0</v>
      </c>
      <c r="AB16" s="21"/>
      <c r="AC16" s="612"/>
      <c r="AD16" s="103"/>
      <c r="AE16" s="103"/>
      <c r="AF16" s="103"/>
      <c r="AG16" s="103"/>
      <c r="AH16" s="591"/>
      <c r="AI16" s="21"/>
      <c r="AJ16" s="21"/>
      <c r="AK16" s="225"/>
      <c r="AL16" s="592"/>
      <c r="AM16" s="21"/>
    </row>
    <row r="17" spans="1:39" ht="15.75" customHeight="1">
      <c r="A17" s="12" t="s">
        <v>91</v>
      </c>
      <c r="B17" s="220">
        <v>78</v>
      </c>
      <c r="C17" s="656"/>
      <c r="D17" s="234"/>
      <c r="E17" s="657"/>
      <c r="F17" s="655"/>
      <c r="G17" s="203"/>
      <c r="H17" s="203"/>
      <c r="I17" s="103"/>
      <c r="J17" s="103"/>
      <c r="K17" s="676"/>
      <c r="L17" s="677"/>
      <c r="M17" s="678"/>
      <c r="N17" s="678"/>
      <c r="O17" s="679"/>
      <c r="P17" s="245" t="str">
        <f t="shared" si="0"/>
        <v>LKC</v>
      </c>
      <c r="Q17" s="690">
        <f t="shared" si="1"/>
        <v>78</v>
      </c>
      <c r="R17" s="103"/>
      <c r="S17" s="595"/>
      <c r="T17" s="595"/>
      <c r="U17" s="103"/>
      <c r="V17" s="103"/>
      <c r="W17" s="595"/>
      <c r="X17" s="103"/>
      <c r="Y17" s="103"/>
      <c r="Z17" s="696">
        <f t="shared" si="2"/>
        <v>0</v>
      </c>
      <c r="AA17" s="610">
        <f t="shared" si="3"/>
        <v>0</v>
      </c>
      <c r="AB17" s="21"/>
      <c r="AC17" s="612"/>
      <c r="AD17" s="103"/>
      <c r="AE17" s="103"/>
      <c r="AF17" s="103"/>
      <c r="AG17" s="103"/>
      <c r="AH17" s="591"/>
      <c r="AI17" s="21"/>
      <c r="AJ17" s="21"/>
      <c r="AK17" s="225"/>
      <c r="AL17" s="592"/>
      <c r="AM17" s="21"/>
    </row>
    <row r="18" spans="1:39" ht="15.75" customHeight="1">
      <c r="A18" s="12" t="s">
        <v>92</v>
      </c>
      <c r="B18" s="222">
        <v>84</v>
      </c>
      <c r="C18" s="658"/>
      <c r="D18" s="234"/>
      <c r="E18" s="657"/>
      <c r="F18" s="655"/>
      <c r="G18" s="203"/>
      <c r="H18" s="203"/>
      <c r="I18" s="103"/>
      <c r="J18" s="103"/>
      <c r="K18" s="676"/>
      <c r="L18" s="677"/>
      <c r="M18" s="678"/>
      <c r="N18" s="678"/>
      <c r="O18" s="679"/>
      <c r="P18" s="245" t="str">
        <f t="shared" si="0"/>
        <v>KKW</v>
      </c>
      <c r="Q18" s="690">
        <f t="shared" si="1"/>
        <v>84</v>
      </c>
      <c r="R18" s="103"/>
      <c r="S18" s="595"/>
      <c r="T18" s="595"/>
      <c r="U18" s="103"/>
      <c r="V18" s="103"/>
      <c r="W18" s="595"/>
      <c r="X18" s="103"/>
      <c r="Y18" s="103"/>
      <c r="Z18" s="696">
        <f t="shared" si="2"/>
        <v>0</v>
      </c>
      <c r="AA18" s="610">
        <f t="shared" si="3"/>
        <v>0</v>
      </c>
      <c r="AB18" s="21"/>
      <c r="AC18" s="612"/>
      <c r="AD18" s="103"/>
      <c r="AE18" s="103"/>
      <c r="AF18" s="103"/>
      <c r="AG18" s="103"/>
      <c r="AH18" s="591"/>
      <c r="AI18" s="21"/>
      <c r="AJ18" s="21"/>
      <c r="AK18" s="225"/>
      <c r="AL18" s="592"/>
      <c r="AM18" s="21"/>
    </row>
    <row r="19" spans="1:39" ht="15.75" customHeight="1">
      <c r="A19" s="5" t="s">
        <v>93</v>
      </c>
      <c r="B19" s="220">
        <v>85</v>
      </c>
      <c r="C19" s="656"/>
      <c r="D19" s="653"/>
      <c r="E19" s="654"/>
      <c r="F19" s="655"/>
      <c r="G19" s="205"/>
      <c r="H19" s="205"/>
      <c r="I19" s="574"/>
      <c r="J19" s="512"/>
      <c r="K19" s="672"/>
      <c r="L19" s="673"/>
      <c r="M19" s="674"/>
      <c r="N19" s="674"/>
      <c r="O19" s="675"/>
      <c r="P19" s="241" t="str">
        <f t="shared" si="0"/>
        <v>AT</v>
      </c>
      <c r="Q19" s="690">
        <f t="shared" si="1"/>
        <v>85</v>
      </c>
      <c r="R19" s="103"/>
      <c r="S19" s="595"/>
      <c r="T19" s="595"/>
      <c r="U19" s="103"/>
      <c r="V19" s="103"/>
      <c r="W19" s="595"/>
      <c r="X19" s="103"/>
      <c r="Y19" s="103"/>
      <c r="Z19" s="696">
        <f t="shared" si="2"/>
        <v>0</v>
      </c>
      <c r="AA19" s="610">
        <f t="shared" si="3"/>
        <v>0</v>
      </c>
      <c r="AB19" s="21"/>
      <c r="AC19" s="612"/>
      <c r="AD19" s="103"/>
      <c r="AE19" s="103"/>
      <c r="AF19" s="103"/>
      <c r="AG19" s="103"/>
      <c r="AH19" s="591"/>
      <c r="AI19" s="21"/>
      <c r="AJ19" s="225"/>
      <c r="AK19" s="21"/>
      <c r="AL19" s="21"/>
      <c r="AM19" s="21"/>
    </row>
    <row r="20" spans="1:39" ht="15.75" customHeight="1">
      <c r="A20" s="13" t="s">
        <v>94</v>
      </c>
      <c r="B20" s="220">
        <v>86</v>
      </c>
      <c r="C20" s="656"/>
      <c r="D20" s="234"/>
      <c r="E20" s="657"/>
      <c r="F20" s="655"/>
      <c r="G20" s="203"/>
      <c r="H20" s="203"/>
      <c r="I20" s="103"/>
      <c r="J20" s="513"/>
      <c r="K20" s="676"/>
      <c r="L20" s="677"/>
      <c r="M20" s="678"/>
      <c r="N20" s="678"/>
      <c r="O20" s="679"/>
      <c r="P20" s="245" t="str">
        <f t="shared" si="0"/>
        <v>KSC</v>
      </c>
      <c r="Q20" s="690">
        <f t="shared" si="1"/>
        <v>86</v>
      </c>
      <c r="R20" s="103"/>
      <c r="S20" s="597"/>
      <c r="T20" s="597"/>
      <c r="U20" s="581"/>
      <c r="V20" s="581"/>
      <c r="W20" s="597"/>
      <c r="X20" s="581"/>
      <c r="Y20" s="581"/>
      <c r="Z20" s="697">
        <f t="shared" si="2"/>
        <v>0</v>
      </c>
      <c r="AA20" s="613">
        <f t="shared" si="3"/>
        <v>0</v>
      </c>
      <c r="AB20" s="21"/>
      <c r="AC20" s="612"/>
      <c r="AD20" s="103"/>
      <c r="AE20" s="103"/>
      <c r="AF20" s="103"/>
      <c r="AG20" s="103"/>
      <c r="AH20" s="591"/>
      <c r="AI20" s="21"/>
      <c r="AJ20" s="225"/>
      <c r="AK20" s="21"/>
      <c r="AL20" s="21"/>
      <c r="AM20" s="21"/>
    </row>
    <row r="21" spans="1:39" ht="15.75" customHeight="1">
      <c r="A21" s="13" t="s">
        <v>95</v>
      </c>
      <c r="B21" s="220">
        <v>90</v>
      </c>
      <c r="C21" s="656"/>
      <c r="D21" s="234"/>
      <c r="E21" s="657"/>
      <c r="F21" s="655"/>
      <c r="G21" s="203"/>
      <c r="H21" s="203"/>
      <c r="I21" s="103"/>
      <c r="J21" s="513"/>
      <c r="K21" s="676"/>
      <c r="L21" s="677"/>
      <c r="M21" s="678"/>
      <c r="N21" s="678"/>
      <c r="O21" s="679"/>
      <c r="P21" s="245" t="str">
        <f t="shared" si="0"/>
        <v>LKL</v>
      </c>
      <c r="Q21" s="690">
        <f t="shared" si="1"/>
        <v>90</v>
      </c>
      <c r="R21" s="103"/>
      <c r="S21" s="593" t="s">
        <v>96</v>
      </c>
      <c r="T21" s="593"/>
      <c r="U21" s="228"/>
      <c r="V21" s="229"/>
      <c r="W21" s="228"/>
      <c r="X21" s="228"/>
      <c r="Y21" s="228"/>
      <c r="Z21" s="698"/>
      <c r="AA21" s="699">
        <f>SUM(AA3:AA20)</f>
        <v>0</v>
      </c>
      <c r="AB21" s="21"/>
      <c r="AC21" s="612"/>
      <c r="AD21" s="103"/>
      <c r="AE21" s="103"/>
      <c r="AF21" s="103"/>
      <c r="AG21" s="103"/>
      <c r="AH21" s="591"/>
      <c r="AI21" s="21"/>
      <c r="AJ21" s="225"/>
      <c r="AK21" s="21"/>
      <c r="AL21" s="21"/>
      <c r="AM21" s="21"/>
    </row>
    <row r="22" spans="1:39" ht="15.75" customHeight="1">
      <c r="A22" s="13" t="s">
        <v>97</v>
      </c>
      <c r="B22" s="220">
        <v>91</v>
      </c>
      <c r="C22" s="656"/>
      <c r="D22" s="234"/>
      <c r="E22" s="657"/>
      <c r="F22" s="655"/>
      <c r="G22" s="203"/>
      <c r="H22" s="203"/>
      <c r="I22" s="103"/>
      <c r="J22" s="513"/>
      <c r="K22" s="676"/>
      <c r="L22" s="677"/>
      <c r="M22" s="678"/>
      <c r="N22" s="678"/>
      <c r="O22" s="679"/>
      <c r="P22" s="245" t="str">
        <f t="shared" si="0"/>
        <v>KLH</v>
      </c>
      <c r="Q22" s="690">
        <f t="shared" si="1"/>
        <v>91</v>
      </c>
      <c r="R22" s="103"/>
      <c r="S22" s="103"/>
      <c r="T22" s="103"/>
      <c r="U22" s="103"/>
      <c r="V22" s="103"/>
      <c r="W22" s="103"/>
      <c r="X22" s="103"/>
      <c r="Y22" s="103"/>
      <c r="Z22" s="103"/>
      <c r="AA22" s="21"/>
      <c r="AB22" s="21"/>
      <c r="AC22" s="21"/>
      <c r="AD22" s="21"/>
      <c r="AE22" s="21"/>
      <c r="AF22" s="21"/>
      <c r="AG22" s="21"/>
      <c r="AH22" s="21"/>
      <c r="AI22" s="21"/>
      <c r="AJ22" s="225"/>
      <c r="AK22" s="21"/>
      <c r="AL22" s="21"/>
      <c r="AM22" s="21"/>
    </row>
    <row r="23" spans="1:39" ht="15.75" customHeight="1">
      <c r="A23" s="10" t="s">
        <v>98</v>
      </c>
      <c r="B23" s="220">
        <v>92</v>
      </c>
      <c r="C23" s="656"/>
      <c r="D23" s="234"/>
      <c r="E23" s="657"/>
      <c r="F23" s="655"/>
      <c r="G23" s="203"/>
      <c r="H23" s="203"/>
      <c r="I23" s="103"/>
      <c r="J23" s="513"/>
      <c r="K23" s="676"/>
      <c r="L23" s="677"/>
      <c r="M23" s="678"/>
      <c r="N23" s="678"/>
      <c r="O23" s="679"/>
      <c r="P23" s="245" t="str">
        <f t="shared" si="0"/>
        <v>CKS</v>
      </c>
      <c r="Q23" s="690">
        <f t="shared" si="1"/>
        <v>92</v>
      </c>
      <c r="R23" s="103"/>
      <c r="S23" s="103"/>
      <c r="T23" s="103"/>
      <c r="U23" s="103"/>
      <c r="V23" s="103"/>
      <c r="W23" s="103"/>
      <c r="X23" s="103"/>
      <c r="Y23" s="103"/>
      <c r="Z23" s="103"/>
      <c r="AA23" s="21"/>
      <c r="AB23" s="21"/>
      <c r="AC23" s="21"/>
      <c r="AD23" s="21"/>
      <c r="AE23" s="21"/>
      <c r="AF23" s="21"/>
      <c r="AG23" s="21"/>
      <c r="AH23" s="21"/>
      <c r="AI23" s="21"/>
      <c r="AJ23" s="225"/>
      <c r="AK23" s="21"/>
      <c r="AL23" s="21"/>
      <c r="AM23" s="21"/>
    </row>
    <row r="24" spans="1:39" ht="15.75" customHeight="1">
      <c r="A24" s="13" t="s">
        <v>99</v>
      </c>
      <c r="B24" s="220">
        <v>102</v>
      </c>
      <c r="C24" s="656"/>
      <c r="D24" s="234"/>
      <c r="E24" s="657"/>
      <c r="F24" s="655"/>
      <c r="G24" s="203"/>
      <c r="H24" s="203"/>
      <c r="I24" s="103"/>
      <c r="J24" s="513"/>
      <c r="K24" s="676"/>
      <c r="L24" s="677"/>
      <c r="M24" s="678"/>
      <c r="N24" s="678"/>
      <c r="O24" s="679"/>
      <c r="P24" s="245" t="str">
        <f t="shared" si="0"/>
        <v>CKM</v>
      </c>
      <c r="Q24" s="690">
        <f t="shared" si="1"/>
        <v>102</v>
      </c>
      <c r="R24" s="103"/>
      <c r="S24" s="593" t="s">
        <v>100</v>
      </c>
      <c r="T24" s="593" t="s">
        <v>101</v>
      </c>
      <c r="U24" s="228" t="s">
        <v>102</v>
      </c>
      <c r="V24" s="228" t="s">
        <v>103</v>
      </c>
      <c r="W24" s="228"/>
      <c r="X24" s="228"/>
      <c r="Y24" s="229"/>
      <c r="Z24" s="229"/>
      <c r="AA24" s="229"/>
      <c r="AB24" s="103"/>
      <c r="AC24" s="21"/>
      <c r="AD24" s="21"/>
      <c r="AE24" s="21"/>
      <c r="AF24" s="21"/>
      <c r="AG24" s="21"/>
      <c r="AH24" s="21"/>
      <c r="AI24" s="21"/>
      <c r="AJ24" s="225"/>
      <c r="AK24" s="21"/>
      <c r="AL24" s="21"/>
      <c r="AM24" s="21"/>
    </row>
    <row r="25" spans="1:39" ht="15.75" customHeight="1">
      <c r="A25" s="13" t="s">
        <v>104</v>
      </c>
      <c r="B25" s="220">
        <v>103</v>
      </c>
      <c r="C25" s="656"/>
      <c r="D25" s="234"/>
      <c r="E25" s="657"/>
      <c r="F25" s="655"/>
      <c r="G25" s="203"/>
      <c r="H25" s="203"/>
      <c r="I25" s="103"/>
      <c r="J25" s="513"/>
      <c r="K25" s="676"/>
      <c r="L25" s="677"/>
      <c r="M25" s="678"/>
      <c r="N25" s="678"/>
      <c r="O25" s="679"/>
      <c r="P25" s="245" t="str">
        <f t="shared" si="0"/>
        <v>LKF</v>
      </c>
      <c r="Q25" s="690">
        <f t="shared" si="1"/>
        <v>103</v>
      </c>
      <c r="R25" s="103"/>
      <c r="S25" s="595">
        <v>72</v>
      </c>
      <c r="T25" s="595"/>
      <c r="U25" s="103"/>
      <c r="V25" s="103"/>
      <c r="W25" s="103"/>
      <c r="X25" s="103"/>
      <c r="Y25" s="513"/>
      <c r="Z25" s="526"/>
      <c r="AA25" s="526">
        <f t="shared" ref="AA25:AA38" si="4">SUM(T25:Z25)</f>
        <v>0</v>
      </c>
      <c r="AB25" s="103"/>
      <c r="AC25" s="21"/>
      <c r="AD25" s="21"/>
      <c r="AE25" s="21"/>
      <c r="AF25" s="21"/>
      <c r="AG25" s="21"/>
      <c r="AH25" s="21"/>
      <c r="AI25" s="21"/>
      <c r="AJ25" s="225"/>
      <c r="AK25" s="21"/>
      <c r="AL25" s="21"/>
      <c r="AM25" s="21"/>
    </row>
    <row r="26" spans="1:39" ht="15.75" customHeight="1">
      <c r="A26" s="8" t="s">
        <v>105</v>
      </c>
      <c r="B26" s="220">
        <v>112</v>
      </c>
      <c r="C26" s="656"/>
      <c r="D26" s="659"/>
      <c r="E26" s="660"/>
      <c r="F26" s="655"/>
      <c r="G26" s="201"/>
      <c r="H26" s="201"/>
      <c r="I26" s="581"/>
      <c r="J26" s="514"/>
      <c r="K26" s="680"/>
      <c r="L26" s="681"/>
      <c r="M26" s="682"/>
      <c r="N26" s="682"/>
      <c r="O26" s="504"/>
      <c r="P26" s="266" t="str">
        <f t="shared" si="0"/>
        <v>CKW</v>
      </c>
      <c r="Q26" s="690">
        <f t="shared" si="1"/>
        <v>112</v>
      </c>
      <c r="R26" s="103"/>
      <c r="S26" s="595">
        <v>86</v>
      </c>
      <c r="T26" s="595"/>
      <c r="U26" s="103"/>
      <c r="V26" s="103"/>
      <c r="W26" s="103"/>
      <c r="X26" s="103"/>
      <c r="Y26" s="513"/>
      <c r="Z26" s="526"/>
      <c r="AA26" s="526">
        <f t="shared" si="4"/>
        <v>0</v>
      </c>
      <c r="AB26" s="103"/>
      <c r="AC26" s="591"/>
      <c r="AD26" s="21"/>
      <c r="AE26" s="21"/>
      <c r="AF26" s="21"/>
      <c r="AG26" s="21"/>
      <c r="AH26" s="21"/>
      <c r="AI26" s="21"/>
      <c r="AJ26" s="225"/>
      <c r="AK26" s="21"/>
      <c r="AL26" s="21"/>
      <c r="AM26" s="21"/>
    </row>
    <row r="27" spans="1:39" ht="15.75" customHeight="1">
      <c r="A27" s="1" t="s">
        <v>106</v>
      </c>
      <c r="B27" s="406">
        <v>113</v>
      </c>
      <c r="C27" s="652"/>
      <c r="D27" s="234"/>
      <c r="E27" s="657"/>
      <c r="F27" s="655"/>
      <c r="G27" s="203"/>
      <c r="H27" s="203"/>
      <c r="I27" s="103"/>
      <c r="J27" s="103"/>
      <c r="K27" s="676"/>
      <c r="L27" s="677"/>
      <c r="M27" s="678"/>
      <c r="N27" s="678"/>
      <c r="O27" s="679"/>
      <c r="P27" s="683" t="str">
        <f t="shared" si="0"/>
        <v>LWK</v>
      </c>
      <c r="Q27" s="690">
        <f t="shared" si="1"/>
        <v>113</v>
      </c>
      <c r="R27" s="103"/>
      <c r="S27" s="595">
        <v>90</v>
      </c>
      <c r="T27" s="595"/>
      <c r="U27" s="103"/>
      <c r="V27" s="103"/>
      <c r="W27" s="103"/>
      <c r="X27" s="103"/>
      <c r="Y27" s="513"/>
      <c r="Z27" s="526"/>
      <c r="AA27" s="526">
        <f t="shared" si="4"/>
        <v>0</v>
      </c>
      <c r="AB27" s="103"/>
      <c r="AC27" s="591"/>
      <c r="AD27" s="21"/>
      <c r="AE27" s="21"/>
      <c r="AF27" s="21"/>
      <c r="AG27" s="21"/>
      <c r="AH27" s="21"/>
      <c r="AI27" s="21"/>
      <c r="AJ27" s="21"/>
      <c r="AK27" s="21"/>
      <c r="AL27" s="21"/>
      <c r="AM27" s="21"/>
    </row>
    <row r="28" spans="1:39" ht="15.75" customHeight="1">
      <c r="A28" s="12" t="s">
        <v>107</v>
      </c>
      <c r="B28" s="220">
        <v>114</v>
      </c>
      <c r="C28" s="656"/>
      <c r="D28" s="234"/>
      <c r="E28" s="657"/>
      <c r="F28" s="655"/>
      <c r="G28" s="203"/>
      <c r="H28" s="203"/>
      <c r="I28" s="103"/>
      <c r="J28" s="103"/>
      <c r="K28" s="676"/>
      <c r="L28" s="677"/>
      <c r="M28" s="678"/>
      <c r="N28" s="678"/>
      <c r="O28" s="679"/>
      <c r="P28" s="245" t="str">
        <f t="shared" si="0"/>
        <v>CYP</v>
      </c>
      <c r="Q28" s="690">
        <f t="shared" si="1"/>
        <v>114</v>
      </c>
      <c r="R28" s="103"/>
      <c r="S28" s="595">
        <v>102</v>
      </c>
      <c r="T28" s="595"/>
      <c r="U28" s="103"/>
      <c r="V28" s="103"/>
      <c r="W28" s="103"/>
      <c r="X28" s="103"/>
      <c r="Y28" s="513"/>
      <c r="Z28" s="526"/>
      <c r="AA28" s="526">
        <f t="shared" si="4"/>
        <v>0</v>
      </c>
      <c r="AB28" s="103"/>
      <c r="AC28" s="591"/>
      <c r="AD28" s="21"/>
      <c r="AE28" s="21"/>
      <c r="AF28" s="21"/>
      <c r="AG28" s="21"/>
      <c r="AH28" s="21"/>
      <c r="AI28" s="21"/>
      <c r="AJ28" s="21"/>
      <c r="AK28" s="21"/>
      <c r="AL28" s="21"/>
      <c r="AM28" s="21"/>
    </row>
    <row r="29" spans="1:39" ht="15.75" customHeight="1">
      <c r="A29" s="1" t="s">
        <v>108</v>
      </c>
      <c r="B29" s="220">
        <v>117</v>
      </c>
      <c r="C29" s="656"/>
      <c r="D29" s="234"/>
      <c r="E29" s="657"/>
      <c r="F29" s="655"/>
      <c r="G29" s="203"/>
      <c r="H29" s="203"/>
      <c r="I29" s="103"/>
      <c r="J29" s="103"/>
      <c r="K29" s="676"/>
      <c r="L29" s="677"/>
      <c r="M29" s="678"/>
      <c r="N29" s="678"/>
      <c r="O29" s="679"/>
      <c r="P29" s="245" t="str">
        <f t="shared" si="0"/>
        <v>LWC</v>
      </c>
      <c r="Q29" s="690">
        <f t="shared" si="1"/>
        <v>117</v>
      </c>
      <c r="R29" s="103"/>
      <c r="S29" s="595">
        <v>137</v>
      </c>
      <c r="T29" s="595"/>
      <c r="U29" s="103"/>
      <c r="V29" s="103"/>
      <c r="W29" s="103"/>
      <c r="X29" s="103"/>
      <c r="Y29" s="513"/>
      <c r="Z29" s="526"/>
      <c r="AA29" s="526">
        <f t="shared" si="4"/>
        <v>0</v>
      </c>
      <c r="AB29" s="103"/>
      <c r="AC29" s="591"/>
      <c r="AD29" s="21"/>
      <c r="AE29" s="21"/>
      <c r="AF29" s="21"/>
      <c r="AG29" s="21"/>
      <c r="AH29" s="21"/>
      <c r="AI29" s="21"/>
      <c r="AJ29" s="21"/>
      <c r="AK29" s="21"/>
      <c r="AL29" s="21"/>
      <c r="AM29" s="21"/>
    </row>
    <row r="30" spans="1:39" ht="15.75" customHeight="1">
      <c r="A30" s="12" t="s">
        <v>109</v>
      </c>
      <c r="B30" s="220">
        <v>120</v>
      </c>
      <c r="C30" s="656"/>
      <c r="D30" s="234"/>
      <c r="E30" s="657"/>
      <c r="F30" s="655"/>
      <c r="G30" s="203"/>
      <c r="H30" s="203"/>
      <c r="I30" s="103"/>
      <c r="J30" s="103"/>
      <c r="K30" s="676"/>
      <c r="L30" s="677"/>
      <c r="M30" s="678"/>
      <c r="N30" s="678"/>
      <c r="O30" s="679"/>
      <c r="P30" s="245" t="str">
        <f t="shared" si="0"/>
        <v>WYC</v>
      </c>
      <c r="Q30" s="690">
        <f t="shared" si="1"/>
        <v>120</v>
      </c>
      <c r="R30" s="103"/>
      <c r="S30" s="595">
        <v>138</v>
      </c>
      <c r="T30" s="595"/>
      <c r="U30" s="103"/>
      <c r="V30" s="103"/>
      <c r="W30" s="103"/>
      <c r="X30" s="103"/>
      <c r="Y30" s="513"/>
      <c r="Z30" s="526"/>
      <c r="AA30" s="526">
        <f t="shared" si="4"/>
        <v>0</v>
      </c>
      <c r="AB30" s="103"/>
      <c r="AC30" s="591"/>
      <c r="AD30" s="21"/>
      <c r="AE30" s="21"/>
      <c r="AF30" s="21"/>
      <c r="AG30" s="21"/>
      <c r="AH30" s="21"/>
      <c r="AI30" s="21"/>
      <c r="AJ30" s="21"/>
      <c r="AK30" s="21"/>
      <c r="AL30" s="21"/>
      <c r="AM30" s="21"/>
    </row>
    <row r="31" spans="1:39" ht="15.75" customHeight="1">
      <c r="A31" s="12" t="s">
        <v>110</v>
      </c>
      <c r="B31" s="220">
        <v>128</v>
      </c>
      <c r="C31" s="656"/>
      <c r="D31" s="234"/>
      <c r="E31" s="657"/>
      <c r="F31" s="655"/>
      <c r="G31" s="203"/>
      <c r="H31" s="203"/>
      <c r="I31" s="103"/>
      <c r="J31" s="203">
        <f>AA9</f>
        <v>0</v>
      </c>
      <c r="K31" s="676"/>
      <c r="L31" s="677"/>
      <c r="M31" s="678"/>
      <c r="N31" s="678"/>
      <c r="O31" s="679"/>
      <c r="P31" s="245" t="str">
        <f t="shared" si="0"/>
        <v>LHY</v>
      </c>
      <c r="Q31" s="690">
        <f t="shared" si="1"/>
        <v>128</v>
      </c>
      <c r="R31" s="103"/>
      <c r="S31" s="595">
        <v>141</v>
      </c>
      <c r="T31" s="595"/>
      <c r="U31" s="103"/>
      <c r="V31" s="103"/>
      <c r="W31" s="103"/>
      <c r="X31" s="103"/>
      <c r="Y31" s="513"/>
      <c r="Z31" s="526"/>
      <c r="AA31" s="526">
        <f t="shared" si="4"/>
        <v>0</v>
      </c>
      <c r="AB31" s="103"/>
      <c r="AC31" s="591"/>
      <c r="AD31" s="21"/>
      <c r="AE31" s="21"/>
      <c r="AF31" s="21"/>
      <c r="AG31" s="21"/>
      <c r="AH31" s="21"/>
      <c r="AI31" s="21"/>
      <c r="AJ31" s="21"/>
      <c r="AK31" s="21"/>
      <c r="AL31" s="21"/>
      <c r="AM31" s="21"/>
    </row>
    <row r="32" spans="1:39" ht="15.75" customHeight="1">
      <c r="A32" s="1" t="s">
        <v>111</v>
      </c>
      <c r="B32" s="220">
        <v>129</v>
      </c>
      <c r="C32" s="656"/>
      <c r="D32" s="234"/>
      <c r="E32" s="657"/>
      <c r="F32" s="655"/>
      <c r="G32" s="203"/>
      <c r="H32" s="203"/>
      <c r="I32" s="103"/>
      <c r="J32" s="103"/>
      <c r="K32" s="676"/>
      <c r="L32" s="677"/>
      <c r="M32" s="678"/>
      <c r="N32" s="678"/>
      <c r="O32" s="679"/>
      <c r="P32" s="245" t="str">
        <f t="shared" si="0"/>
        <v>HNY</v>
      </c>
      <c r="Q32" s="690">
        <f t="shared" si="1"/>
        <v>129</v>
      </c>
      <c r="R32" s="103"/>
      <c r="S32" s="595">
        <v>152</v>
      </c>
      <c r="T32" s="595"/>
      <c r="U32" s="103"/>
      <c r="V32" s="103"/>
      <c r="W32" s="103"/>
      <c r="X32" s="103"/>
      <c r="Y32" s="513"/>
      <c r="Z32" s="526"/>
      <c r="AA32" s="526">
        <f t="shared" si="4"/>
        <v>0</v>
      </c>
      <c r="AB32" s="103"/>
      <c r="AC32" s="591"/>
      <c r="AD32" s="21"/>
      <c r="AE32" s="21"/>
      <c r="AF32" s="21"/>
      <c r="AG32" s="21"/>
      <c r="AH32" s="21"/>
      <c r="AI32" s="21"/>
      <c r="AJ32" s="21"/>
      <c r="AK32" s="21"/>
      <c r="AL32" s="21"/>
      <c r="AM32" s="21"/>
    </row>
    <row r="33" spans="1:39" ht="15.75" customHeight="1">
      <c r="A33" s="1" t="s">
        <v>112</v>
      </c>
      <c r="B33" s="222">
        <v>134</v>
      </c>
      <c r="C33" s="658"/>
      <c r="D33" s="234"/>
      <c r="E33" s="657"/>
      <c r="F33" s="655"/>
      <c r="G33" s="203"/>
      <c r="H33" s="203"/>
      <c r="I33" s="103"/>
      <c r="J33" s="103"/>
      <c r="K33" s="680"/>
      <c r="L33" s="681"/>
      <c r="M33" s="682"/>
      <c r="N33" s="678"/>
      <c r="O33" s="679"/>
      <c r="P33" s="266" t="str">
        <f t="shared" si="0"/>
        <v>HBL</v>
      </c>
      <c r="Q33" s="690">
        <f t="shared" si="1"/>
        <v>134</v>
      </c>
      <c r="R33" s="103"/>
      <c r="S33" s="595">
        <v>181</v>
      </c>
      <c r="T33" s="595"/>
      <c r="U33" s="103"/>
      <c r="V33" s="103"/>
      <c r="W33" s="103"/>
      <c r="X33" s="103"/>
      <c r="Y33" s="513"/>
      <c r="Z33" s="526"/>
      <c r="AA33" s="526">
        <f t="shared" si="4"/>
        <v>0</v>
      </c>
      <c r="AB33" s="103"/>
      <c r="AC33" s="591"/>
      <c r="AD33" s="21"/>
      <c r="AE33" s="21"/>
      <c r="AF33" s="21"/>
      <c r="AG33" s="21"/>
      <c r="AH33" s="21"/>
      <c r="AI33" s="21"/>
      <c r="AJ33" s="21"/>
      <c r="AK33" s="21"/>
      <c r="AL33" s="21"/>
      <c r="AM33" s="21"/>
    </row>
    <row r="34" spans="1:39" ht="15.75" customHeight="1">
      <c r="A34" s="661" t="s">
        <v>113</v>
      </c>
      <c r="B34" s="220">
        <v>135</v>
      </c>
      <c r="C34" s="656"/>
      <c r="D34" s="653"/>
      <c r="E34" s="654"/>
      <c r="F34" s="655"/>
      <c r="G34" s="205"/>
      <c r="H34" s="205"/>
      <c r="I34" s="574"/>
      <c r="J34" s="181">
        <f>AA10</f>
        <v>0</v>
      </c>
      <c r="K34" s="672"/>
      <c r="L34" s="673"/>
      <c r="M34" s="674"/>
      <c r="N34" s="674"/>
      <c r="O34" s="675"/>
      <c r="P34" s="241" t="str">
        <f t="shared" si="0"/>
        <v>WWS</v>
      </c>
      <c r="Q34" s="690">
        <f t="shared" si="1"/>
        <v>135</v>
      </c>
      <c r="R34" s="103"/>
      <c r="S34" s="595"/>
      <c r="T34" s="595"/>
      <c r="U34" s="103"/>
      <c r="V34" s="103"/>
      <c r="W34" s="103"/>
      <c r="X34" s="103"/>
      <c r="Y34" s="513"/>
      <c r="Z34" s="526"/>
      <c r="AA34" s="526">
        <f t="shared" si="4"/>
        <v>0</v>
      </c>
      <c r="AB34" s="103"/>
      <c r="AC34" s="591"/>
      <c r="AD34" s="21"/>
      <c r="AE34" s="21"/>
      <c r="AF34" s="21"/>
      <c r="AG34" s="21"/>
      <c r="AH34" s="21"/>
      <c r="AI34" s="21"/>
      <c r="AJ34" s="21"/>
      <c r="AK34" s="21"/>
      <c r="AL34" s="21"/>
      <c r="AM34" s="21"/>
    </row>
    <row r="35" spans="1:39" ht="15.75" customHeight="1">
      <c r="A35" s="10" t="s">
        <v>114</v>
      </c>
      <c r="B35" s="220">
        <v>137</v>
      </c>
      <c r="C35" s="656"/>
      <c r="D35" s="234"/>
      <c r="E35" s="657"/>
      <c r="F35" s="655"/>
      <c r="G35" s="203"/>
      <c r="H35" s="203"/>
      <c r="I35" s="103"/>
      <c r="J35" s="513"/>
      <c r="K35" s="676"/>
      <c r="L35" s="677"/>
      <c r="M35" s="678"/>
      <c r="N35" s="678"/>
      <c r="O35" s="679"/>
      <c r="P35" s="245" t="str">
        <f t="shared" si="0"/>
        <v>CHB</v>
      </c>
      <c r="Q35" s="690">
        <f t="shared" si="1"/>
        <v>137</v>
      </c>
      <c r="R35" s="103"/>
      <c r="S35" s="595">
        <v>204</v>
      </c>
      <c r="T35" s="595"/>
      <c r="U35" s="103"/>
      <c r="V35" s="103"/>
      <c r="W35" s="103"/>
      <c r="X35" s="103"/>
      <c r="Y35" s="513"/>
      <c r="Z35" s="526"/>
      <c r="AA35" s="526">
        <f t="shared" si="4"/>
        <v>0</v>
      </c>
      <c r="AB35" s="103"/>
      <c r="AC35" s="591"/>
      <c r="AD35" s="21"/>
      <c r="AE35" s="21"/>
      <c r="AF35" s="21"/>
      <c r="AG35" s="21"/>
      <c r="AH35" s="21"/>
      <c r="AI35" s="21"/>
      <c r="AJ35" s="21"/>
      <c r="AK35" s="21"/>
      <c r="AL35" s="21"/>
      <c r="AM35" s="21"/>
    </row>
    <row r="36" spans="1:39" ht="15.75" customHeight="1">
      <c r="A36" s="13" t="s">
        <v>115</v>
      </c>
      <c r="B36" s="220">
        <v>138</v>
      </c>
      <c r="C36" s="656"/>
      <c r="D36" s="234"/>
      <c r="E36" s="657"/>
      <c r="F36" s="655"/>
      <c r="G36" s="662"/>
      <c r="H36" s="203"/>
      <c r="I36" s="103"/>
      <c r="J36" s="513"/>
      <c r="K36" s="676"/>
      <c r="L36" s="677"/>
      <c r="M36" s="678"/>
      <c r="N36" s="678"/>
      <c r="O36" s="679"/>
      <c r="P36" s="245" t="str">
        <f t="shared" si="0"/>
        <v>LWY</v>
      </c>
      <c r="Q36" s="690">
        <f t="shared" si="1"/>
        <v>138</v>
      </c>
      <c r="R36" s="103"/>
      <c r="S36" s="595">
        <v>209</v>
      </c>
      <c r="T36" s="595"/>
      <c r="U36" s="103"/>
      <c r="V36" s="103"/>
      <c r="W36" s="103"/>
      <c r="X36" s="103"/>
      <c r="Y36" s="513"/>
      <c r="Z36" s="526"/>
      <c r="AA36" s="526">
        <f t="shared" si="4"/>
        <v>0</v>
      </c>
      <c r="AB36" s="103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</row>
    <row r="37" spans="1:39" ht="15.75" customHeight="1">
      <c r="A37" s="10" t="s">
        <v>116</v>
      </c>
      <c r="B37" s="220">
        <v>140</v>
      </c>
      <c r="C37" s="656"/>
      <c r="D37" s="234"/>
      <c r="E37" s="657"/>
      <c r="F37" s="655"/>
      <c r="G37" s="203"/>
      <c r="H37" s="203"/>
      <c r="I37" s="103"/>
      <c r="J37" s="513"/>
      <c r="K37" s="676"/>
      <c r="L37" s="677"/>
      <c r="M37" s="678"/>
      <c r="N37" s="678"/>
      <c r="O37" s="679"/>
      <c r="P37" s="245" t="str">
        <f t="shared" si="0"/>
        <v>LCM</v>
      </c>
      <c r="Q37" s="690">
        <f t="shared" si="1"/>
        <v>140</v>
      </c>
      <c r="R37" s="103"/>
      <c r="S37" s="595">
        <v>213</v>
      </c>
      <c r="T37" s="595"/>
      <c r="U37" s="103"/>
      <c r="V37" s="103"/>
      <c r="W37" s="103"/>
      <c r="X37" s="103"/>
      <c r="Y37" s="513"/>
      <c r="Z37" s="526"/>
      <c r="AA37" s="526">
        <f t="shared" si="4"/>
        <v>0</v>
      </c>
      <c r="AB37" s="103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</row>
    <row r="38" spans="1:39" ht="15.75" customHeight="1">
      <c r="A38" s="10" t="s">
        <v>117</v>
      </c>
      <c r="B38" s="220">
        <v>141</v>
      </c>
      <c r="C38" s="656"/>
      <c r="D38" s="234"/>
      <c r="E38" s="657"/>
      <c r="F38" s="655"/>
      <c r="G38" s="203"/>
      <c r="H38" s="203"/>
      <c r="I38" s="103"/>
      <c r="J38" s="513"/>
      <c r="K38" s="676"/>
      <c r="L38" s="677"/>
      <c r="M38" s="678"/>
      <c r="N38" s="678"/>
      <c r="O38" s="679"/>
      <c r="P38" s="245" t="str">
        <f t="shared" si="0"/>
        <v>LSY</v>
      </c>
      <c r="Q38" s="690">
        <f t="shared" si="1"/>
        <v>141</v>
      </c>
      <c r="R38" s="103"/>
      <c r="S38" s="597">
        <v>217</v>
      </c>
      <c r="T38" s="597"/>
      <c r="U38" s="581"/>
      <c r="V38" s="581"/>
      <c r="W38" s="581"/>
      <c r="X38" s="581"/>
      <c r="Y38" s="514"/>
      <c r="Z38" s="526"/>
      <c r="AA38" s="526">
        <f t="shared" si="4"/>
        <v>0</v>
      </c>
      <c r="AB38" s="103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</row>
    <row r="39" spans="1:39" ht="15.75" customHeight="1">
      <c r="A39" s="13" t="s">
        <v>119</v>
      </c>
      <c r="B39" s="220">
        <v>152</v>
      </c>
      <c r="C39" s="656"/>
      <c r="D39" s="234"/>
      <c r="E39" s="657"/>
      <c r="F39" s="655"/>
      <c r="G39" s="201"/>
      <c r="H39" s="203"/>
      <c r="I39" s="103"/>
      <c r="J39" s="513"/>
      <c r="K39" s="676"/>
      <c r="L39" s="677"/>
      <c r="M39" s="678"/>
      <c r="N39" s="678"/>
      <c r="O39" s="679"/>
      <c r="P39" s="245" t="str">
        <f t="shared" si="0"/>
        <v>CTY</v>
      </c>
      <c r="Q39" s="690">
        <f t="shared" si="1"/>
        <v>152</v>
      </c>
      <c r="R39" s="103"/>
      <c r="S39" s="103"/>
      <c r="T39" s="103"/>
      <c r="U39" s="103"/>
      <c r="V39" s="103"/>
      <c r="W39" s="103"/>
      <c r="X39" s="103"/>
      <c r="Y39" s="103"/>
      <c r="Z39" s="103"/>
      <c r="AA39" s="21"/>
      <c r="AB39" s="21"/>
      <c r="AC39" s="591"/>
      <c r="AD39" s="21"/>
      <c r="AE39" s="21"/>
      <c r="AF39" s="21"/>
      <c r="AG39" s="21"/>
      <c r="AH39" s="21"/>
      <c r="AI39" s="21"/>
      <c r="AJ39" s="21"/>
      <c r="AK39" s="21"/>
      <c r="AL39" s="21"/>
      <c r="AM39" s="21"/>
    </row>
    <row r="40" spans="1:39" ht="15.75" customHeight="1">
      <c r="A40" s="16" t="s">
        <v>120</v>
      </c>
      <c r="B40" s="220">
        <v>153</v>
      </c>
      <c r="C40" s="656"/>
      <c r="D40" s="659"/>
      <c r="E40" s="660"/>
      <c r="F40" s="655"/>
      <c r="G40" s="201"/>
      <c r="H40" s="201"/>
      <c r="I40" s="581"/>
      <c r="J40" s="514"/>
      <c r="K40" s="680"/>
      <c r="L40" s="681"/>
      <c r="M40" s="682"/>
      <c r="N40" s="682"/>
      <c r="O40" s="504"/>
      <c r="P40" s="266" t="str">
        <f t="shared" si="0"/>
        <v>CKY</v>
      </c>
      <c r="Q40" s="690">
        <f t="shared" si="1"/>
        <v>153</v>
      </c>
      <c r="R40" s="103"/>
      <c r="S40" s="487" t="s">
        <v>48</v>
      </c>
      <c r="T40" s="487"/>
      <c r="U40" s="103"/>
      <c r="V40" s="103"/>
      <c r="W40" s="103" t="s">
        <v>121</v>
      </c>
      <c r="X40" s="103"/>
      <c r="Y40" s="103"/>
      <c r="Z40" s="103"/>
      <c r="AA40" s="21"/>
      <c r="AB40" s="21"/>
      <c r="AC40" s="591"/>
      <c r="AD40" s="21"/>
      <c r="AE40" s="21"/>
      <c r="AF40" s="21"/>
      <c r="AG40" s="21"/>
      <c r="AH40" s="21"/>
      <c r="AI40" s="21"/>
      <c r="AJ40" s="21"/>
      <c r="AK40" s="21"/>
      <c r="AL40" s="21"/>
      <c r="AM40" s="21"/>
    </row>
    <row r="41" spans="1:39" ht="15.75" customHeight="1">
      <c r="A41" s="1" t="s">
        <v>122</v>
      </c>
      <c r="B41" s="406">
        <v>161</v>
      </c>
      <c r="C41" s="652"/>
      <c r="D41" s="234"/>
      <c r="E41" s="657"/>
      <c r="F41" s="655"/>
      <c r="G41" s="203"/>
      <c r="H41" s="203"/>
      <c r="I41" s="103"/>
      <c r="J41" s="103"/>
      <c r="K41" s="676"/>
      <c r="L41" s="677"/>
      <c r="M41" s="678"/>
      <c r="N41" s="678"/>
      <c r="O41" s="679"/>
      <c r="P41" s="241" t="str">
        <f t="shared" si="0"/>
        <v>NWY</v>
      </c>
      <c r="Q41" s="690">
        <f t="shared" si="1"/>
        <v>161</v>
      </c>
      <c r="R41" s="103"/>
      <c r="S41" s="603"/>
      <c r="T41" s="603"/>
      <c r="U41" s="103"/>
      <c r="V41" s="952" t="s">
        <v>123</v>
      </c>
      <c r="W41" s="947"/>
      <c r="X41" s="947"/>
      <c r="Y41" s="947"/>
      <c r="Z41" s="947"/>
      <c r="AA41" s="947"/>
      <c r="AB41" s="947"/>
      <c r="AC41" s="947"/>
      <c r="AD41" s="21"/>
      <c r="AE41" s="21"/>
      <c r="AF41" s="21"/>
      <c r="AG41" s="21"/>
      <c r="AH41" s="21"/>
      <c r="AI41" s="21"/>
      <c r="AJ41" s="21"/>
      <c r="AK41" s="21"/>
      <c r="AL41" s="21"/>
      <c r="AM41" s="21"/>
    </row>
    <row r="42" spans="1:39" ht="15.75" customHeight="1">
      <c r="A42" s="1" t="s">
        <v>125</v>
      </c>
      <c r="B42" s="220">
        <v>181</v>
      </c>
      <c r="C42" s="656"/>
      <c r="D42" s="234"/>
      <c r="E42" s="657"/>
      <c r="F42" s="655"/>
      <c r="G42" s="203"/>
      <c r="H42" s="203"/>
      <c r="I42" s="103"/>
      <c r="J42" s="103"/>
      <c r="K42" s="676"/>
      <c r="L42" s="677"/>
      <c r="M42" s="678"/>
      <c r="N42" s="678"/>
      <c r="O42" s="679"/>
      <c r="P42" s="245" t="str">
        <f t="shared" si="0"/>
        <v>DWL</v>
      </c>
      <c r="Q42" s="690">
        <f t="shared" si="1"/>
        <v>181</v>
      </c>
      <c r="R42" s="103"/>
      <c r="S42" s="603"/>
      <c r="T42" s="603"/>
      <c r="U42" s="103"/>
      <c r="V42" s="103"/>
      <c r="W42" s="103"/>
      <c r="X42" s="103"/>
      <c r="Y42" s="103"/>
      <c r="Z42" s="103"/>
      <c r="AA42" s="103"/>
      <c r="AB42" s="103"/>
      <c r="AC42" s="103"/>
      <c r="AD42" s="21"/>
      <c r="AE42" s="21"/>
      <c r="AF42" s="21"/>
      <c r="AG42" s="21"/>
      <c r="AH42" s="21"/>
      <c r="AI42" s="21"/>
      <c r="AJ42" s="21"/>
      <c r="AK42" s="21"/>
      <c r="AL42" s="21"/>
      <c r="AM42" s="21"/>
    </row>
    <row r="43" spans="1:39" ht="15.75" customHeight="1">
      <c r="A43" s="12" t="s">
        <v>86</v>
      </c>
      <c r="B43" s="220">
        <v>186</v>
      </c>
      <c r="C43" s="656"/>
      <c r="D43" s="234"/>
      <c r="E43" s="657"/>
      <c r="F43" s="655"/>
      <c r="G43" s="203"/>
      <c r="H43" s="203"/>
      <c r="I43" s="103"/>
      <c r="J43" s="103"/>
      <c r="K43" s="676"/>
      <c r="L43" s="677"/>
      <c r="M43" s="678"/>
      <c r="N43" s="678"/>
      <c r="O43" s="679"/>
      <c r="P43" s="245" t="str">
        <f t="shared" si="0"/>
        <v>TCH</v>
      </c>
      <c r="Q43" s="690">
        <f t="shared" si="1"/>
        <v>186</v>
      </c>
      <c r="R43" s="103"/>
      <c r="S43" s="603"/>
      <c r="T43" s="603"/>
      <c r="U43" s="103"/>
      <c r="V43" s="103"/>
      <c r="W43" s="103"/>
      <c r="X43" s="103"/>
      <c r="Y43" s="103"/>
      <c r="Z43" s="103"/>
      <c r="AA43" s="21"/>
      <c r="AB43" s="21"/>
      <c r="AC43" s="591"/>
      <c r="AD43" s="21"/>
      <c r="AE43" s="21"/>
      <c r="AF43" s="21"/>
      <c r="AG43" s="21"/>
      <c r="AH43" s="21"/>
      <c r="AI43" s="21"/>
      <c r="AJ43" s="21"/>
      <c r="AK43" s="21"/>
      <c r="AL43" s="21"/>
      <c r="AM43" s="21"/>
    </row>
    <row r="44" spans="1:39" ht="15.75" customHeight="1">
      <c r="A44" s="12" t="s">
        <v>126</v>
      </c>
      <c r="B44" s="220">
        <v>190</v>
      </c>
      <c r="C44" s="656"/>
      <c r="D44" s="234"/>
      <c r="E44" s="657"/>
      <c r="F44" s="655"/>
      <c r="G44" s="203"/>
      <c r="H44" s="203"/>
      <c r="I44" s="103"/>
      <c r="J44" s="203">
        <f>AA12</f>
        <v>0</v>
      </c>
      <c r="K44" s="676"/>
      <c r="L44" s="677"/>
      <c r="M44" s="678"/>
      <c r="N44" s="678"/>
      <c r="O44" s="679"/>
      <c r="P44" s="245" t="str">
        <f t="shared" si="0"/>
        <v>Dallas</v>
      </c>
      <c r="Q44" s="690">
        <f t="shared" si="1"/>
        <v>190</v>
      </c>
      <c r="R44" s="103"/>
      <c r="S44" s="603"/>
      <c r="T44" s="603"/>
      <c r="U44" s="103"/>
      <c r="V44" s="103"/>
      <c r="W44" s="103"/>
      <c r="X44" s="103"/>
      <c r="Y44" s="103"/>
      <c r="Z44" s="103"/>
      <c r="AA44" s="21"/>
      <c r="AB44" s="21"/>
      <c r="AC44" s="591"/>
      <c r="AD44" s="21"/>
      <c r="AE44" s="21"/>
      <c r="AF44" s="21"/>
      <c r="AG44" s="21"/>
      <c r="AH44" s="21"/>
      <c r="AI44" s="21"/>
      <c r="AJ44" s="21"/>
      <c r="AK44" s="21"/>
      <c r="AL44" s="21"/>
      <c r="AM44" s="21"/>
    </row>
    <row r="45" spans="1:39" ht="15.75" customHeight="1">
      <c r="A45" s="12" t="s">
        <v>110</v>
      </c>
      <c r="B45" s="220">
        <v>196</v>
      </c>
      <c r="C45" s="656"/>
      <c r="D45" s="234"/>
      <c r="E45" s="657"/>
      <c r="F45" s="655"/>
      <c r="G45" s="203"/>
      <c r="H45" s="203"/>
      <c r="I45" s="103"/>
      <c r="J45" s="103"/>
      <c r="K45" s="676"/>
      <c r="L45" s="677"/>
      <c r="M45" s="678"/>
      <c r="N45" s="678"/>
      <c r="O45" s="679"/>
      <c r="P45" s="245" t="str">
        <f t="shared" si="0"/>
        <v>LHY</v>
      </c>
      <c r="Q45" s="690">
        <f t="shared" si="1"/>
        <v>196</v>
      </c>
      <c r="R45" s="103"/>
      <c r="S45" s="603"/>
      <c r="T45" s="603"/>
      <c r="U45" s="103"/>
      <c r="V45" s="103"/>
      <c r="W45" s="103"/>
      <c r="X45" s="103"/>
      <c r="Y45" s="103"/>
      <c r="Z45" s="103"/>
      <c r="AA45" s="21"/>
      <c r="AB45" s="21"/>
      <c r="AC45" s="591"/>
      <c r="AD45" s="21"/>
      <c r="AE45" s="21"/>
      <c r="AF45" s="21"/>
      <c r="AG45" s="21"/>
      <c r="AH45" s="21"/>
      <c r="AI45" s="21"/>
      <c r="AJ45" s="21"/>
      <c r="AK45" s="21"/>
      <c r="AL45" s="21"/>
      <c r="AM45" s="21"/>
    </row>
    <row r="46" spans="1:39" ht="15.75" customHeight="1">
      <c r="A46" s="1" t="s">
        <v>127</v>
      </c>
      <c r="B46" s="220">
        <v>197</v>
      </c>
      <c r="C46" s="656"/>
      <c r="D46" s="234"/>
      <c r="E46" s="657"/>
      <c r="F46" s="655"/>
      <c r="G46" s="203"/>
      <c r="H46" s="203"/>
      <c r="I46" s="103"/>
      <c r="J46" s="103"/>
      <c r="K46" s="676"/>
      <c r="L46" s="677"/>
      <c r="M46" s="678"/>
      <c r="N46" s="678"/>
      <c r="O46" s="679"/>
      <c r="P46" s="245" t="str">
        <f t="shared" ref="P46:P63" si="5">A46</f>
        <v>HLW</v>
      </c>
      <c r="Q46" s="690">
        <v>197</v>
      </c>
      <c r="R46" s="103"/>
      <c r="S46" s="603"/>
      <c r="T46" s="603"/>
      <c r="U46" s="103"/>
      <c r="V46" s="103"/>
      <c r="W46" s="103"/>
      <c r="X46" s="103"/>
      <c r="Y46" s="103"/>
      <c r="Z46" s="103"/>
      <c r="AA46" s="21"/>
      <c r="AB46" s="21"/>
      <c r="AC46" s="591"/>
      <c r="AD46" s="21"/>
      <c r="AE46" s="21"/>
      <c r="AF46" s="21"/>
      <c r="AG46" s="21"/>
      <c r="AH46" s="21"/>
      <c r="AI46" s="21"/>
      <c r="AJ46" s="21"/>
      <c r="AK46" s="21"/>
      <c r="AL46" s="21"/>
      <c r="AM46" s="21"/>
    </row>
    <row r="47" spans="1:39" ht="15.75" customHeight="1">
      <c r="A47" s="1" t="s">
        <v>128</v>
      </c>
      <c r="B47" s="220">
        <v>198</v>
      </c>
      <c r="C47" s="656"/>
      <c r="D47" s="234"/>
      <c r="E47" s="657"/>
      <c r="F47" s="655"/>
      <c r="G47" s="203"/>
      <c r="H47" s="203"/>
      <c r="I47" s="103"/>
      <c r="J47" s="103"/>
      <c r="K47" s="680"/>
      <c r="L47" s="681"/>
      <c r="M47" s="682"/>
      <c r="N47" s="682"/>
      <c r="O47" s="504"/>
      <c r="P47" s="266" t="str">
        <f t="shared" si="5"/>
        <v>YLS</v>
      </c>
      <c r="Q47" s="690">
        <v>198</v>
      </c>
      <c r="R47" s="103"/>
      <c r="S47" s="603"/>
      <c r="T47" s="603"/>
      <c r="U47" s="103"/>
      <c r="V47" s="103"/>
      <c r="W47" s="103"/>
      <c r="X47" s="103"/>
      <c r="Y47" s="103"/>
      <c r="Z47" s="616"/>
      <c r="AA47" s="21"/>
      <c r="AB47" s="21"/>
      <c r="AC47" s="591"/>
      <c r="AD47" s="21"/>
      <c r="AE47" s="21"/>
      <c r="AF47" s="21"/>
      <c r="AG47" s="21"/>
      <c r="AH47" s="21"/>
      <c r="AI47" s="21"/>
      <c r="AJ47" s="21"/>
      <c r="AK47" s="21"/>
      <c r="AL47" s="21"/>
      <c r="AM47" s="21"/>
    </row>
    <row r="48" spans="1:39" ht="15.75" customHeight="1">
      <c r="A48" s="13" t="s">
        <v>130</v>
      </c>
      <c r="B48" s="220">
        <v>202</v>
      </c>
      <c r="C48" s="656"/>
      <c r="D48" s="234"/>
      <c r="E48" s="657"/>
      <c r="F48" s="655"/>
      <c r="G48" s="203"/>
      <c r="H48" s="203"/>
      <c r="I48" s="103"/>
      <c r="J48" s="513"/>
      <c r="K48" s="676"/>
      <c r="L48" s="677"/>
      <c r="M48" s="678"/>
      <c r="N48" s="678"/>
      <c r="O48" s="580"/>
      <c r="P48" s="245" t="str">
        <f t="shared" si="5"/>
        <v>WSY</v>
      </c>
      <c r="Q48" s="690">
        <f t="shared" ref="Q48:Q59" si="6">B48</f>
        <v>202</v>
      </c>
      <c r="R48" s="103"/>
      <c r="S48" s="517"/>
      <c r="T48" s="517"/>
      <c r="U48" s="103"/>
      <c r="V48" s="103"/>
      <c r="W48" s="103"/>
      <c r="X48" s="103"/>
      <c r="Y48" s="103"/>
      <c r="Z48" s="103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</row>
    <row r="49" spans="1:39" ht="15.75" customHeight="1">
      <c r="A49" s="10" t="s">
        <v>131</v>
      </c>
      <c r="B49" s="220">
        <v>203</v>
      </c>
      <c r="C49" s="656"/>
      <c r="D49" s="234"/>
      <c r="E49" s="657"/>
      <c r="F49" s="655"/>
      <c r="G49" s="203"/>
      <c r="H49" s="203"/>
      <c r="I49" s="103"/>
      <c r="J49" s="513"/>
      <c r="K49" s="676"/>
      <c r="L49" s="677"/>
      <c r="M49" s="678"/>
      <c r="N49" s="678"/>
      <c r="O49" s="580"/>
      <c r="P49" s="245" t="str">
        <f t="shared" si="5"/>
        <v>CCH</v>
      </c>
      <c r="Q49" s="690">
        <f t="shared" si="6"/>
        <v>203</v>
      </c>
      <c r="R49" s="103"/>
      <c r="S49" s="103" t="s">
        <v>49</v>
      </c>
      <c r="T49" s="604">
        <f>SUM(T41:T48)</f>
        <v>0</v>
      </c>
      <c r="U49" s="103"/>
      <c r="V49" s="103"/>
      <c r="W49" s="103"/>
      <c r="X49" s="103"/>
      <c r="Y49" s="103"/>
      <c r="Z49" s="103"/>
      <c r="AA49" s="21"/>
      <c r="AB49" s="21"/>
      <c r="AC49" s="591"/>
      <c r="AD49" s="21"/>
      <c r="AE49" s="21"/>
      <c r="AF49" s="21"/>
      <c r="AG49" s="21"/>
      <c r="AH49" s="21"/>
      <c r="AI49" s="21"/>
      <c r="AJ49" s="21"/>
      <c r="AK49" s="21"/>
      <c r="AL49" s="21"/>
      <c r="AM49" s="21"/>
    </row>
    <row r="50" spans="1:39" ht="15.75" customHeight="1">
      <c r="A50" s="10" t="s">
        <v>132</v>
      </c>
      <c r="B50" s="220">
        <v>204</v>
      </c>
      <c r="C50" s="656"/>
      <c r="D50" s="234"/>
      <c r="E50" s="657"/>
      <c r="F50" s="655"/>
      <c r="G50" s="203"/>
      <c r="H50" s="203"/>
      <c r="I50" s="103"/>
      <c r="J50" s="513"/>
      <c r="K50" s="676"/>
      <c r="L50" s="677"/>
      <c r="M50" s="678"/>
      <c r="N50" s="678"/>
      <c r="O50" s="580"/>
      <c r="P50" s="245" t="str">
        <f t="shared" si="5"/>
        <v>WWM</v>
      </c>
      <c r="Q50" s="690">
        <f t="shared" si="6"/>
        <v>204</v>
      </c>
      <c r="R50" s="103"/>
      <c r="S50" s="605"/>
      <c r="T50" s="103"/>
      <c r="U50" s="103"/>
      <c r="V50" s="103"/>
      <c r="W50" s="606"/>
      <c r="X50" s="103"/>
      <c r="Y50" s="103"/>
      <c r="Z50" s="103"/>
      <c r="AA50" s="21"/>
      <c r="AB50" s="21"/>
      <c r="AC50" s="591"/>
      <c r="AD50" s="21"/>
      <c r="AE50" s="21"/>
      <c r="AF50" s="21"/>
      <c r="AG50" s="21"/>
      <c r="AH50" s="21"/>
      <c r="AI50" s="21"/>
      <c r="AJ50" s="21"/>
      <c r="AK50" s="21"/>
      <c r="AL50" s="21"/>
      <c r="AM50" s="21"/>
    </row>
    <row r="51" spans="1:39" ht="15.75" customHeight="1">
      <c r="A51" s="13" t="s">
        <v>133</v>
      </c>
      <c r="B51" s="220">
        <v>205</v>
      </c>
      <c r="C51" s="656"/>
      <c r="D51" s="234"/>
      <c r="E51" s="657"/>
      <c r="F51" s="655"/>
      <c r="G51" s="203"/>
      <c r="H51" s="203"/>
      <c r="I51" s="103"/>
      <c r="J51" s="513"/>
      <c r="K51" s="676"/>
      <c r="L51" s="677"/>
      <c r="M51" s="678"/>
      <c r="N51" s="678"/>
      <c r="O51" s="580"/>
      <c r="P51" s="245" t="str">
        <f t="shared" si="5"/>
        <v>CSC</v>
      </c>
      <c r="Q51" s="690">
        <f t="shared" si="6"/>
        <v>205</v>
      </c>
      <c r="R51" s="103"/>
      <c r="S51" s="103"/>
      <c r="T51" s="103"/>
      <c r="U51" s="103"/>
      <c r="V51" s="103"/>
      <c r="W51" s="606"/>
      <c r="X51" s="103"/>
      <c r="Y51" s="103"/>
      <c r="Z51" s="103"/>
      <c r="AA51" s="21"/>
      <c r="AB51" s="21"/>
      <c r="AC51" s="591"/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r="52" spans="1:39" ht="15.75" customHeight="1">
      <c r="A52" s="13" t="s">
        <v>134</v>
      </c>
      <c r="B52" s="220">
        <v>206</v>
      </c>
      <c r="C52" s="656"/>
      <c r="D52" s="234"/>
      <c r="E52" s="657"/>
      <c r="F52" s="655"/>
      <c r="G52" s="203"/>
      <c r="H52" s="203"/>
      <c r="I52" s="103"/>
      <c r="J52" s="103"/>
      <c r="K52" s="684"/>
      <c r="L52" s="677"/>
      <c r="M52" s="684"/>
      <c r="N52" s="684"/>
      <c r="O52" s="580"/>
      <c r="P52" s="637" t="str">
        <f t="shared" si="5"/>
        <v>TFC</v>
      </c>
      <c r="Q52" s="690">
        <f t="shared" si="6"/>
        <v>206</v>
      </c>
      <c r="R52" s="103"/>
      <c r="S52" s="103"/>
      <c r="T52" s="103"/>
      <c r="U52" s="103"/>
      <c r="V52" s="103"/>
      <c r="W52" s="606"/>
      <c r="X52" s="103"/>
      <c r="Y52" s="103"/>
      <c r="Z52" s="103"/>
      <c r="AA52" s="21"/>
      <c r="AB52" s="21"/>
      <c r="AC52" s="591"/>
      <c r="AD52" s="21"/>
      <c r="AE52" s="21"/>
      <c r="AF52" s="21"/>
      <c r="AG52" s="21"/>
      <c r="AH52" s="21"/>
      <c r="AI52" s="21"/>
      <c r="AJ52" s="21"/>
      <c r="AK52" s="21"/>
      <c r="AL52" s="21"/>
      <c r="AM52" s="21"/>
    </row>
    <row r="53" spans="1:39" ht="15.75" customHeight="1">
      <c r="A53" s="16" t="s">
        <v>136</v>
      </c>
      <c r="B53" s="222">
        <v>208</v>
      </c>
      <c r="C53" s="658"/>
      <c r="D53" s="659"/>
      <c r="E53" s="660"/>
      <c r="F53" s="655"/>
      <c r="G53" s="201"/>
      <c r="H53" s="201"/>
      <c r="I53" s="581"/>
      <c r="J53" s="581"/>
      <c r="K53" s="685"/>
      <c r="L53" s="681"/>
      <c r="M53" s="685"/>
      <c r="N53" s="685"/>
      <c r="O53" s="584"/>
      <c r="P53" s="639" t="str">
        <f t="shared" si="5"/>
        <v>CHL</v>
      </c>
      <c r="Q53" s="690">
        <f t="shared" si="6"/>
        <v>208</v>
      </c>
      <c r="R53" s="103"/>
      <c r="S53" s="103"/>
      <c r="T53" s="103"/>
      <c r="U53" s="21"/>
      <c r="V53" s="103"/>
      <c r="W53" s="103"/>
      <c r="X53" s="103"/>
      <c r="Y53" s="103"/>
      <c r="Z53" s="103"/>
      <c r="AA53" s="21"/>
      <c r="AB53" s="21"/>
      <c r="AC53" s="591"/>
      <c r="AD53" s="21"/>
      <c r="AE53" s="21"/>
      <c r="AF53" s="21"/>
      <c r="AG53" s="21"/>
      <c r="AH53" s="21"/>
      <c r="AI53" s="21"/>
      <c r="AJ53" s="21"/>
      <c r="AK53" s="21"/>
      <c r="AL53" s="21"/>
      <c r="AM53" s="21"/>
    </row>
    <row r="54" spans="1:39" ht="15.75" customHeight="1">
      <c r="A54" s="663" t="s">
        <v>137</v>
      </c>
      <c r="B54" s="220">
        <v>209</v>
      </c>
      <c r="C54" s="656"/>
      <c r="D54" s="653"/>
      <c r="E54" s="654"/>
      <c r="F54" s="655"/>
      <c r="G54" s="205"/>
      <c r="H54" s="205"/>
      <c r="I54" s="574"/>
      <c r="J54" s="574"/>
      <c r="K54" s="684"/>
      <c r="L54" s="677"/>
      <c r="M54" s="684"/>
      <c r="N54" s="684"/>
      <c r="O54" s="580"/>
      <c r="P54" s="637" t="str">
        <f t="shared" si="5"/>
        <v>LCK</v>
      </c>
      <c r="Q54" s="690">
        <f t="shared" si="6"/>
        <v>209</v>
      </c>
      <c r="R54" s="103"/>
      <c r="S54" s="103"/>
      <c r="T54" s="103"/>
      <c r="U54" s="21"/>
      <c r="V54" s="103"/>
      <c r="W54" s="103"/>
      <c r="X54" s="103"/>
      <c r="Y54" s="103"/>
      <c r="Z54" s="103"/>
      <c r="AA54" s="21"/>
      <c r="AB54" s="21"/>
      <c r="AC54" s="591"/>
      <c r="AD54" s="21"/>
      <c r="AE54" s="21"/>
      <c r="AF54" s="21"/>
      <c r="AG54" s="21"/>
      <c r="AH54" s="21"/>
      <c r="AI54" s="21"/>
      <c r="AJ54" s="21"/>
      <c r="AK54" s="21"/>
      <c r="AL54" s="21"/>
      <c r="AM54" s="21"/>
    </row>
    <row r="55" spans="1:39" ht="15.75" customHeight="1">
      <c r="A55" s="664" t="s">
        <v>138</v>
      </c>
      <c r="B55" s="220">
        <v>210</v>
      </c>
      <c r="C55" s="656"/>
      <c r="D55" s="234"/>
      <c r="E55" s="657"/>
      <c r="F55" s="655"/>
      <c r="G55" s="203"/>
      <c r="H55" s="203"/>
      <c r="I55" s="103"/>
      <c r="J55" s="103"/>
      <c r="K55" s="684"/>
      <c r="L55" s="677"/>
      <c r="M55" s="684"/>
      <c r="N55" s="684"/>
      <c r="O55" s="580"/>
      <c r="P55" s="637" t="str">
        <f t="shared" si="5"/>
        <v>CYC</v>
      </c>
      <c r="Q55" s="690">
        <f t="shared" si="6"/>
        <v>210</v>
      </c>
      <c r="R55" s="103"/>
      <c r="S55" s="103"/>
      <c r="T55" s="103"/>
      <c r="U55" s="21"/>
      <c r="V55" s="103"/>
      <c r="W55" s="591"/>
      <c r="X55" s="103"/>
      <c r="Y55" s="103"/>
      <c r="Z55" s="103"/>
      <c r="AA55" s="21"/>
      <c r="AB55" s="21"/>
      <c r="AC55" s="591"/>
      <c r="AD55" s="21"/>
      <c r="AE55" s="21"/>
      <c r="AF55" s="21"/>
      <c r="AG55" s="21"/>
      <c r="AH55" s="21"/>
      <c r="AI55" s="21"/>
      <c r="AJ55" s="21"/>
      <c r="AK55" s="21"/>
      <c r="AL55" s="21"/>
      <c r="AM55" s="21"/>
    </row>
    <row r="56" spans="1:39" ht="15.75" customHeight="1">
      <c r="A56" s="13" t="s">
        <v>139</v>
      </c>
      <c r="B56" s="220">
        <v>211</v>
      </c>
      <c r="C56" s="656"/>
      <c r="D56" s="234"/>
      <c r="E56" s="657"/>
      <c r="F56" s="655"/>
      <c r="G56" s="203"/>
      <c r="H56" s="203"/>
      <c r="I56" s="103"/>
      <c r="J56" s="103"/>
      <c r="K56" s="684"/>
      <c r="L56" s="677"/>
      <c r="M56" s="684"/>
      <c r="N56" s="684"/>
      <c r="O56" s="580"/>
      <c r="P56" s="637" t="str">
        <f t="shared" si="5"/>
        <v>CPK</v>
      </c>
      <c r="Q56" s="690">
        <f t="shared" si="6"/>
        <v>211</v>
      </c>
      <c r="R56" s="103"/>
      <c r="S56" s="103"/>
      <c r="T56" s="103"/>
      <c r="U56" s="21"/>
      <c r="V56" s="103"/>
      <c r="W56" s="591"/>
      <c r="X56" s="103"/>
      <c r="Y56" s="103"/>
      <c r="Z56" s="103"/>
      <c r="AA56" s="21"/>
      <c r="AB56" s="21"/>
      <c r="AC56" s="591"/>
      <c r="AD56" s="21"/>
      <c r="AE56" s="21"/>
      <c r="AF56" s="21"/>
      <c r="AG56" s="21"/>
      <c r="AH56" s="21"/>
      <c r="AI56" s="21"/>
      <c r="AJ56" s="21"/>
      <c r="AK56" s="21"/>
      <c r="AL56" s="21"/>
      <c r="AM56" s="21"/>
    </row>
    <row r="57" spans="1:39" ht="15.75" customHeight="1">
      <c r="A57" s="10" t="s">
        <v>140</v>
      </c>
      <c r="B57" s="220">
        <v>213</v>
      </c>
      <c r="C57" s="656"/>
      <c r="D57" s="234"/>
      <c r="E57" s="657"/>
      <c r="F57" s="655"/>
      <c r="G57" s="203"/>
      <c r="H57" s="203"/>
      <c r="I57" s="103"/>
      <c r="J57" s="103"/>
      <c r="K57" s="684"/>
      <c r="L57" s="677"/>
      <c r="M57" s="684"/>
      <c r="N57" s="684"/>
      <c r="O57" s="580"/>
      <c r="P57" s="637" t="str">
        <f t="shared" si="5"/>
        <v>LZJ</v>
      </c>
      <c r="Q57" s="690">
        <f t="shared" si="6"/>
        <v>213</v>
      </c>
      <c r="R57" s="103"/>
      <c r="S57" s="103"/>
      <c r="T57" s="103"/>
      <c r="U57" s="21"/>
      <c r="V57" s="103"/>
      <c r="W57" s="591"/>
      <c r="X57" s="103"/>
      <c r="Y57" s="103"/>
      <c r="Z57" s="103"/>
      <c r="AA57" s="21"/>
      <c r="AB57" s="21"/>
      <c r="AC57" s="591"/>
      <c r="AD57" s="21"/>
      <c r="AE57" s="21"/>
      <c r="AF57" s="21"/>
      <c r="AG57" s="21"/>
      <c r="AH57" s="21"/>
      <c r="AI57" s="21"/>
      <c r="AJ57" s="21"/>
      <c r="AK57" s="21"/>
      <c r="AL57" s="21"/>
      <c r="AM57" s="21"/>
    </row>
    <row r="58" spans="1:39" ht="15.75" customHeight="1">
      <c r="A58" s="10" t="s">
        <v>141</v>
      </c>
      <c r="B58" s="220">
        <v>214</v>
      </c>
      <c r="C58" s="656"/>
      <c r="D58" s="234"/>
      <c r="E58" s="657"/>
      <c r="F58" s="655"/>
      <c r="G58" s="203"/>
      <c r="H58" s="203"/>
      <c r="I58" s="103"/>
      <c r="J58" s="203">
        <f>AA13</f>
        <v>0</v>
      </c>
      <c r="K58" s="684"/>
      <c r="L58" s="677"/>
      <c r="M58" s="684"/>
      <c r="N58" s="684"/>
      <c r="O58" s="580"/>
      <c r="P58" s="637" t="str">
        <f t="shared" si="5"/>
        <v>CKH</v>
      </c>
      <c r="Q58" s="690">
        <f t="shared" si="6"/>
        <v>214</v>
      </c>
      <c r="R58" s="103"/>
      <c r="S58" s="103"/>
      <c r="T58" s="103"/>
      <c r="U58" s="21"/>
      <c r="V58" s="103"/>
      <c r="W58" s="591"/>
      <c r="X58" s="103"/>
      <c r="Y58" s="103"/>
      <c r="Z58" s="103"/>
      <c r="AA58" s="21"/>
      <c r="AB58" s="21"/>
      <c r="AC58" s="591"/>
      <c r="AD58" s="21"/>
      <c r="AE58" s="21"/>
      <c r="AF58" s="21"/>
      <c r="AG58" s="21"/>
      <c r="AH58" s="21"/>
      <c r="AI58" s="21"/>
      <c r="AJ58" s="21"/>
      <c r="AK58" s="21"/>
      <c r="AL58" s="21"/>
      <c r="AM58" s="21"/>
    </row>
    <row r="59" spans="1:39" ht="15.75" customHeight="1">
      <c r="A59" s="10" t="s">
        <v>143</v>
      </c>
      <c r="B59" s="220">
        <v>217</v>
      </c>
      <c r="C59" s="656"/>
      <c r="D59" s="234"/>
      <c r="E59" s="657"/>
      <c r="F59" s="655"/>
      <c r="G59" s="203"/>
      <c r="H59" s="203"/>
      <c r="I59" s="103"/>
      <c r="J59" s="513"/>
      <c r="K59" s="676"/>
      <c r="L59" s="677"/>
      <c r="M59" s="678"/>
      <c r="N59" s="678"/>
      <c r="O59" s="580"/>
      <c r="P59" s="245" t="str">
        <f t="shared" si="5"/>
        <v>YSM</v>
      </c>
      <c r="Q59" s="690">
        <f t="shared" si="6"/>
        <v>217</v>
      </c>
      <c r="R59" s="103"/>
      <c r="S59" s="103"/>
      <c r="T59" s="103"/>
      <c r="U59" s="21"/>
      <c r="V59" s="103"/>
      <c r="W59" s="591"/>
      <c r="X59" s="103"/>
      <c r="Y59" s="103"/>
      <c r="Z59" s="103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</row>
    <row r="60" spans="1:39" ht="15.75" customHeight="1">
      <c r="A60" s="13" t="s">
        <v>144</v>
      </c>
      <c r="B60" s="220">
        <v>218</v>
      </c>
      <c r="C60" s="656"/>
      <c r="D60" s="234"/>
      <c r="E60" s="657"/>
      <c r="F60" s="655"/>
      <c r="G60" s="203"/>
      <c r="H60" s="203"/>
      <c r="I60" s="103"/>
      <c r="J60" s="513"/>
      <c r="K60" s="676"/>
      <c r="L60" s="677"/>
      <c r="M60" s="678"/>
      <c r="N60" s="678"/>
      <c r="O60" s="580"/>
      <c r="P60" s="245" t="str">
        <f t="shared" si="5"/>
        <v>YKF</v>
      </c>
      <c r="Q60" s="690">
        <v>218</v>
      </c>
      <c r="R60" s="103"/>
      <c r="S60" s="103"/>
      <c r="T60" s="103"/>
      <c r="U60" s="21"/>
      <c r="V60" s="103"/>
      <c r="W60" s="591"/>
      <c r="X60" s="103"/>
      <c r="Y60" s="103"/>
      <c r="Z60" s="103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</row>
    <row r="61" spans="1:39" ht="15.75" customHeight="1">
      <c r="A61" s="10" t="s">
        <v>246</v>
      </c>
      <c r="B61" s="220">
        <v>222</v>
      </c>
      <c r="C61" s="656"/>
      <c r="D61" s="234"/>
      <c r="E61" s="657"/>
      <c r="F61" s="655"/>
      <c r="G61" s="203"/>
      <c r="H61" s="203"/>
      <c r="I61" s="103"/>
      <c r="J61" s="188">
        <f>AA14</f>
        <v>0</v>
      </c>
      <c r="K61" s="676"/>
      <c r="L61" s="677"/>
      <c r="M61" s="678"/>
      <c r="N61" s="678"/>
      <c r="O61" s="580"/>
      <c r="P61" s="245" t="str">
        <f t="shared" si="5"/>
        <v>WKH</v>
      </c>
      <c r="Q61" s="690">
        <v>222</v>
      </c>
      <c r="R61" s="103"/>
      <c r="S61" s="103"/>
      <c r="T61" s="103"/>
      <c r="U61" s="21"/>
      <c r="V61" s="103"/>
      <c r="W61" s="591"/>
      <c r="X61" s="103"/>
      <c r="Y61" s="103"/>
      <c r="Z61" s="103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</row>
    <row r="62" spans="1:39" ht="15.75" customHeight="1">
      <c r="A62" s="10" t="s">
        <v>392</v>
      </c>
      <c r="B62" s="220">
        <v>223</v>
      </c>
      <c r="C62" s="656"/>
      <c r="D62" s="234"/>
      <c r="E62" s="657"/>
      <c r="F62" s="655"/>
      <c r="G62" s="203"/>
      <c r="H62" s="203"/>
      <c r="I62" s="103"/>
      <c r="J62" s="513"/>
      <c r="K62" s="676"/>
      <c r="L62" s="677"/>
      <c r="M62" s="678"/>
      <c r="N62" s="678"/>
      <c r="O62" s="580"/>
      <c r="P62" s="245" t="str">
        <f t="shared" si="5"/>
        <v>HCF</v>
      </c>
      <c r="Q62" s="690">
        <v>223</v>
      </c>
      <c r="R62" s="103"/>
      <c r="S62" s="103"/>
      <c r="T62" s="103"/>
      <c r="U62" s="21"/>
      <c r="V62" s="103"/>
      <c r="W62" s="591"/>
      <c r="X62" s="103"/>
      <c r="Y62" s="103"/>
      <c r="Z62" s="103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</row>
    <row r="63" spans="1:39" ht="15.75" customHeight="1">
      <c r="A63" s="8" t="s">
        <v>247</v>
      </c>
      <c r="B63" s="222">
        <v>224</v>
      </c>
      <c r="C63" s="656"/>
      <c r="D63" s="659"/>
      <c r="E63" s="660"/>
      <c r="F63" s="655"/>
      <c r="G63" s="201"/>
      <c r="H63" s="201"/>
      <c r="I63" s="581"/>
      <c r="J63" s="514"/>
      <c r="K63" s="680"/>
      <c r="L63" s="681"/>
      <c r="M63" s="682"/>
      <c r="N63" s="682"/>
      <c r="O63" s="584"/>
      <c r="P63" s="266" t="str">
        <f t="shared" si="5"/>
        <v>PKH</v>
      </c>
      <c r="Q63" s="690">
        <f>B63</f>
        <v>224</v>
      </c>
      <c r="R63" s="103"/>
      <c r="S63" s="103"/>
      <c r="T63" s="103"/>
      <c r="U63" s="21"/>
      <c r="V63" s="103"/>
      <c r="W63" s="591"/>
      <c r="X63" s="103"/>
      <c r="Y63" s="103"/>
      <c r="Z63" s="103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</row>
    <row r="64" spans="1:39" ht="15.75" customHeight="1">
      <c r="A64" s="1"/>
      <c r="B64" s="220"/>
      <c r="C64" s="656"/>
      <c r="D64" s="234"/>
      <c r="E64" s="657"/>
      <c r="F64" s="655"/>
      <c r="G64" s="203"/>
      <c r="H64" s="203"/>
      <c r="I64" s="103"/>
      <c r="J64" s="103" t="s">
        <v>49</v>
      </c>
      <c r="K64" s="686">
        <f>SUM(K3:K63)</f>
        <v>0</v>
      </c>
      <c r="L64" s="687">
        <f>SUM(L3:L63)</f>
        <v>0</v>
      </c>
      <c r="M64" s="687">
        <f>SUM(M3:M63)</f>
        <v>0</v>
      </c>
      <c r="N64" s="688"/>
      <c r="O64" s="679"/>
      <c r="P64" s="245"/>
      <c r="Q64" s="690" t="s">
        <v>145</v>
      </c>
      <c r="R64" s="103"/>
      <c r="S64" s="103"/>
      <c r="T64" s="103"/>
      <c r="U64" s="21"/>
      <c r="V64" s="103"/>
      <c r="W64" s="591"/>
      <c r="X64" s="103"/>
      <c r="Y64" s="103"/>
      <c r="Z64" s="103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</row>
    <row r="65" spans="1:39" ht="15.75" customHeight="1">
      <c r="A65" s="1"/>
      <c r="B65" s="220"/>
      <c r="C65" s="656"/>
      <c r="D65" s="234"/>
      <c r="E65" s="657"/>
      <c r="F65" s="655"/>
      <c r="G65" s="203"/>
      <c r="H65" s="203"/>
      <c r="I65" s="103"/>
      <c r="J65" s="103"/>
      <c r="K65" s="194"/>
      <c r="L65" s="194"/>
      <c r="M65" s="194"/>
      <c r="N65" s="194"/>
      <c r="O65" s="584"/>
      <c r="P65" s="266">
        <f t="shared" ref="P65:P76" si="7">A65</f>
        <v>0</v>
      </c>
      <c r="Q65" s="690">
        <f t="shared" ref="Q65:Q76" si="8">B65</f>
        <v>0</v>
      </c>
      <c r="R65" s="103"/>
      <c r="S65" s="103"/>
      <c r="T65" s="103"/>
      <c r="U65" s="21"/>
      <c r="V65" s="103"/>
      <c r="W65" s="591"/>
      <c r="X65" s="103"/>
      <c r="Y65" s="103"/>
      <c r="Z65" s="103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</row>
    <row r="66" spans="1:39" ht="15.75" customHeight="1">
      <c r="A66" s="21"/>
      <c r="B66" s="220" t="s">
        <v>147</v>
      </c>
      <c r="C66" s="656"/>
      <c r="D66" s="234"/>
      <c r="E66" s="657"/>
      <c r="F66" s="655"/>
      <c r="G66" s="203"/>
      <c r="H66" s="203"/>
      <c r="I66" s="103"/>
      <c r="J66" s="103"/>
      <c r="K66" s="629"/>
      <c r="L66" s="629"/>
      <c r="M66" s="629"/>
      <c r="N66" s="629"/>
      <c r="O66" s="632">
        <f t="shared" ref="O66:O76" si="9">C66+F66</f>
        <v>0</v>
      </c>
      <c r="P66" s="252">
        <f t="shared" si="7"/>
        <v>0</v>
      </c>
      <c r="Q66" s="690" t="str">
        <f t="shared" si="8"/>
        <v>TAP</v>
      </c>
      <c r="R66" s="103"/>
      <c r="S66" s="103"/>
      <c r="T66" s="103"/>
      <c r="U66" s="21"/>
      <c r="V66" s="103"/>
      <c r="W66" s="591"/>
      <c r="X66" s="103"/>
      <c r="Y66" s="103"/>
      <c r="Z66" s="103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</row>
    <row r="67" spans="1:39" ht="15.75" customHeight="1">
      <c r="A67" s="21" t="s">
        <v>256</v>
      </c>
      <c r="B67" s="700" t="s">
        <v>257</v>
      </c>
      <c r="C67" s="656"/>
      <c r="D67" s="234"/>
      <c r="E67" s="657"/>
      <c r="F67" s="655"/>
      <c r="G67" s="203"/>
      <c r="H67" s="203"/>
      <c r="I67" s="103"/>
      <c r="J67" s="103"/>
      <c r="K67" s="187"/>
      <c r="L67" s="187"/>
      <c r="M67" s="187"/>
      <c r="N67" s="187"/>
      <c r="O67" s="632">
        <f t="shared" si="9"/>
        <v>0</v>
      </c>
      <c r="P67" s="637" t="str">
        <f t="shared" si="7"/>
        <v>Janitors</v>
      </c>
      <c r="Q67" s="690" t="str">
        <f t="shared" si="8"/>
        <v>J</v>
      </c>
      <c r="R67" s="103"/>
      <c r="S67" s="103"/>
      <c r="T67" s="103"/>
      <c r="U67" s="21"/>
      <c r="V67" s="103"/>
      <c r="W67" s="591"/>
      <c r="X67" s="103"/>
      <c r="Y67" s="103"/>
      <c r="Z67" s="103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</row>
    <row r="68" spans="1:39" ht="15.75" customHeight="1">
      <c r="A68" s="21"/>
      <c r="B68" s="701" t="s">
        <v>148</v>
      </c>
      <c r="C68" s="656"/>
      <c r="D68" s="234"/>
      <c r="E68" s="657"/>
      <c r="F68" s="655"/>
      <c r="G68" s="203"/>
      <c r="H68" s="203"/>
      <c r="I68" s="103"/>
      <c r="J68" s="103"/>
      <c r="K68" s="187"/>
      <c r="L68" s="187"/>
      <c r="M68" s="187"/>
      <c r="N68" s="187"/>
      <c r="O68" s="632">
        <f t="shared" si="9"/>
        <v>0</v>
      </c>
      <c r="P68" s="638">
        <f t="shared" si="7"/>
        <v>0</v>
      </c>
      <c r="Q68" s="690" t="str">
        <f t="shared" si="8"/>
        <v>IEC3</v>
      </c>
      <c r="R68" s="103"/>
      <c r="S68" s="103"/>
      <c r="T68" s="103"/>
      <c r="U68" s="21"/>
      <c r="V68" s="103"/>
      <c r="W68" s="591"/>
      <c r="X68" s="103"/>
      <c r="Y68" s="103"/>
      <c r="Z68" s="103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</row>
    <row r="69" spans="1:39" ht="15.75" customHeight="1">
      <c r="A69" s="21"/>
      <c r="B69" s="220" t="s">
        <v>50</v>
      </c>
      <c r="C69" s="656"/>
      <c r="D69" s="234"/>
      <c r="E69" s="657"/>
      <c r="F69" s="655"/>
      <c r="G69" s="203"/>
      <c r="H69" s="203"/>
      <c r="I69" s="103"/>
      <c r="J69" s="103"/>
      <c r="K69" s="187"/>
      <c r="L69" s="187"/>
      <c r="M69" s="187"/>
      <c r="N69" s="187"/>
      <c r="O69" s="632">
        <f t="shared" si="9"/>
        <v>0</v>
      </c>
      <c r="P69" s="638">
        <f t="shared" si="7"/>
        <v>0</v>
      </c>
      <c r="Q69" s="690" t="str">
        <f t="shared" si="8"/>
        <v>IES2</v>
      </c>
      <c r="R69" s="103"/>
      <c r="S69" s="103"/>
      <c r="T69" s="103"/>
      <c r="U69" s="21"/>
      <c r="V69" s="103"/>
      <c r="W69" s="591"/>
      <c r="X69" s="103"/>
      <c r="Y69" s="103"/>
      <c r="Z69" s="103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</row>
    <row r="70" spans="1:39" ht="15.75" customHeight="1">
      <c r="A70" s="21"/>
      <c r="B70" s="220"/>
      <c r="C70" s="656"/>
      <c r="D70" s="234"/>
      <c r="E70" s="657"/>
      <c r="F70" s="655"/>
      <c r="G70" s="203"/>
      <c r="H70" s="203"/>
      <c r="I70" s="103"/>
      <c r="J70" s="103"/>
      <c r="K70" s="187"/>
      <c r="L70" s="187"/>
      <c r="M70" s="187"/>
      <c r="N70" s="187"/>
      <c r="O70" s="632">
        <f t="shared" si="9"/>
        <v>0</v>
      </c>
      <c r="P70" s="638">
        <f t="shared" si="7"/>
        <v>0</v>
      </c>
      <c r="Q70" s="690">
        <f t="shared" si="8"/>
        <v>0</v>
      </c>
      <c r="R70" s="103"/>
      <c r="S70" s="103"/>
      <c r="T70" s="103"/>
      <c r="U70" s="21"/>
      <c r="V70" s="103"/>
      <c r="W70" s="591"/>
      <c r="X70" s="103"/>
      <c r="Y70" s="103"/>
      <c r="Z70" s="103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</row>
    <row r="71" spans="1:39" ht="15.75" customHeight="1">
      <c r="A71" s="21"/>
      <c r="B71" s="220"/>
      <c r="C71" s="656"/>
      <c r="D71" s="234"/>
      <c r="E71" s="657"/>
      <c r="F71" s="655"/>
      <c r="G71" s="203"/>
      <c r="H71" s="203"/>
      <c r="I71" s="103"/>
      <c r="J71" s="103"/>
      <c r="K71" s="194"/>
      <c r="L71" s="194"/>
      <c r="M71" s="194"/>
      <c r="N71" s="194"/>
      <c r="O71" s="632">
        <f t="shared" si="9"/>
        <v>0</v>
      </c>
      <c r="P71" s="639">
        <f t="shared" si="7"/>
        <v>0</v>
      </c>
      <c r="Q71" s="690">
        <f t="shared" si="8"/>
        <v>0</v>
      </c>
      <c r="R71" s="103"/>
      <c r="S71" s="103"/>
      <c r="T71" s="103"/>
      <c r="U71" s="21"/>
      <c r="V71" s="103"/>
      <c r="W71" s="591"/>
      <c r="X71" s="103"/>
      <c r="Y71" s="103"/>
      <c r="Z71" s="103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</row>
    <row r="72" spans="1:39" ht="15.75" customHeight="1">
      <c r="A72" s="1" t="s">
        <v>136</v>
      </c>
      <c r="B72" s="220">
        <v>88</v>
      </c>
      <c r="C72" s="656"/>
      <c r="D72" s="234"/>
      <c r="E72" s="657"/>
      <c r="F72" s="655"/>
      <c r="G72" s="203"/>
      <c r="H72" s="203"/>
      <c r="I72" s="103"/>
      <c r="J72" s="103"/>
      <c r="K72" s="187"/>
      <c r="L72" s="187"/>
      <c r="M72" s="187"/>
      <c r="N72" s="187"/>
      <c r="O72" s="632">
        <f t="shared" si="9"/>
        <v>0</v>
      </c>
      <c r="P72" s="640" t="str">
        <f t="shared" si="7"/>
        <v>CHL</v>
      </c>
      <c r="Q72" s="690">
        <f t="shared" si="8"/>
        <v>88</v>
      </c>
      <c r="R72" s="103"/>
      <c r="S72" s="103"/>
      <c r="T72" s="103"/>
      <c r="U72" s="21"/>
      <c r="V72" s="103"/>
      <c r="W72" s="591"/>
      <c r="X72" s="103"/>
      <c r="Y72" s="103"/>
      <c r="Z72" s="103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</row>
    <row r="73" spans="1:39" ht="15.75" customHeight="1">
      <c r="A73" s="1" t="s">
        <v>152</v>
      </c>
      <c r="B73" s="220">
        <v>220</v>
      </c>
      <c r="C73" s="656"/>
      <c r="D73" s="234"/>
      <c r="E73" s="657"/>
      <c r="F73" s="655"/>
      <c r="G73" s="203"/>
      <c r="H73" s="203"/>
      <c r="I73" s="103"/>
      <c r="J73" s="103"/>
      <c r="K73" s="187"/>
      <c r="L73" s="187"/>
      <c r="M73" s="187"/>
      <c r="N73" s="187"/>
      <c r="O73" s="632">
        <f t="shared" si="9"/>
        <v>0</v>
      </c>
      <c r="P73" s="637" t="str">
        <f t="shared" si="7"/>
        <v>William</v>
      </c>
      <c r="Q73" s="690">
        <f t="shared" si="8"/>
        <v>220</v>
      </c>
      <c r="R73" s="103"/>
      <c r="S73" s="103"/>
      <c r="T73" s="103"/>
      <c r="U73" s="21"/>
      <c r="V73" s="103"/>
      <c r="W73" s="591"/>
      <c r="X73" s="103"/>
      <c r="Y73" s="103"/>
      <c r="Z73" s="103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</row>
    <row r="74" spans="1:39" ht="15.75" customHeight="1">
      <c r="A74" s="1" t="s">
        <v>153</v>
      </c>
      <c r="B74" s="220">
        <v>221</v>
      </c>
      <c r="C74" s="656"/>
      <c r="D74" s="234"/>
      <c r="E74" s="657"/>
      <c r="F74" s="655"/>
      <c r="G74" s="203"/>
      <c r="H74" s="203"/>
      <c r="I74" s="103"/>
      <c r="J74" s="103"/>
      <c r="K74" s="187"/>
      <c r="L74" s="187"/>
      <c r="M74" s="187"/>
      <c r="N74" s="187"/>
      <c r="O74" s="632">
        <f t="shared" si="9"/>
        <v>0</v>
      </c>
      <c r="P74" s="637" t="str">
        <f t="shared" si="7"/>
        <v>Joslyn</v>
      </c>
      <c r="Q74" s="690">
        <f t="shared" si="8"/>
        <v>221</v>
      </c>
      <c r="R74" s="103"/>
      <c r="S74" s="103"/>
      <c r="T74" s="103"/>
      <c r="U74" s="21"/>
      <c r="V74" s="103"/>
      <c r="W74" s="103"/>
      <c r="X74" s="103"/>
      <c r="Y74" s="103"/>
      <c r="Z74" s="103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</row>
    <row r="75" spans="1:39" ht="15.75" customHeight="1">
      <c r="A75" s="1" t="s">
        <v>258</v>
      </c>
      <c r="B75" s="220">
        <v>227</v>
      </c>
      <c r="C75" s="656"/>
      <c r="D75" s="234"/>
      <c r="E75" s="657"/>
      <c r="F75" s="655"/>
      <c r="G75" s="203"/>
      <c r="H75" s="203"/>
      <c r="I75" s="103"/>
      <c r="J75" s="103"/>
      <c r="K75" s="187"/>
      <c r="L75" s="187"/>
      <c r="M75" s="187"/>
      <c r="N75" s="187"/>
      <c r="O75" s="632">
        <f t="shared" si="9"/>
        <v>0</v>
      </c>
      <c r="P75" s="637" t="str">
        <f t="shared" si="7"/>
        <v>Tse Pui Yuen(ChiTA)</v>
      </c>
      <c r="Q75" s="690">
        <f t="shared" si="8"/>
        <v>227</v>
      </c>
      <c r="R75" s="103"/>
      <c r="S75" s="103"/>
      <c r="T75" s="103"/>
      <c r="U75" s="21"/>
      <c r="V75" s="103"/>
      <c r="W75" s="103"/>
      <c r="X75" s="103"/>
      <c r="Y75" s="103"/>
      <c r="Z75" s="103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</row>
    <row r="76" spans="1:39" ht="15.75" customHeight="1">
      <c r="A76" s="1" t="s">
        <v>259</v>
      </c>
      <c r="B76" s="222">
        <v>228</v>
      </c>
      <c r="C76" s="658"/>
      <c r="D76" s="234"/>
      <c r="E76" s="657"/>
      <c r="F76" s="655"/>
      <c r="G76" s="203"/>
      <c r="H76" s="203"/>
      <c r="I76" s="103"/>
      <c r="J76" s="203">
        <f>AA15</f>
        <v>0</v>
      </c>
      <c r="K76" s="194"/>
      <c r="L76" s="194"/>
      <c r="M76" s="194"/>
      <c r="N76" s="194"/>
      <c r="O76" s="632">
        <f t="shared" si="9"/>
        <v>0</v>
      </c>
      <c r="P76" s="639" t="str">
        <f t="shared" si="7"/>
        <v>Ng Yin To (BioLab)</v>
      </c>
      <c r="Q76" s="690">
        <f t="shared" si="8"/>
        <v>228</v>
      </c>
      <c r="R76" s="103"/>
      <c r="S76" s="103"/>
      <c r="T76" s="103"/>
      <c r="U76" s="21"/>
      <c r="V76" s="103"/>
      <c r="W76" s="103"/>
      <c r="X76" s="103"/>
      <c r="Y76" s="103"/>
      <c r="Z76" s="103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</row>
    <row r="77" spans="1:39" ht="15.75" customHeight="1">
      <c r="A77" s="702"/>
      <c r="B77" s="703"/>
      <c r="C77" s="704"/>
      <c r="D77" s="704">
        <f>SUM(D3:D76)</f>
        <v>0</v>
      </c>
      <c r="E77" s="228"/>
      <c r="F77" s="704">
        <f>SUM(F3:F76)</f>
        <v>0</v>
      </c>
      <c r="G77" s="704">
        <f>SUM(G3:G76)</f>
        <v>0</v>
      </c>
      <c r="H77" s="704">
        <f>SUM(H3:H76)</f>
        <v>0</v>
      </c>
      <c r="I77" s="704"/>
      <c r="J77" s="704">
        <f>SUM(J3:J76)</f>
        <v>0</v>
      </c>
      <c r="K77" s="228"/>
      <c r="L77" s="228"/>
      <c r="M77" s="228"/>
      <c r="N77" s="228"/>
      <c r="O77" s="228"/>
      <c r="P77" s="709"/>
      <c r="Q77" s="711"/>
      <c r="R77" s="103"/>
      <c r="S77" s="103"/>
      <c r="T77" s="103"/>
      <c r="U77" s="21"/>
      <c r="V77" s="103"/>
      <c r="W77" s="103"/>
      <c r="X77" s="103"/>
      <c r="Y77" s="103"/>
      <c r="Z77" s="103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</row>
    <row r="78" spans="1:39" ht="15.75" customHeight="1">
      <c r="A78" s="21"/>
      <c r="B78" s="705"/>
      <c r="C78" s="706" t="e">
        <f>AVERAGE(#REF!,#REF!,#REF!,#REF!,#REF!,#REF!,#REF!,#REF!,#REF!,#REF!,#REF!,#REF!,#REF!,#REF!,#REF!,#REF!,#REF!,#REF!,#REF!,#REF!,#REF!,#REF!,#REF!,#REF!,#REF!,#REF!,#REF!,#REF!,#REF!,#REF!,#REF!,#REF!,#REF!,#REF!,#REF!)</f>
        <v>#REF!</v>
      </c>
      <c r="D78" s="706"/>
      <c r="E78" s="707" t="s">
        <v>154</v>
      </c>
      <c r="F78" s="708"/>
      <c r="G78" s="708"/>
      <c r="H78" s="708"/>
      <c r="I78" s="708"/>
      <c r="J78" s="708"/>
      <c r="K78" s="708"/>
      <c r="L78" s="708"/>
      <c r="M78" s="708"/>
      <c r="N78" s="708"/>
      <c r="O78" s="710"/>
      <c r="P78" s="1"/>
      <c r="Q78" s="592"/>
      <c r="R78" s="103"/>
      <c r="S78" s="103"/>
      <c r="T78" s="103"/>
      <c r="U78" s="103"/>
      <c r="V78" s="103"/>
      <c r="W78" s="103"/>
      <c r="X78" s="103"/>
      <c r="Y78" s="103"/>
      <c r="Z78" s="103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</row>
    <row r="79" spans="1:39" ht="15.75" customHeight="1">
      <c r="A79" s="21"/>
      <c r="B79" s="21"/>
      <c r="C79" s="1"/>
      <c r="D79" s="1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"/>
      <c r="Q79" s="592"/>
      <c r="R79" s="103"/>
      <c r="S79" s="103"/>
      <c r="T79" s="592"/>
      <c r="U79" s="103"/>
      <c r="V79" s="103"/>
      <c r="W79" s="103"/>
      <c r="X79" s="103"/>
      <c r="Y79" s="103"/>
      <c r="Z79" s="103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</row>
    <row r="80" spans="1:39" ht="15.75" customHeight="1">
      <c r="A80" s="21"/>
      <c r="B80" s="617"/>
      <c r="C80" s="1"/>
      <c r="D80" s="1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"/>
      <c r="Q80" s="592"/>
      <c r="R80" s="103"/>
      <c r="S80" s="103"/>
      <c r="T80" s="103"/>
      <c r="U80" s="103"/>
      <c r="V80" s="103"/>
      <c r="W80" s="103"/>
      <c r="X80" s="103"/>
      <c r="Y80" s="103"/>
      <c r="Z80" s="103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</row>
    <row r="81" spans="1:39" ht="15.75" customHeight="1">
      <c r="A81" s="21"/>
      <c r="B81" s="21"/>
      <c r="C81" s="1"/>
      <c r="D81" s="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1"/>
      <c r="Q81" s="592"/>
      <c r="R81" s="103"/>
      <c r="S81" s="103"/>
      <c r="T81" s="103"/>
      <c r="U81" s="103"/>
      <c r="V81" s="103"/>
      <c r="W81" s="103"/>
      <c r="X81" s="103"/>
      <c r="Y81" s="103"/>
      <c r="Z81" s="103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</row>
    <row r="82" spans="1:39" ht="15.75" customHeight="1">
      <c r="A82" s="21"/>
      <c r="B82" s="21"/>
      <c r="C82" s="1"/>
      <c r="D82" s="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1"/>
      <c r="Q82" s="591"/>
      <c r="R82" s="103"/>
      <c r="S82" s="103"/>
      <c r="T82" s="103"/>
      <c r="U82" s="103"/>
      <c r="V82" s="103"/>
      <c r="W82" s="103"/>
      <c r="X82" s="103"/>
      <c r="Y82" s="103"/>
      <c r="Z82" s="103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</row>
    <row r="83" spans="1:39" ht="15.75" customHeight="1">
      <c r="A83" s="239"/>
      <c r="B83" s="21"/>
      <c r="C83" s="1"/>
      <c r="D83" s="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1"/>
      <c r="Q83" s="591"/>
      <c r="R83" s="103"/>
      <c r="S83" s="103"/>
      <c r="T83" s="103"/>
      <c r="U83" s="103"/>
      <c r="V83" s="103"/>
      <c r="W83" s="103"/>
      <c r="X83" s="103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</row>
    <row r="84" spans="1:39" ht="15.75" customHeight="1">
      <c r="A84" s="21"/>
      <c r="B84" s="21"/>
      <c r="C84" s="1"/>
      <c r="D84" s="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1"/>
      <c r="Q84" s="591"/>
      <c r="R84" s="103"/>
      <c r="S84" s="103"/>
      <c r="T84" s="103"/>
      <c r="U84" s="103"/>
      <c r="V84" s="103"/>
      <c r="W84" s="103"/>
      <c r="X84" s="103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</row>
    <row r="85" spans="1:39" ht="15.75" customHeight="1">
      <c r="A85" s="21"/>
      <c r="B85" s="21"/>
      <c r="C85" s="1"/>
      <c r="D85" s="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1"/>
      <c r="Q85" s="591"/>
      <c r="R85" s="103"/>
      <c r="S85" s="103"/>
      <c r="T85" s="103"/>
      <c r="U85" s="103"/>
      <c r="V85" s="103"/>
      <c r="W85" s="103"/>
      <c r="X85" s="103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</row>
    <row r="86" spans="1:39" ht="15.75" customHeight="1">
      <c r="A86" s="21"/>
      <c r="B86" s="21"/>
      <c r="C86" s="1"/>
      <c r="D86" s="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1"/>
      <c r="Q86" s="591"/>
      <c r="R86" s="103"/>
      <c r="S86" s="103"/>
      <c r="T86" s="103"/>
      <c r="U86" s="103"/>
      <c r="V86" s="103"/>
      <c r="W86" s="103"/>
      <c r="X86" s="103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1:39" ht="15.75" customHeight="1">
      <c r="A87" s="21"/>
      <c r="B87" s="21"/>
      <c r="C87" s="1"/>
      <c r="D87" s="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1"/>
      <c r="Q87" s="591"/>
      <c r="R87" s="103"/>
      <c r="S87" s="103"/>
      <c r="T87" s="103"/>
      <c r="U87" s="103"/>
      <c r="V87" s="103"/>
      <c r="W87" s="103"/>
      <c r="X87" s="103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</row>
    <row r="88" spans="1:39" ht="15.75" customHeight="1">
      <c r="A88" s="21"/>
      <c r="B88" s="21"/>
      <c r="C88" s="1"/>
      <c r="D88" s="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1"/>
      <c r="Q88" s="591"/>
      <c r="R88" s="103"/>
      <c r="S88" s="103"/>
      <c r="T88" s="103"/>
      <c r="U88" s="103"/>
      <c r="V88" s="103"/>
      <c r="W88" s="103"/>
      <c r="X88" s="103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1:39" ht="15.75" customHeight="1">
      <c r="A89" s="21"/>
      <c r="B89" s="21"/>
      <c r="C89" s="1"/>
      <c r="D89" s="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1"/>
      <c r="Q89" s="591"/>
      <c r="R89" s="103"/>
      <c r="S89" s="103"/>
      <c r="T89" s="103"/>
      <c r="U89" s="103"/>
      <c r="V89" s="103"/>
      <c r="W89" s="103"/>
      <c r="X89" s="103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</row>
    <row r="90" spans="1:39" ht="15.75" customHeight="1">
      <c r="A90" s="21"/>
      <c r="B90" s="21"/>
      <c r="C90" s="1"/>
      <c r="D90" s="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1"/>
      <c r="Q90" s="591"/>
      <c r="R90" s="103"/>
      <c r="S90" s="103"/>
      <c r="T90" s="103"/>
      <c r="U90" s="103"/>
      <c r="V90" s="103"/>
      <c r="W90" s="103"/>
      <c r="X90" s="103"/>
      <c r="Y90" s="10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</row>
    <row r="91" spans="1:39" ht="15.75" customHeight="1">
      <c r="A91" s="21"/>
      <c r="B91" s="21"/>
      <c r="C91" s="1"/>
      <c r="D91" s="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1"/>
      <c r="Q91" s="591"/>
      <c r="R91" s="103"/>
      <c r="S91" s="103"/>
      <c r="T91" s="103"/>
      <c r="U91" s="103"/>
      <c r="V91" s="103"/>
      <c r="W91" s="103"/>
      <c r="X91" s="103"/>
      <c r="Y91" s="103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</row>
    <row r="92" spans="1:39" ht="15.75" customHeight="1">
      <c r="A92" s="21"/>
      <c r="B92" s="21"/>
      <c r="C92" s="1"/>
      <c r="D92" s="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1"/>
      <c r="Q92" s="591"/>
      <c r="R92" s="103"/>
      <c r="S92" s="103"/>
      <c r="T92" s="103"/>
      <c r="U92" s="103"/>
      <c r="V92" s="103"/>
      <c r="W92" s="103"/>
      <c r="X92" s="103"/>
      <c r="Y92" s="103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</row>
    <row r="93" spans="1:39" ht="15.75" customHeight="1">
      <c r="A93" s="21"/>
      <c r="B93" s="21"/>
      <c r="C93" s="1"/>
      <c r="D93" s="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1"/>
      <c r="Q93" s="591"/>
      <c r="R93" s="103"/>
      <c r="S93" s="103"/>
      <c r="T93" s="103"/>
      <c r="U93" s="103"/>
      <c r="V93" s="103"/>
      <c r="W93" s="103"/>
      <c r="X93" s="103"/>
      <c r="Y93" s="103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</row>
    <row r="94" spans="1:39" ht="15.75" customHeight="1">
      <c r="A94" s="21"/>
      <c r="B94" s="21"/>
      <c r="C94" s="1"/>
      <c r="D94" s="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1"/>
      <c r="Q94" s="591"/>
      <c r="R94" s="103"/>
      <c r="S94" s="103"/>
      <c r="T94" s="103"/>
      <c r="U94" s="103"/>
      <c r="V94" s="103"/>
      <c r="W94" s="103"/>
      <c r="X94" s="103"/>
      <c r="Y94" s="103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</row>
    <row r="95" spans="1:39" ht="15.75" customHeight="1">
      <c r="A95" s="21"/>
      <c r="B95" s="21"/>
      <c r="C95" s="1"/>
      <c r="D95" s="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1"/>
      <c r="Q95" s="591"/>
      <c r="R95" s="103"/>
      <c r="S95" s="103"/>
      <c r="T95" s="103"/>
      <c r="U95" s="103"/>
      <c r="V95" s="103"/>
      <c r="W95" s="103"/>
      <c r="X95" s="103"/>
      <c r="Y95" s="103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</row>
    <row r="96" spans="1:39" ht="15.75" customHeight="1">
      <c r="A96" s="21"/>
      <c r="B96" s="21"/>
      <c r="C96" s="1"/>
      <c r="D96" s="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1"/>
      <c r="Q96" s="591"/>
      <c r="R96" s="103"/>
      <c r="S96" s="103"/>
      <c r="T96" s="103"/>
      <c r="U96" s="103"/>
      <c r="V96" s="103"/>
      <c r="W96" s="103"/>
      <c r="X96" s="103"/>
      <c r="Y96" s="103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</row>
    <row r="97" spans="1:39" ht="15.75" customHeight="1">
      <c r="A97" s="21"/>
      <c r="B97" s="21"/>
      <c r="C97" s="1"/>
      <c r="D97" s="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1"/>
      <c r="Q97" s="591"/>
      <c r="R97" s="103"/>
      <c r="S97" s="103"/>
      <c r="T97" s="103"/>
      <c r="U97" s="103"/>
      <c r="V97" s="103"/>
      <c r="W97" s="103"/>
      <c r="X97" s="103"/>
      <c r="Y97" s="103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</row>
    <row r="98" spans="1:39" ht="15.75" customHeight="1">
      <c r="A98" s="21"/>
      <c r="B98" s="21"/>
      <c r="C98" s="1"/>
      <c r="D98" s="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1"/>
      <c r="Q98" s="591"/>
      <c r="R98" s="103"/>
      <c r="S98" s="103"/>
      <c r="T98" s="103"/>
      <c r="U98" s="103"/>
      <c r="V98" s="103"/>
      <c r="W98" s="103"/>
      <c r="X98" s="103"/>
      <c r="Y98" s="103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</row>
    <row r="99" spans="1:39" ht="15.75" customHeight="1">
      <c r="A99" s="21"/>
      <c r="B99" s="21"/>
      <c r="C99" s="1"/>
      <c r="D99" s="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1"/>
      <c r="Q99" s="591"/>
      <c r="R99" s="103"/>
      <c r="S99" s="103"/>
      <c r="T99" s="103"/>
      <c r="U99" s="103"/>
      <c r="V99" s="103"/>
      <c r="W99" s="103"/>
      <c r="X99" s="103"/>
      <c r="Y99" s="103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</row>
    <row r="100" spans="1:39" ht="15.75" customHeight="1">
      <c r="A100" s="21"/>
      <c r="B100" s="21"/>
      <c r="C100" s="1"/>
      <c r="D100" s="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1"/>
      <c r="Q100" s="591"/>
      <c r="R100" s="103"/>
      <c r="S100" s="103"/>
      <c r="T100" s="103"/>
      <c r="U100" s="103"/>
      <c r="V100" s="103"/>
      <c r="W100" s="103"/>
      <c r="X100" s="103"/>
      <c r="Y100" s="103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</row>
    <row r="101" spans="1:39" ht="15.75" customHeight="1">
      <c r="A101" s="21"/>
      <c r="B101" s="21"/>
      <c r="C101" s="1"/>
      <c r="D101" s="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1"/>
      <c r="Q101" s="591"/>
      <c r="R101" s="103"/>
      <c r="S101" s="103"/>
      <c r="T101" s="103"/>
      <c r="U101" s="103"/>
      <c r="V101" s="103"/>
      <c r="W101" s="103"/>
      <c r="X101" s="103"/>
      <c r="Y101" s="103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</row>
    <row r="102" spans="1:39" ht="15.75" customHeight="1">
      <c r="A102" s="21"/>
      <c r="B102" s="21"/>
      <c r="C102" s="1"/>
      <c r="D102" s="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1"/>
      <c r="Q102" s="591"/>
      <c r="R102" s="103"/>
      <c r="S102" s="103"/>
      <c r="T102" s="103"/>
      <c r="U102" s="103"/>
      <c r="V102" s="103"/>
      <c r="W102" s="103"/>
      <c r="X102" s="103"/>
      <c r="Y102" s="103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</row>
    <row r="103" spans="1:39" ht="15.75" customHeight="1">
      <c r="A103" s="21"/>
      <c r="B103" s="21"/>
      <c r="C103" s="1"/>
      <c r="D103" s="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1"/>
      <c r="Q103" s="591"/>
      <c r="R103" s="103"/>
      <c r="S103" s="103"/>
      <c r="T103" s="103"/>
      <c r="U103" s="103"/>
      <c r="V103" s="103"/>
      <c r="W103" s="103"/>
      <c r="X103" s="103"/>
      <c r="Y103" s="103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</row>
    <row r="104" spans="1:39" ht="15.75" customHeight="1">
      <c r="A104" s="21"/>
      <c r="B104" s="21"/>
      <c r="C104" s="1"/>
      <c r="D104" s="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1"/>
      <c r="Q104" s="591"/>
      <c r="R104" s="21"/>
      <c r="S104" s="103"/>
      <c r="T104" s="103"/>
      <c r="U104" s="103"/>
      <c r="V104" s="103"/>
      <c r="W104" s="103"/>
      <c r="X104" s="103"/>
      <c r="Y104" s="103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</row>
    <row r="105" spans="1:39" ht="15.75" customHeight="1">
      <c r="A105" s="21"/>
      <c r="B105" s="21"/>
      <c r="C105" s="1"/>
      <c r="D105" s="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1"/>
      <c r="Q105" s="591"/>
      <c r="R105" s="21"/>
      <c r="S105" s="103"/>
      <c r="T105" s="103"/>
      <c r="U105" s="103"/>
      <c r="V105" s="103"/>
      <c r="W105" s="103"/>
      <c r="X105" s="103"/>
      <c r="Y105" s="103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</row>
    <row r="106" spans="1:39" ht="15.75" customHeight="1">
      <c r="A106" s="21"/>
      <c r="B106" s="21"/>
      <c r="C106" s="1"/>
      <c r="D106" s="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1"/>
      <c r="Q106" s="591"/>
      <c r="R106" s="21"/>
      <c r="S106" s="103"/>
      <c r="T106" s="103"/>
      <c r="U106" s="103"/>
      <c r="V106" s="103"/>
      <c r="W106" s="103"/>
      <c r="X106" s="103"/>
      <c r="Y106" s="103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</row>
    <row r="107" spans="1:39" ht="15.75" customHeight="1">
      <c r="A107" s="21"/>
      <c r="B107" s="21"/>
      <c r="C107" s="1"/>
      <c r="D107" s="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1"/>
      <c r="Q107" s="591"/>
      <c r="R107" s="21"/>
      <c r="S107" s="21"/>
      <c r="T107" s="103"/>
      <c r="U107" s="103"/>
      <c r="V107" s="103"/>
      <c r="W107" s="103"/>
      <c r="X107" s="103"/>
      <c r="Y107" s="103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</row>
    <row r="108" spans="1:39" ht="15.75" customHeight="1">
      <c r="A108" s="21"/>
      <c r="B108" s="21"/>
      <c r="C108" s="1"/>
      <c r="D108" s="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1"/>
      <c r="Q108" s="591"/>
      <c r="R108" s="21"/>
      <c r="S108" s="21"/>
      <c r="T108" s="103"/>
      <c r="U108" s="103"/>
      <c r="V108" s="103"/>
      <c r="W108" s="103"/>
      <c r="X108" s="103"/>
      <c r="Y108" s="103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</row>
    <row r="109" spans="1:39" ht="15.75" customHeight="1">
      <c r="A109" s="21"/>
      <c r="B109" s="21"/>
      <c r="C109" s="1"/>
      <c r="D109" s="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1"/>
      <c r="Q109" s="591"/>
      <c r="R109" s="21"/>
      <c r="S109" s="21"/>
      <c r="T109" s="103"/>
      <c r="U109" s="102"/>
      <c r="V109" s="21"/>
      <c r="W109" s="21"/>
      <c r="X109" s="1"/>
      <c r="Y109" s="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</row>
    <row r="110" spans="1:39" ht="15.75" customHeight="1">
      <c r="A110" s="21"/>
      <c r="B110" s="21"/>
      <c r="C110" s="1"/>
      <c r="D110" s="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1"/>
      <c r="Q110" s="591"/>
      <c r="R110" s="21"/>
      <c r="S110" s="21"/>
      <c r="T110" s="103"/>
      <c r="U110" s="103"/>
      <c r="V110" s="103"/>
      <c r="W110" s="103"/>
      <c r="X110" s="1"/>
      <c r="Y110" s="1"/>
      <c r="Z110" s="21"/>
      <c r="AA110" s="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</row>
    <row r="111" spans="1:39" ht="15.75" customHeight="1">
      <c r="A111" s="21"/>
      <c r="B111" s="21"/>
      <c r="C111" s="1"/>
      <c r="D111" s="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1"/>
      <c r="Q111" s="591"/>
      <c r="R111" s="21"/>
      <c r="S111" s="21"/>
      <c r="T111" s="103"/>
      <c r="U111" s="21"/>
      <c r="V111" s="21"/>
      <c r="W111" s="21"/>
      <c r="X111" s="1"/>
      <c r="Y111" s="1"/>
      <c r="Z111" s="1"/>
      <c r="AA111" s="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</row>
    <row r="112" spans="1:39" ht="15.75" customHeight="1">
      <c r="A112" s="21"/>
      <c r="B112" s="21"/>
      <c r="C112" s="1"/>
      <c r="D112" s="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1"/>
      <c r="Q112" s="591"/>
      <c r="R112" s="21"/>
      <c r="S112" s="21"/>
      <c r="T112" s="103"/>
      <c r="U112" s="21"/>
      <c r="V112" s="21"/>
      <c r="W112" s="21"/>
      <c r="X112" s="1"/>
      <c r="Y112" s="1"/>
      <c r="Z112" s="1"/>
      <c r="AA112" s="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</row>
    <row r="113" spans="1:39" ht="15.75" customHeight="1">
      <c r="A113" s="21"/>
      <c r="B113" s="21"/>
      <c r="C113" s="1"/>
      <c r="D113" s="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1"/>
      <c r="Q113" s="591"/>
      <c r="R113" s="21"/>
      <c r="S113" s="21"/>
      <c r="T113" s="21"/>
      <c r="U113" s="21"/>
      <c r="V113" s="21"/>
      <c r="W113" s="21"/>
      <c r="X113" s="1"/>
      <c r="Y113" s="1"/>
      <c r="Z113" s="1"/>
      <c r="AA113" s="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</row>
    <row r="114" spans="1:39" ht="15.75" customHeight="1">
      <c r="A114" s="21"/>
      <c r="B114" s="21"/>
      <c r="C114" s="1"/>
      <c r="D114" s="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1"/>
      <c r="Q114" s="591"/>
      <c r="R114" s="21"/>
      <c r="S114" s="21"/>
      <c r="T114" s="21"/>
      <c r="U114" s="21"/>
      <c r="V114" s="21"/>
      <c r="W114" s="21"/>
      <c r="X114" s="1"/>
      <c r="Y114" s="1"/>
      <c r="Z114" s="1"/>
      <c r="AA114" s="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</row>
    <row r="115" spans="1:39" ht="15.75" customHeight="1">
      <c r="A115" s="21"/>
      <c r="B115" s="21"/>
      <c r="C115" s="1"/>
      <c r="D115" s="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1"/>
      <c r="Q115" s="591"/>
      <c r="R115" s="21"/>
      <c r="S115" s="21"/>
      <c r="T115" s="21"/>
      <c r="U115" s="21"/>
      <c r="V115" s="21"/>
      <c r="W115" s="21"/>
      <c r="X115" s="1"/>
      <c r="Y115" s="1"/>
      <c r="Z115" s="1"/>
      <c r="AA115" s="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</row>
    <row r="116" spans="1:39" ht="15.75" customHeight="1">
      <c r="A116" s="21"/>
      <c r="B116" s="21"/>
      <c r="C116" s="1"/>
      <c r="D116" s="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1"/>
      <c r="Q116" s="591"/>
      <c r="R116" s="21"/>
      <c r="S116" s="21"/>
      <c r="T116" s="21"/>
      <c r="U116" s="21"/>
      <c r="V116" s="21"/>
      <c r="W116" s="21"/>
      <c r="X116" s="1"/>
      <c r="Y116" s="1"/>
      <c r="Z116" s="1"/>
      <c r="AA116" s="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</row>
    <row r="117" spans="1:39" ht="15.75" customHeight="1">
      <c r="A117" s="21"/>
      <c r="B117" s="21"/>
      <c r="C117" s="1"/>
      <c r="D117" s="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1"/>
      <c r="Q117" s="591"/>
      <c r="R117" s="21"/>
      <c r="S117" s="21"/>
      <c r="T117" s="21"/>
      <c r="U117" s="21"/>
      <c r="V117" s="21"/>
      <c r="W117" s="21"/>
      <c r="X117" s="1"/>
      <c r="Y117" s="1"/>
      <c r="Z117" s="1"/>
      <c r="AA117" s="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</row>
    <row r="118" spans="1:39" ht="15.75" customHeight="1">
      <c r="A118" s="21"/>
      <c r="B118" s="21"/>
      <c r="C118" s="1"/>
      <c r="D118" s="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1"/>
      <c r="Q118" s="591"/>
      <c r="R118" s="21"/>
      <c r="S118" s="21"/>
      <c r="T118" s="21"/>
      <c r="U118" s="21"/>
      <c r="V118" s="21"/>
      <c r="W118" s="21"/>
      <c r="X118" s="1"/>
      <c r="Y118" s="1"/>
      <c r="Z118" s="1"/>
      <c r="AA118" s="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</row>
    <row r="119" spans="1:39" ht="15.75" customHeight="1">
      <c r="A119" s="21"/>
      <c r="B119" s="21"/>
      <c r="C119" s="1"/>
      <c r="D119" s="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1"/>
      <c r="Q119" s="591"/>
      <c r="R119" s="21"/>
      <c r="S119" s="21"/>
      <c r="T119" s="21"/>
      <c r="U119" s="21"/>
      <c r="V119" s="21"/>
      <c r="W119" s="21"/>
      <c r="X119" s="1"/>
      <c r="Y119" s="1"/>
      <c r="Z119" s="1"/>
      <c r="AA119" s="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</row>
    <row r="120" spans="1:39" ht="15.75" customHeight="1">
      <c r="A120" s="21"/>
      <c r="B120" s="21"/>
      <c r="C120" s="1"/>
      <c r="D120" s="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1"/>
      <c r="Q120" s="591"/>
      <c r="R120" s="21"/>
      <c r="S120" s="21"/>
      <c r="T120" s="21"/>
      <c r="U120" s="21"/>
      <c r="V120" s="21"/>
      <c r="W120" s="21"/>
      <c r="X120" s="1"/>
      <c r="Y120" s="1"/>
      <c r="Z120" s="1"/>
      <c r="AA120" s="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</row>
    <row r="121" spans="1:39" ht="15.75" customHeight="1">
      <c r="A121" s="21"/>
      <c r="B121" s="21"/>
      <c r="C121" s="1"/>
      <c r="D121" s="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1"/>
      <c r="Q121" s="591"/>
      <c r="R121" s="21"/>
      <c r="S121" s="21"/>
      <c r="T121" s="21"/>
      <c r="U121" s="21"/>
      <c r="V121" s="21"/>
      <c r="W121" s="21"/>
      <c r="X121" s="1"/>
      <c r="Y121" s="1"/>
      <c r="Z121" s="1"/>
      <c r="AA121" s="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</row>
    <row r="122" spans="1:39" ht="15.75" customHeight="1">
      <c r="A122" s="21"/>
      <c r="B122" s="21"/>
      <c r="C122" s="1"/>
      <c r="D122" s="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1"/>
      <c r="Q122" s="591"/>
      <c r="R122" s="21"/>
      <c r="S122" s="21"/>
      <c r="T122" s="21"/>
      <c r="U122" s="21"/>
      <c r="V122" s="21"/>
      <c r="W122" s="21"/>
      <c r="X122" s="1"/>
      <c r="Y122" s="1"/>
      <c r="Z122" s="1"/>
      <c r="AA122" s="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</row>
    <row r="123" spans="1:39" ht="15.75" customHeight="1">
      <c r="A123" s="21"/>
      <c r="B123" s="21"/>
      <c r="C123" s="1"/>
      <c r="D123" s="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1"/>
      <c r="Q123" s="591"/>
      <c r="R123" s="21"/>
      <c r="S123" s="21"/>
      <c r="T123" s="21"/>
      <c r="U123" s="21"/>
      <c r="V123" s="21"/>
      <c r="W123" s="21"/>
      <c r="X123" s="1"/>
      <c r="Y123" s="1"/>
      <c r="Z123" s="1"/>
      <c r="AA123" s="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</row>
    <row r="124" spans="1:39" ht="15.75" customHeight="1">
      <c r="A124" s="21"/>
      <c r="B124" s="21"/>
      <c r="C124" s="1"/>
      <c r="D124" s="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1"/>
      <c r="Q124" s="591"/>
      <c r="R124" s="21"/>
      <c r="S124" s="21"/>
      <c r="T124" s="21"/>
      <c r="U124" s="21"/>
      <c r="V124" s="21"/>
      <c r="W124" s="21"/>
      <c r="X124" s="1"/>
      <c r="Y124" s="1"/>
      <c r="Z124" s="1"/>
      <c r="AA124" s="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</row>
    <row r="125" spans="1:39" ht="15.75" customHeight="1">
      <c r="A125" s="21"/>
      <c r="B125" s="21"/>
      <c r="C125" s="1"/>
      <c r="D125" s="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1"/>
      <c r="Q125" s="591"/>
      <c r="R125" s="21"/>
      <c r="S125" s="21"/>
      <c r="T125" s="21"/>
      <c r="U125" s="21"/>
      <c r="V125" s="21"/>
      <c r="W125" s="21"/>
      <c r="X125" s="1"/>
      <c r="Y125" s="1"/>
      <c r="Z125" s="1"/>
      <c r="AA125" s="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</row>
    <row r="126" spans="1:39" ht="15.75" customHeight="1">
      <c r="A126" s="21"/>
      <c r="B126" s="21"/>
      <c r="C126" s="1"/>
      <c r="D126" s="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1"/>
      <c r="Q126" s="591"/>
      <c r="R126" s="21"/>
      <c r="S126" s="21"/>
      <c r="T126" s="21"/>
      <c r="U126" s="21"/>
      <c r="V126" s="21"/>
      <c r="W126" s="21"/>
      <c r="X126" s="1"/>
      <c r="Y126" s="1"/>
      <c r="Z126" s="1"/>
      <c r="AA126" s="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</row>
    <row r="127" spans="1:39" ht="15.75" customHeight="1">
      <c r="A127" s="21"/>
      <c r="B127" s="21"/>
      <c r="C127" s="1"/>
      <c r="D127" s="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1"/>
      <c r="Q127" s="591"/>
      <c r="R127" s="21"/>
      <c r="S127" s="21"/>
      <c r="T127" s="21"/>
      <c r="U127" s="21"/>
      <c r="V127" s="21"/>
      <c r="W127" s="21"/>
      <c r="X127" s="1"/>
      <c r="Y127" s="1"/>
      <c r="Z127" s="1"/>
      <c r="AA127" s="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</row>
    <row r="128" spans="1:39" ht="15.75" customHeight="1">
      <c r="A128" s="21"/>
      <c r="B128" s="21"/>
      <c r="C128" s="1"/>
      <c r="D128" s="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1"/>
      <c r="Q128" s="591"/>
      <c r="R128" s="21"/>
      <c r="S128" s="21"/>
      <c r="T128" s="21"/>
      <c r="U128" s="21"/>
      <c r="V128" s="21"/>
      <c r="W128" s="21"/>
      <c r="X128" s="1"/>
      <c r="Y128" s="1"/>
      <c r="Z128" s="1"/>
      <c r="AA128" s="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</row>
    <row r="129" spans="1:39" ht="15.75" customHeight="1">
      <c r="A129" s="21"/>
      <c r="B129" s="21"/>
      <c r="C129" s="1"/>
      <c r="D129" s="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1"/>
      <c r="Q129" s="591"/>
      <c r="R129" s="21"/>
      <c r="S129" s="21"/>
      <c r="T129" s="21"/>
      <c r="U129" s="21"/>
      <c r="V129" s="21"/>
      <c r="W129" s="21"/>
      <c r="X129" s="1"/>
      <c r="Y129" s="1"/>
      <c r="Z129" s="1"/>
      <c r="AA129" s="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</row>
    <row r="130" spans="1:39" ht="15.75" customHeight="1">
      <c r="A130" s="21"/>
      <c r="B130" s="21"/>
      <c r="C130" s="1"/>
      <c r="D130" s="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1"/>
      <c r="Q130" s="591"/>
      <c r="R130" s="21"/>
      <c r="S130" s="21"/>
      <c r="T130" s="21"/>
      <c r="U130" s="21"/>
      <c r="V130" s="21"/>
      <c r="W130" s="21"/>
      <c r="X130" s="1"/>
      <c r="Y130" s="1"/>
      <c r="Z130" s="1"/>
      <c r="AA130" s="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</row>
    <row r="131" spans="1:39" ht="15.75" customHeight="1">
      <c r="A131" s="21"/>
      <c r="B131" s="21"/>
      <c r="C131" s="1"/>
      <c r="D131" s="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1"/>
      <c r="Q131" s="591"/>
      <c r="R131" s="21"/>
      <c r="S131" s="21"/>
      <c r="T131" s="21"/>
      <c r="U131" s="21"/>
      <c r="V131" s="21"/>
      <c r="W131" s="21"/>
      <c r="X131" s="1"/>
      <c r="Y131" s="1"/>
      <c r="Z131" s="1"/>
      <c r="AA131" s="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</row>
    <row r="132" spans="1:39" ht="15.75" customHeight="1">
      <c r="A132" s="21"/>
      <c r="B132" s="21"/>
      <c r="C132" s="1"/>
      <c r="D132" s="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1"/>
      <c r="Q132" s="591"/>
      <c r="R132" s="21"/>
      <c r="S132" s="21"/>
      <c r="T132" s="21"/>
      <c r="U132" s="21"/>
      <c r="V132" s="21"/>
      <c r="W132" s="21"/>
      <c r="X132" s="1"/>
      <c r="Y132" s="1"/>
      <c r="Z132" s="1"/>
      <c r="AA132" s="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</row>
    <row r="133" spans="1:39" ht="15.75" customHeight="1">
      <c r="A133" s="21"/>
      <c r="B133" s="21"/>
      <c r="C133" s="1"/>
      <c r="D133" s="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1"/>
      <c r="Q133" s="591"/>
      <c r="R133" s="21"/>
      <c r="S133" s="21"/>
      <c r="T133" s="21"/>
      <c r="U133" s="21"/>
      <c r="V133" s="21"/>
      <c r="W133" s="21"/>
      <c r="X133" s="1"/>
      <c r="Y133" s="1"/>
      <c r="Z133" s="1"/>
      <c r="AA133" s="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</row>
    <row r="134" spans="1:39" ht="15.75" customHeight="1">
      <c r="A134" s="21"/>
      <c r="B134" s="21"/>
      <c r="C134" s="1"/>
      <c r="D134" s="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1"/>
      <c r="Q134" s="591"/>
      <c r="R134" s="21"/>
      <c r="S134" s="21"/>
      <c r="T134" s="21"/>
      <c r="U134" s="21"/>
      <c r="V134" s="21"/>
      <c r="W134" s="21"/>
      <c r="X134" s="1"/>
      <c r="Y134" s="1"/>
      <c r="Z134" s="1"/>
      <c r="AA134" s="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</row>
    <row r="135" spans="1:39" ht="15.75" customHeight="1">
      <c r="A135" s="21"/>
      <c r="B135" s="21"/>
      <c r="C135" s="1"/>
      <c r="D135" s="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1"/>
      <c r="Q135" s="591"/>
      <c r="R135" s="21"/>
      <c r="S135" s="21"/>
      <c r="T135" s="21"/>
      <c r="U135" s="21"/>
      <c r="V135" s="21"/>
      <c r="W135" s="21"/>
      <c r="X135" s="1"/>
      <c r="Y135" s="1"/>
      <c r="Z135" s="1"/>
      <c r="AA135" s="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</row>
    <row r="136" spans="1:39" ht="15.75" customHeight="1">
      <c r="A136" s="21"/>
      <c r="B136" s="21"/>
      <c r="C136" s="1"/>
      <c r="D136" s="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1"/>
      <c r="Q136" s="591"/>
      <c r="R136" s="21"/>
      <c r="S136" s="21"/>
      <c r="T136" s="21"/>
      <c r="U136" s="21"/>
      <c r="V136" s="21"/>
      <c r="W136" s="21"/>
      <c r="X136" s="1"/>
      <c r="Y136" s="1"/>
      <c r="Z136" s="1"/>
      <c r="AA136" s="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</row>
    <row r="137" spans="1:39" ht="15.75" customHeight="1">
      <c r="A137" s="21"/>
      <c r="B137" s="21"/>
      <c r="C137" s="1"/>
      <c r="D137" s="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1"/>
      <c r="Q137" s="591"/>
      <c r="R137" s="21"/>
      <c r="S137" s="21"/>
      <c r="T137" s="21"/>
      <c r="U137" s="21"/>
      <c r="V137" s="21"/>
      <c r="W137" s="21"/>
      <c r="X137" s="1"/>
      <c r="Y137" s="1"/>
      <c r="Z137" s="1"/>
      <c r="AA137" s="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</row>
    <row r="138" spans="1:39" ht="15.75" customHeight="1">
      <c r="A138" s="21"/>
      <c r="B138" s="21"/>
      <c r="C138" s="1"/>
      <c r="D138" s="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1"/>
      <c r="Q138" s="591"/>
      <c r="R138" s="21"/>
      <c r="S138" s="21"/>
      <c r="T138" s="21"/>
      <c r="U138" s="21"/>
      <c r="V138" s="21"/>
      <c r="W138" s="21"/>
      <c r="X138" s="1"/>
      <c r="Y138" s="1"/>
      <c r="Z138" s="1"/>
      <c r="AA138" s="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</row>
    <row r="139" spans="1:39" ht="15.75" customHeight="1">
      <c r="A139" s="21"/>
      <c r="B139" s="21"/>
      <c r="C139" s="1"/>
      <c r="D139" s="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1"/>
      <c r="Q139" s="591"/>
      <c r="R139" s="21"/>
      <c r="S139" s="21"/>
      <c r="T139" s="21"/>
      <c r="U139" s="21"/>
      <c r="V139" s="21"/>
      <c r="W139" s="21"/>
      <c r="X139" s="1"/>
      <c r="Y139" s="1"/>
      <c r="Z139" s="1"/>
      <c r="AA139" s="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</row>
    <row r="140" spans="1:39" ht="15.75" customHeight="1">
      <c r="A140" s="21"/>
      <c r="B140" s="21"/>
      <c r="C140" s="1"/>
      <c r="D140" s="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1"/>
      <c r="Q140" s="591"/>
      <c r="R140" s="21"/>
      <c r="S140" s="21"/>
      <c r="T140" s="21"/>
      <c r="U140" s="21"/>
      <c r="V140" s="21"/>
      <c r="W140" s="21"/>
      <c r="X140" s="1"/>
      <c r="Y140" s="1"/>
      <c r="Z140" s="1"/>
      <c r="AA140" s="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</row>
    <row r="141" spans="1:39" ht="15.75" customHeight="1">
      <c r="A141" s="21"/>
      <c r="B141" s="21"/>
      <c r="C141" s="1"/>
      <c r="D141" s="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1"/>
      <c r="Q141" s="591"/>
      <c r="R141" s="21"/>
      <c r="S141" s="21"/>
      <c r="T141" s="21"/>
      <c r="U141" s="21"/>
      <c r="V141" s="21"/>
      <c r="W141" s="21"/>
      <c r="X141" s="1"/>
      <c r="Y141" s="1"/>
      <c r="Z141" s="1"/>
      <c r="AA141" s="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</row>
    <row r="142" spans="1:39" ht="15.75" customHeight="1">
      <c r="A142" s="21"/>
      <c r="B142" s="21"/>
      <c r="C142" s="1"/>
      <c r="D142" s="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1"/>
      <c r="Q142" s="591"/>
      <c r="R142" s="21"/>
      <c r="S142" s="21"/>
      <c r="T142" s="21"/>
      <c r="U142" s="21"/>
      <c r="V142" s="21"/>
      <c r="W142" s="21"/>
      <c r="X142" s="1"/>
      <c r="Y142" s="1"/>
      <c r="Z142" s="1"/>
      <c r="AA142" s="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</row>
    <row r="143" spans="1:39" ht="15.75" customHeight="1">
      <c r="A143" s="21"/>
      <c r="B143" s="21"/>
      <c r="C143" s="1"/>
      <c r="D143" s="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1"/>
      <c r="Q143" s="591"/>
      <c r="R143" s="21"/>
      <c r="S143" s="21"/>
      <c r="T143" s="21"/>
      <c r="U143" s="21"/>
      <c r="V143" s="21"/>
      <c r="W143" s="21"/>
      <c r="X143" s="1"/>
      <c r="Y143" s="1"/>
      <c r="Z143" s="1"/>
      <c r="AA143" s="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</row>
    <row r="144" spans="1:39" ht="15.75" customHeight="1">
      <c r="A144" s="21"/>
      <c r="B144" s="21"/>
      <c r="C144" s="1"/>
      <c r="D144" s="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1"/>
      <c r="Q144" s="591"/>
      <c r="R144" s="21"/>
      <c r="S144" s="21"/>
      <c r="T144" s="21"/>
      <c r="U144" s="21"/>
      <c r="V144" s="21"/>
      <c r="W144" s="21"/>
      <c r="X144" s="1"/>
      <c r="Y144" s="1"/>
      <c r="Z144" s="1"/>
      <c r="AA144" s="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</row>
    <row r="145" spans="1:39" ht="15.75" customHeight="1">
      <c r="A145" s="21"/>
      <c r="B145" s="21"/>
      <c r="C145" s="1"/>
      <c r="D145" s="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1"/>
      <c r="Q145" s="591"/>
      <c r="R145" s="21"/>
      <c r="S145" s="21"/>
      <c r="T145" s="21"/>
      <c r="U145" s="21"/>
      <c r="V145" s="21"/>
      <c r="W145" s="21"/>
      <c r="X145" s="1"/>
      <c r="Y145" s="1"/>
      <c r="Z145" s="1"/>
      <c r="AA145" s="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</row>
    <row r="146" spans="1:39" ht="15.75" customHeight="1">
      <c r="A146" s="21"/>
      <c r="B146" s="21"/>
      <c r="C146" s="1"/>
      <c r="D146" s="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1"/>
      <c r="Q146" s="591"/>
      <c r="R146" s="21"/>
      <c r="S146" s="21"/>
      <c r="T146" s="21"/>
      <c r="U146" s="21"/>
      <c r="V146" s="21"/>
      <c r="W146" s="21"/>
      <c r="X146" s="1"/>
      <c r="Y146" s="1"/>
      <c r="Z146" s="1"/>
      <c r="AA146" s="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 spans="1:39" ht="15.75" customHeight="1">
      <c r="A147" s="21"/>
      <c r="B147" s="21"/>
      <c r="C147" s="1"/>
      <c r="D147" s="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1"/>
      <c r="Q147" s="591"/>
      <c r="R147" s="21"/>
      <c r="S147" s="21"/>
      <c r="T147" s="21"/>
      <c r="U147" s="21"/>
      <c r="V147" s="21"/>
      <c r="W147" s="21"/>
      <c r="X147" s="1"/>
      <c r="Y147" s="1"/>
      <c r="Z147" s="1"/>
      <c r="AA147" s="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 spans="1:39" ht="15.75" customHeight="1">
      <c r="A148" s="21"/>
      <c r="B148" s="21"/>
      <c r="C148" s="1"/>
      <c r="D148" s="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1"/>
      <c r="Q148" s="591"/>
      <c r="R148" s="21"/>
      <c r="S148" s="21"/>
      <c r="T148" s="21"/>
      <c r="U148" s="21"/>
      <c r="V148" s="21"/>
      <c r="W148" s="21"/>
      <c r="X148" s="1"/>
      <c r="Y148" s="1"/>
      <c r="Z148" s="1"/>
      <c r="AA148" s="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 spans="1:39" ht="15.75" customHeight="1">
      <c r="A149" s="21"/>
      <c r="B149" s="21"/>
      <c r="C149" s="1"/>
      <c r="D149" s="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1"/>
      <c r="Q149" s="591"/>
      <c r="R149" s="21"/>
      <c r="S149" s="21"/>
      <c r="T149" s="21"/>
      <c r="U149" s="21"/>
      <c r="V149" s="21"/>
      <c r="W149" s="21"/>
      <c r="X149" s="1"/>
      <c r="Y149" s="1"/>
      <c r="Z149" s="1"/>
      <c r="AA149" s="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 spans="1:39" ht="15.75" customHeight="1">
      <c r="A150" s="21"/>
      <c r="B150" s="21"/>
      <c r="C150" s="1"/>
      <c r="D150" s="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1"/>
      <c r="Q150" s="591"/>
      <c r="R150" s="21"/>
      <c r="S150" s="21"/>
      <c r="T150" s="21"/>
      <c r="U150" s="21"/>
      <c r="V150" s="21"/>
      <c r="W150" s="21"/>
      <c r="X150" s="1"/>
      <c r="Y150" s="1"/>
      <c r="Z150" s="1"/>
      <c r="AA150" s="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 spans="1:39" ht="15.75" customHeight="1">
      <c r="A151" s="21"/>
      <c r="B151" s="21"/>
      <c r="C151" s="1"/>
      <c r="D151" s="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1"/>
      <c r="Q151" s="591"/>
      <c r="R151" s="21"/>
      <c r="S151" s="21"/>
      <c r="T151" s="21"/>
      <c r="U151" s="21"/>
      <c r="V151" s="21"/>
      <c r="W151" s="21"/>
      <c r="X151" s="1"/>
      <c r="Y151" s="1"/>
      <c r="Z151" s="1"/>
      <c r="AA151" s="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</row>
    <row r="152" spans="1:39" ht="15.75" customHeight="1">
      <c r="A152" s="21"/>
      <c r="B152" s="21"/>
      <c r="C152" s="1"/>
      <c r="D152" s="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1"/>
      <c r="Q152" s="591"/>
      <c r="R152" s="21"/>
      <c r="S152" s="21"/>
      <c r="T152" s="21"/>
      <c r="U152" s="21"/>
      <c r="V152" s="21"/>
      <c r="W152" s="21"/>
      <c r="X152" s="1"/>
      <c r="Y152" s="1"/>
      <c r="Z152" s="1"/>
      <c r="AA152" s="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</row>
    <row r="153" spans="1:39" ht="15.75" customHeight="1">
      <c r="A153" s="21"/>
      <c r="B153" s="21"/>
      <c r="C153" s="1"/>
      <c r="D153" s="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1"/>
      <c r="Q153" s="591"/>
      <c r="R153" s="21"/>
      <c r="S153" s="21"/>
      <c r="T153" s="21"/>
      <c r="U153" s="21"/>
      <c r="V153" s="21"/>
      <c r="W153" s="21"/>
      <c r="X153" s="1"/>
      <c r="Y153" s="1"/>
      <c r="Z153" s="1"/>
      <c r="AA153" s="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</row>
    <row r="154" spans="1:39" ht="15.75" customHeight="1">
      <c r="A154" s="21"/>
      <c r="B154" s="21"/>
      <c r="C154" s="1"/>
      <c r="D154" s="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1"/>
      <c r="Q154" s="591"/>
      <c r="R154" s="21"/>
      <c r="S154" s="21"/>
      <c r="T154" s="21"/>
      <c r="U154" s="21"/>
      <c r="V154" s="21"/>
      <c r="W154" s="21"/>
      <c r="X154" s="1"/>
      <c r="Y154" s="1"/>
      <c r="Z154" s="1"/>
      <c r="AA154" s="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</row>
    <row r="155" spans="1:39" ht="15.75" customHeight="1">
      <c r="A155" s="21"/>
      <c r="B155" s="21"/>
      <c r="C155" s="1"/>
      <c r="D155" s="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1"/>
      <c r="Q155" s="591"/>
      <c r="R155" s="21"/>
      <c r="S155" s="21"/>
      <c r="T155" s="21"/>
      <c r="U155" s="21"/>
      <c r="V155" s="21"/>
      <c r="W155" s="21"/>
      <c r="X155" s="1"/>
      <c r="Y155" s="1"/>
      <c r="Z155" s="1"/>
      <c r="AA155" s="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 spans="1:39" ht="15.75" customHeight="1">
      <c r="A156" s="21"/>
      <c r="B156" s="21"/>
      <c r="C156" s="1"/>
      <c r="D156" s="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1"/>
      <c r="Q156" s="591"/>
      <c r="R156" s="21"/>
      <c r="S156" s="21"/>
      <c r="T156" s="21"/>
      <c r="U156" s="21"/>
      <c r="V156" s="21"/>
      <c r="W156" s="21"/>
      <c r="X156" s="1"/>
      <c r="Y156" s="1"/>
      <c r="Z156" s="1"/>
      <c r="AA156" s="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</row>
    <row r="157" spans="1:39" ht="15.75" customHeight="1">
      <c r="A157" s="21"/>
      <c r="B157" s="21"/>
      <c r="C157" s="1"/>
      <c r="D157" s="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1"/>
      <c r="Q157" s="591"/>
      <c r="R157" s="21"/>
      <c r="S157" s="21"/>
      <c r="T157" s="21"/>
      <c r="U157" s="21"/>
      <c r="V157" s="21"/>
      <c r="W157" s="21"/>
      <c r="X157" s="1"/>
      <c r="Y157" s="1"/>
      <c r="Z157" s="1"/>
      <c r="AA157" s="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 spans="1:39" ht="15.75" customHeight="1">
      <c r="A158" s="21"/>
      <c r="B158" s="21"/>
      <c r="C158" s="1"/>
      <c r="D158" s="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1"/>
      <c r="Q158" s="591"/>
      <c r="R158" s="21"/>
      <c r="S158" s="21"/>
      <c r="T158" s="21"/>
      <c r="U158" s="21"/>
      <c r="V158" s="21"/>
      <c r="W158" s="21"/>
      <c r="X158" s="1"/>
      <c r="Y158" s="1"/>
      <c r="Z158" s="1"/>
      <c r="AA158" s="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</row>
    <row r="159" spans="1:39" ht="15.75" customHeight="1">
      <c r="A159" s="21"/>
      <c r="B159" s="21"/>
      <c r="C159" s="1"/>
      <c r="D159" s="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1"/>
      <c r="Q159" s="591"/>
      <c r="R159" s="21"/>
      <c r="S159" s="21"/>
      <c r="T159" s="21"/>
      <c r="U159" s="21"/>
      <c r="V159" s="21"/>
      <c r="W159" s="21"/>
      <c r="X159" s="1"/>
      <c r="Y159" s="1"/>
      <c r="Z159" s="1"/>
      <c r="AA159" s="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</row>
    <row r="160" spans="1:39" ht="15.75" customHeight="1">
      <c r="A160" s="21"/>
      <c r="B160" s="21"/>
      <c r="C160" s="1"/>
      <c r="D160" s="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1"/>
      <c r="Q160" s="591"/>
      <c r="R160" s="21"/>
      <c r="S160" s="21"/>
      <c r="T160" s="21"/>
      <c r="U160" s="21"/>
      <c r="V160" s="21"/>
      <c r="W160" s="21"/>
      <c r="X160" s="1"/>
      <c r="Y160" s="1"/>
      <c r="Z160" s="1"/>
      <c r="AA160" s="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</row>
    <row r="161" spans="1:39" ht="15.75" customHeight="1">
      <c r="A161" s="21"/>
      <c r="B161" s="21"/>
      <c r="C161" s="1"/>
      <c r="D161" s="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1"/>
      <c r="Q161" s="591"/>
      <c r="R161" s="21"/>
      <c r="S161" s="21"/>
      <c r="T161" s="21"/>
      <c r="U161" s="21"/>
      <c r="V161" s="21"/>
      <c r="W161" s="21"/>
      <c r="X161" s="1"/>
      <c r="Y161" s="1"/>
      <c r="Z161" s="1"/>
      <c r="AA161" s="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</row>
    <row r="162" spans="1:39" ht="15.75" customHeight="1">
      <c r="A162" s="21"/>
      <c r="B162" s="21"/>
      <c r="C162" s="1"/>
      <c r="D162" s="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1"/>
      <c r="Q162" s="591"/>
      <c r="R162" s="21"/>
      <c r="S162" s="21"/>
      <c r="T162" s="21"/>
      <c r="U162" s="21"/>
      <c r="V162" s="21"/>
      <c r="W162" s="21"/>
      <c r="X162" s="1"/>
      <c r="Y162" s="1"/>
      <c r="Z162" s="1"/>
      <c r="AA162" s="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 spans="1:39" ht="15.75" customHeight="1">
      <c r="A163" s="21"/>
      <c r="B163" s="21"/>
      <c r="C163" s="1"/>
      <c r="D163" s="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1"/>
      <c r="Q163" s="591"/>
      <c r="R163" s="21"/>
      <c r="S163" s="21"/>
      <c r="T163" s="21"/>
      <c r="U163" s="21"/>
      <c r="V163" s="21"/>
      <c r="W163" s="21"/>
      <c r="X163" s="1"/>
      <c r="Y163" s="1"/>
      <c r="Z163" s="1"/>
      <c r="AA163" s="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</row>
    <row r="164" spans="1:39" ht="15.75" customHeight="1">
      <c r="A164" s="21"/>
      <c r="B164" s="21"/>
      <c r="C164" s="1"/>
      <c r="D164" s="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1"/>
      <c r="Q164" s="591"/>
      <c r="R164" s="21"/>
      <c r="S164" s="21"/>
      <c r="T164" s="21"/>
      <c r="U164" s="21"/>
      <c r="V164" s="21"/>
      <c r="W164" s="21"/>
      <c r="X164" s="1"/>
      <c r="Y164" s="1"/>
      <c r="Z164" s="1"/>
      <c r="AA164" s="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</row>
    <row r="165" spans="1:39" ht="15.75" customHeight="1">
      <c r="A165" s="21"/>
      <c r="B165" s="21"/>
      <c r="C165" s="1"/>
      <c r="D165" s="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1"/>
      <c r="Q165" s="591"/>
      <c r="R165" s="21"/>
      <c r="S165" s="21"/>
      <c r="T165" s="21"/>
      <c r="U165" s="21"/>
      <c r="V165" s="21"/>
      <c r="W165" s="21"/>
      <c r="X165" s="1"/>
      <c r="Y165" s="1"/>
      <c r="Z165" s="1"/>
      <c r="AA165" s="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</row>
    <row r="166" spans="1:39" ht="15.75" customHeight="1">
      <c r="A166" s="21"/>
      <c r="B166" s="21"/>
      <c r="C166" s="1"/>
      <c r="D166" s="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1"/>
      <c r="Q166" s="591"/>
      <c r="R166" s="21"/>
      <c r="S166" s="21"/>
      <c r="T166" s="21"/>
      <c r="U166" s="21"/>
      <c r="V166" s="21"/>
      <c r="W166" s="21"/>
      <c r="X166" s="1"/>
      <c r="Y166" s="1"/>
      <c r="Z166" s="1"/>
      <c r="AA166" s="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 spans="1:39" ht="15.75" customHeight="1">
      <c r="A167" s="21"/>
      <c r="B167" s="21"/>
      <c r="C167" s="1"/>
      <c r="D167" s="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1"/>
      <c r="Q167" s="591"/>
      <c r="R167" s="21"/>
      <c r="S167" s="21"/>
      <c r="T167" s="21"/>
      <c r="U167" s="21"/>
      <c r="V167" s="21"/>
      <c r="W167" s="21"/>
      <c r="X167" s="1"/>
      <c r="Y167" s="1"/>
      <c r="Z167" s="1"/>
      <c r="AA167" s="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</row>
    <row r="168" spans="1:39" ht="15.75" customHeight="1">
      <c r="A168" s="21"/>
      <c r="B168" s="21"/>
      <c r="C168" s="1"/>
      <c r="D168" s="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1"/>
      <c r="Q168" s="591"/>
      <c r="R168" s="21"/>
      <c r="S168" s="21"/>
      <c r="T168" s="21"/>
      <c r="U168" s="21"/>
      <c r="V168" s="21"/>
      <c r="W168" s="21"/>
      <c r="X168" s="1"/>
      <c r="Y168" s="1"/>
      <c r="Z168" s="1"/>
      <c r="AA168" s="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</row>
    <row r="169" spans="1:39" ht="15.75" customHeight="1">
      <c r="A169" s="21"/>
      <c r="B169" s="21"/>
      <c r="C169" s="1"/>
      <c r="D169" s="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1"/>
      <c r="Q169" s="591"/>
      <c r="R169" s="21"/>
      <c r="S169" s="21"/>
      <c r="T169" s="21"/>
      <c r="U169" s="21"/>
      <c r="V169" s="21"/>
      <c r="W169" s="21"/>
      <c r="X169" s="1"/>
      <c r="Y169" s="1"/>
      <c r="Z169" s="1"/>
      <c r="AA169" s="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</row>
    <row r="170" spans="1:39" ht="15.75" customHeight="1">
      <c r="A170" s="21"/>
      <c r="B170" s="21"/>
      <c r="C170" s="1"/>
      <c r="D170" s="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1"/>
      <c r="Q170" s="591"/>
      <c r="R170" s="21"/>
      <c r="S170" s="21"/>
      <c r="T170" s="21"/>
      <c r="U170" s="21"/>
      <c r="V170" s="21"/>
      <c r="W170" s="21"/>
      <c r="X170" s="1"/>
      <c r="Y170" s="1"/>
      <c r="Z170" s="1"/>
      <c r="AA170" s="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</row>
    <row r="171" spans="1:39" ht="15.75" customHeight="1">
      <c r="A171" s="21"/>
      <c r="B171" s="21"/>
      <c r="C171" s="1"/>
      <c r="D171" s="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1"/>
      <c r="Q171" s="591"/>
      <c r="R171" s="21"/>
      <c r="S171" s="21"/>
      <c r="T171" s="21"/>
      <c r="U171" s="21"/>
      <c r="V171" s="21"/>
      <c r="W171" s="21"/>
      <c r="X171" s="1"/>
      <c r="Y171" s="1"/>
      <c r="Z171" s="1"/>
      <c r="AA171" s="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</row>
    <row r="172" spans="1:39" ht="15.75" customHeight="1">
      <c r="A172" s="21"/>
      <c r="B172" s="21"/>
      <c r="C172" s="1"/>
      <c r="D172" s="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1"/>
      <c r="Q172" s="591"/>
      <c r="R172" s="21"/>
      <c r="S172" s="21"/>
      <c r="T172" s="21"/>
      <c r="U172" s="21"/>
      <c r="V172" s="21"/>
      <c r="W172" s="21"/>
      <c r="X172" s="1"/>
      <c r="Y172" s="1"/>
      <c r="Z172" s="1"/>
      <c r="AA172" s="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</row>
    <row r="173" spans="1:39" ht="15.75" customHeight="1">
      <c r="A173" s="21"/>
      <c r="B173" s="21"/>
      <c r="C173" s="1"/>
      <c r="D173" s="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1"/>
      <c r="Q173" s="591"/>
      <c r="R173" s="21"/>
      <c r="S173" s="21"/>
      <c r="T173" s="21"/>
      <c r="U173" s="21"/>
      <c r="V173" s="21"/>
      <c r="W173" s="21"/>
      <c r="X173" s="1"/>
      <c r="Y173" s="1"/>
      <c r="Z173" s="1"/>
      <c r="AA173" s="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</row>
    <row r="174" spans="1:39" ht="15.75" customHeight="1">
      <c r="A174" s="21"/>
      <c r="B174" s="21"/>
      <c r="C174" s="1"/>
      <c r="D174" s="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1"/>
      <c r="Q174" s="591"/>
      <c r="R174" s="21"/>
      <c r="S174" s="21"/>
      <c r="T174" s="21"/>
      <c r="U174" s="21"/>
      <c r="V174" s="21"/>
      <c r="W174" s="21"/>
      <c r="X174" s="1"/>
      <c r="Y174" s="1"/>
      <c r="Z174" s="1"/>
      <c r="AA174" s="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</row>
    <row r="175" spans="1:39" ht="15.75" customHeight="1">
      <c r="A175" s="21"/>
      <c r="B175" s="21"/>
      <c r="C175" s="1"/>
      <c r="D175" s="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1"/>
      <c r="Q175" s="591"/>
      <c r="R175" s="21"/>
      <c r="S175" s="21"/>
      <c r="T175" s="21"/>
      <c r="U175" s="21"/>
      <c r="V175" s="21"/>
      <c r="W175" s="21"/>
      <c r="X175" s="1"/>
      <c r="Y175" s="1"/>
      <c r="Z175" s="1"/>
      <c r="AA175" s="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</row>
    <row r="176" spans="1:39" ht="15.75" customHeight="1">
      <c r="A176" s="21"/>
      <c r="B176" s="21"/>
      <c r="C176" s="1"/>
      <c r="D176" s="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1"/>
      <c r="Q176" s="591"/>
      <c r="R176" s="21"/>
      <c r="S176" s="21"/>
      <c r="T176" s="21"/>
      <c r="U176" s="21"/>
      <c r="V176" s="21"/>
      <c r="W176" s="21"/>
      <c r="X176" s="1"/>
      <c r="Y176" s="1"/>
      <c r="Z176" s="1"/>
      <c r="AA176" s="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</row>
    <row r="177" spans="1:39" ht="15.75" customHeight="1">
      <c r="A177" s="21"/>
      <c r="B177" s="21"/>
      <c r="C177" s="1"/>
      <c r="D177" s="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1"/>
      <c r="Q177" s="591"/>
      <c r="R177" s="21"/>
      <c r="S177" s="21"/>
      <c r="T177" s="21"/>
      <c r="U177" s="21"/>
      <c r="V177" s="21"/>
      <c r="W177" s="21"/>
      <c r="X177" s="1"/>
      <c r="Y177" s="1"/>
      <c r="Z177" s="1"/>
      <c r="AA177" s="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</row>
    <row r="178" spans="1:39" ht="15.75" customHeight="1">
      <c r="A178" s="21"/>
      <c r="B178" s="21"/>
      <c r="C178" s="1"/>
      <c r="D178" s="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1"/>
      <c r="Q178" s="591"/>
      <c r="R178" s="21"/>
      <c r="S178" s="21"/>
      <c r="T178" s="21"/>
      <c r="U178" s="21"/>
      <c r="V178" s="21"/>
      <c r="W178" s="21"/>
      <c r="X178" s="1"/>
      <c r="Y178" s="1"/>
      <c r="Z178" s="1"/>
      <c r="AA178" s="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</row>
    <row r="179" spans="1:39" ht="15.75" customHeight="1">
      <c r="A179" s="21"/>
      <c r="B179" s="21"/>
      <c r="C179" s="1"/>
      <c r="D179" s="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1"/>
      <c r="Q179" s="591"/>
      <c r="R179" s="21"/>
      <c r="S179" s="21"/>
      <c r="T179" s="21"/>
      <c r="U179" s="21"/>
      <c r="V179" s="21"/>
      <c r="W179" s="21"/>
      <c r="X179" s="1"/>
      <c r="Y179" s="1"/>
      <c r="Z179" s="1"/>
      <c r="AA179" s="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 spans="1:39" ht="15.75" customHeight="1">
      <c r="A180" s="21"/>
      <c r="B180" s="21"/>
      <c r="C180" s="1"/>
      <c r="D180" s="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1"/>
      <c r="Q180" s="591"/>
      <c r="R180" s="21"/>
      <c r="S180" s="21"/>
      <c r="T180" s="21"/>
      <c r="U180" s="21"/>
      <c r="V180" s="21"/>
      <c r="W180" s="21"/>
      <c r="X180" s="1"/>
      <c r="Y180" s="1"/>
      <c r="Z180" s="1"/>
      <c r="AA180" s="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 spans="1:39" ht="15.75" customHeight="1">
      <c r="A181" s="21"/>
      <c r="B181" s="21"/>
      <c r="C181" s="1"/>
      <c r="D181" s="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1"/>
      <c r="Q181" s="591"/>
      <c r="R181" s="21"/>
      <c r="S181" s="21"/>
      <c r="T181" s="21"/>
      <c r="U181" s="21"/>
      <c r="V181" s="21"/>
      <c r="W181" s="21"/>
      <c r="X181" s="1"/>
      <c r="Y181" s="1"/>
      <c r="Z181" s="1"/>
      <c r="AA181" s="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 spans="1:39" ht="15.75" customHeight="1">
      <c r="A182" s="21"/>
      <c r="B182" s="21"/>
      <c r="C182" s="1"/>
      <c r="D182" s="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1"/>
      <c r="Q182" s="591"/>
      <c r="R182" s="21"/>
      <c r="S182" s="21"/>
      <c r="T182" s="21"/>
      <c r="U182" s="21"/>
      <c r="V182" s="21"/>
      <c r="W182" s="21"/>
      <c r="X182" s="1"/>
      <c r="Y182" s="1"/>
      <c r="Z182" s="1"/>
      <c r="AA182" s="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 spans="1:39" ht="15.75" customHeight="1">
      <c r="A183" s="21"/>
      <c r="B183" s="21"/>
      <c r="C183" s="1"/>
      <c r="D183" s="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1"/>
      <c r="Q183" s="591"/>
      <c r="R183" s="21"/>
      <c r="S183" s="21"/>
      <c r="T183" s="21"/>
      <c r="U183" s="21"/>
      <c r="V183" s="21"/>
      <c r="W183" s="21"/>
      <c r="X183" s="1"/>
      <c r="Y183" s="1"/>
      <c r="Z183" s="1"/>
      <c r="AA183" s="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 spans="1:39" ht="15.75" customHeight="1">
      <c r="A184" s="21"/>
      <c r="B184" s="21"/>
      <c r="C184" s="1"/>
      <c r="D184" s="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1"/>
      <c r="Q184" s="591"/>
      <c r="R184" s="21"/>
      <c r="S184" s="21"/>
      <c r="T184" s="21"/>
      <c r="U184" s="21"/>
      <c r="V184" s="21"/>
      <c r="W184" s="21"/>
      <c r="X184" s="1"/>
      <c r="Y184" s="1"/>
      <c r="Z184" s="1"/>
      <c r="AA184" s="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 spans="1:39" ht="15.75" customHeight="1">
      <c r="A185" s="21"/>
      <c r="B185" s="21"/>
      <c r="C185" s="1"/>
      <c r="D185" s="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1"/>
      <c r="Q185" s="591"/>
      <c r="R185" s="21"/>
      <c r="S185" s="21"/>
      <c r="T185" s="21"/>
      <c r="U185" s="21"/>
      <c r="V185" s="21"/>
      <c r="W185" s="21"/>
      <c r="X185" s="1"/>
      <c r="Y185" s="1"/>
      <c r="Z185" s="1"/>
      <c r="AA185" s="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</row>
    <row r="186" spans="1:39" ht="15.75" customHeight="1">
      <c r="A186" s="21"/>
      <c r="B186" s="21"/>
      <c r="C186" s="1"/>
      <c r="D186" s="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1"/>
      <c r="Q186" s="591"/>
      <c r="R186" s="21"/>
      <c r="S186" s="21"/>
      <c r="T186" s="21"/>
      <c r="U186" s="21"/>
      <c r="V186" s="21"/>
      <c r="W186" s="21"/>
      <c r="X186" s="1"/>
      <c r="Y186" s="1"/>
      <c r="Z186" s="1"/>
      <c r="AA186" s="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</row>
    <row r="187" spans="1:39" ht="15.75" customHeight="1">
      <c r="A187" s="21"/>
      <c r="B187" s="21"/>
      <c r="C187" s="1"/>
      <c r="D187" s="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1"/>
      <c r="Q187" s="591"/>
      <c r="R187" s="21"/>
      <c r="S187" s="21"/>
      <c r="T187" s="21"/>
      <c r="U187" s="21"/>
      <c r="V187" s="21"/>
      <c r="W187" s="21"/>
      <c r="X187" s="1"/>
      <c r="Y187" s="1"/>
      <c r="Z187" s="1"/>
      <c r="AA187" s="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 spans="1:39" ht="15.75" customHeight="1">
      <c r="A188" s="21"/>
      <c r="B188" s="21"/>
      <c r="C188" s="1"/>
      <c r="D188" s="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1"/>
      <c r="Q188" s="591"/>
      <c r="R188" s="21"/>
      <c r="S188" s="21"/>
      <c r="T188" s="21"/>
      <c r="U188" s="21"/>
      <c r="V188" s="21"/>
      <c r="W188" s="21"/>
      <c r="X188" s="1"/>
      <c r="Y188" s="1"/>
      <c r="Z188" s="1"/>
      <c r="AA188" s="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 spans="1:39" ht="15.75" customHeight="1">
      <c r="A189" s="21"/>
      <c r="B189" s="21"/>
      <c r="C189" s="1"/>
      <c r="D189" s="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1"/>
      <c r="Q189" s="591"/>
      <c r="R189" s="21"/>
      <c r="S189" s="21"/>
      <c r="T189" s="21"/>
      <c r="U189" s="21"/>
      <c r="V189" s="21"/>
      <c r="W189" s="21"/>
      <c r="X189" s="1"/>
      <c r="Y189" s="1"/>
      <c r="Z189" s="1"/>
      <c r="AA189" s="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</row>
    <row r="190" spans="1:39" ht="15.75" customHeight="1">
      <c r="A190" s="21"/>
      <c r="B190" s="21"/>
      <c r="C190" s="1"/>
      <c r="D190" s="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1"/>
      <c r="Q190" s="591"/>
      <c r="R190" s="21"/>
      <c r="S190" s="21"/>
      <c r="T190" s="21"/>
      <c r="U190" s="21"/>
      <c r="V190" s="21"/>
      <c r="W190" s="21"/>
      <c r="X190" s="1"/>
      <c r="Y190" s="1"/>
      <c r="Z190" s="1"/>
      <c r="AA190" s="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</row>
    <row r="191" spans="1:39" ht="15.75" customHeight="1">
      <c r="A191" s="21"/>
      <c r="B191" s="21"/>
      <c r="C191" s="1"/>
      <c r="D191" s="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1"/>
      <c r="Q191" s="591"/>
      <c r="R191" s="21"/>
      <c r="S191" s="21"/>
      <c r="T191" s="21"/>
      <c r="U191" s="21"/>
      <c r="V191" s="21"/>
      <c r="W191" s="21"/>
      <c r="X191" s="1"/>
      <c r="Y191" s="1"/>
      <c r="Z191" s="1"/>
      <c r="AA191" s="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</row>
    <row r="192" spans="1:39" ht="15.75" customHeight="1">
      <c r="A192" s="21"/>
      <c r="B192" s="21"/>
      <c r="C192" s="1"/>
      <c r="D192" s="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1"/>
      <c r="Q192" s="591"/>
      <c r="R192" s="21"/>
      <c r="S192" s="21"/>
      <c r="T192" s="21"/>
      <c r="U192" s="21"/>
      <c r="V192" s="21"/>
      <c r="W192" s="21"/>
      <c r="X192" s="1"/>
      <c r="Y192" s="1"/>
      <c r="Z192" s="1"/>
      <c r="AA192" s="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</row>
    <row r="193" spans="1:39" ht="15.75" customHeight="1">
      <c r="A193" s="21"/>
      <c r="B193" s="21"/>
      <c r="C193" s="1"/>
      <c r="D193" s="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1"/>
      <c r="Q193" s="591"/>
      <c r="R193" s="21"/>
      <c r="S193" s="21"/>
      <c r="T193" s="21"/>
      <c r="U193" s="21"/>
      <c r="V193" s="21"/>
      <c r="W193" s="21"/>
      <c r="X193" s="1"/>
      <c r="Y193" s="1"/>
      <c r="Z193" s="1"/>
      <c r="AA193" s="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</row>
    <row r="194" spans="1:39" ht="15.75" customHeight="1">
      <c r="A194" s="21"/>
      <c r="B194" s="21"/>
      <c r="C194" s="1"/>
      <c r="D194" s="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1"/>
      <c r="Q194" s="591"/>
      <c r="R194" s="21"/>
      <c r="S194" s="21"/>
      <c r="T194" s="21"/>
      <c r="U194" s="21"/>
      <c r="V194" s="21"/>
      <c r="W194" s="21"/>
      <c r="X194" s="1"/>
      <c r="Y194" s="1"/>
      <c r="Z194" s="1"/>
      <c r="AA194" s="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</row>
    <row r="195" spans="1:39" ht="15.75" customHeight="1">
      <c r="A195" s="21"/>
      <c r="B195" s="21"/>
      <c r="C195" s="1"/>
      <c r="D195" s="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1"/>
      <c r="Q195" s="591"/>
      <c r="R195" s="21"/>
      <c r="S195" s="21"/>
      <c r="T195" s="21"/>
      <c r="U195" s="21"/>
      <c r="V195" s="21"/>
      <c r="W195" s="21"/>
      <c r="X195" s="1"/>
      <c r="Y195" s="1"/>
      <c r="Z195" s="1"/>
      <c r="AA195" s="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</row>
    <row r="196" spans="1:39" ht="15.75" customHeight="1">
      <c r="A196" s="21"/>
      <c r="B196" s="21"/>
      <c r="C196" s="1"/>
      <c r="D196" s="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1"/>
      <c r="Q196" s="591"/>
      <c r="R196" s="21"/>
      <c r="S196" s="21"/>
      <c r="T196" s="21"/>
      <c r="U196" s="21"/>
      <c r="V196" s="21"/>
      <c r="W196" s="21"/>
      <c r="X196" s="1"/>
      <c r="Y196" s="1"/>
      <c r="Z196" s="1"/>
      <c r="AA196" s="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</row>
    <row r="197" spans="1:39" ht="15.75" customHeight="1">
      <c r="A197" s="21"/>
      <c r="B197" s="21"/>
      <c r="C197" s="1"/>
      <c r="D197" s="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1"/>
      <c r="Q197" s="591"/>
      <c r="R197" s="21"/>
      <c r="S197" s="21"/>
      <c r="T197" s="21"/>
      <c r="U197" s="21"/>
      <c r="V197" s="21"/>
      <c r="W197" s="21"/>
      <c r="X197" s="1"/>
      <c r="Y197" s="1"/>
      <c r="Z197" s="1"/>
      <c r="AA197" s="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</row>
    <row r="198" spans="1:39" ht="15.75" customHeight="1">
      <c r="A198" s="21"/>
      <c r="B198" s="21"/>
      <c r="C198" s="1"/>
      <c r="D198" s="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1"/>
      <c r="Q198" s="591"/>
      <c r="R198" s="21"/>
      <c r="S198" s="21"/>
      <c r="T198" s="21"/>
      <c r="U198" s="21"/>
      <c r="V198" s="21"/>
      <c r="W198" s="21"/>
      <c r="X198" s="1"/>
      <c r="Y198" s="1"/>
      <c r="Z198" s="1"/>
      <c r="AA198" s="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</row>
    <row r="199" spans="1:39" ht="15.75" customHeight="1">
      <c r="A199" s="21"/>
      <c r="B199" s="21"/>
      <c r="C199" s="1"/>
      <c r="D199" s="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1"/>
      <c r="Q199" s="591"/>
      <c r="R199" s="21"/>
      <c r="S199" s="21"/>
      <c r="T199" s="21"/>
      <c r="U199" s="21"/>
      <c r="V199" s="21"/>
      <c r="W199" s="21"/>
      <c r="X199" s="1"/>
      <c r="Y199" s="1"/>
      <c r="Z199" s="1"/>
      <c r="AA199" s="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</row>
    <row r="200" spans="1:39" ht="15.75" customHeight="1">
      <c r="A200" s="21"/>
      <c r="B200" s="21"/>
      <c r="C200" s="1"/>
      <c r="D200" s="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1"/>
      <c r="Q200" s="591"/>
      <c r="R200" s="21"/>
      <c r="S200" s="21"/>
      <c r="T200" s="21"/>
      <c r="U200" s="21"/>
      <c r="V200" s="21"/>
      <c r="W200" s="21"/>
      <c r="X200" s="1"/>
      <c r="Y200" s="1"/>
      <c r="Z200" s="1"/>
      <c r="AA200" s="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</row>
    <row r="201" spans="1:39" ht="15.75" customHeight="1">
      <c r="A201" s="21"/>
      <c r="B201" s="21"/>
      <c r="C201" s="1"/>
      <c r="D201" s="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1"/>
      <c r="Q201" s="591"/>
      <c r="R201" s="21"/>
      <c r="S201" s="21"/>
      <c r="T201" s="21"/>
      <c r="U201" s="21"/>
      <c r="V201" s="21"/>
      <c r="W201" s="21"/>
      <c r="X201" s="1"/>
      <c r="Y201" s="1"/>
      <c r="Z201" s="1"/>
      <c r="AA201" s="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</row>
    <row r="202" spans="1:39" ht="15.75" customHeight="1">
      <c r="A202" s="21"/>
      <c r="B202" s="21"/>
      <c r="C202" s="1"/>
      <c r="D202" s="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1"/>
      <c r="Q202" s="591"/>
      <c r="R202" s="21"/>
      <c r="S202" s="21"/>
      <c r="T202" s="21"/>
      <c r="U202" s="21"/>
      <c r="V202" s="21"/>
      <c r="W202" s="21"/>
      <c r="X202" s="1"/>
      <c r="Y202" s="1"/>
      <c r="Z202" s="1"/>
      <c r="AA202" s="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</row>
    <row r="203" spans="1:39" ht="15.75" customHeight="1">
      <c r="A203" s="21"/>
      <c r="B203" s="21"/>
      <c r="C203" s="1"/>
      <c r="D203" s="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1"/>
      <c r="Q203" s="591"/>
      <c r="R203" s="21"/>
      <c r="S203" s="21"/>
      <c r="T203" s="21"/>
      <c r="U203" s="21"/>
      <c r="V203" s="21"/>
      <c r="W203" s="21"/>
      <c r="X203" s="1"/>
      <c r="Y203" s="1"/>
      <c r="Z203" s="1"/>
      <c r="AA203" s="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</row>
    <row r="204" spans="1:39" ht="15.75" customHeight="1">
      <c r="A204" s="21"/>
      <c r="B204" s="21"/>
      <c r="C204" s="1"/>
      <c r="D204" s="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1"/>
      <c r="Q204" s="591"/>
      <c r="R204" s="21"/>
      <c r="S204" s="21"/>
      <c r="T204" s="21"/>
      <c r="U204" s="21"/>
      <c r="V204" s="21"/>
      <c r="W204" s="21"/>
      <c r="X204" s="1"/>
      <c r="Y204" s="1"/>
      <c r="Z204" s="1"/>
      <c r="AA204" s="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</row>
    <row r="205" spans="1:39" ht="15.75" customHeight="1">
      <c r="A205" s="21"/>
      <c r="B205" s="21"/>
      <c r="C205" s="1"/>
      <c r="D205" s="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1"/>
      <c r="Q205" s="591"/>
      <c r="R205" s="21"/>
      <c r="S205" s="21"/>
      <c r="T205" s="21"/>
      <c r="U205" s="21"/>
      <c r="V205" s="21"/>
      <c r="W205" s="21"/>
      <c r="X205" s="1"/>
      <c r="Y205" s="1"/>
      <c r="Z205" s="1"/>
      <c r="AA205" s="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</row>
    <row r="206" spans="1:39" ht="15.75" customHeight="1">
      <c r="A206" s="21"/>
      <c r="B206" s="21"/>
      <c r="C206" s="1"/>
      <c r="D206" s="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1"/>
      <c r="Q206" s="591"/>
      <c r="R206" s="21"/>
      <c r="S206" s="21"/>
      <c r="T206" s="21"/>
      <c r="U206" s="21"/>
      <c r="V206" s="21"/>
      <c r="W206" s="21"/>
      <c r="X206" s="1"/>
      <c r="Y206" s="1"/>
      <c r="Z206" s="1"/>
      <c r="AA206" s="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</row>
    <row r="207" spans="1:39" ht="15.75" customHeight="1">
      <c r="A207" s="21"/>
      <c r="B207" s="21"/>
      <c r="C207" s="1"/>
      <c r="D207" s="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1"/>
      <c r="Q207" s="591"/>
      <c r="R207" s="21"/>
      <c r="S207" s="21"/>
      <c r="T207" s="21"/>
      <c r="U207" s="21"/>
      <c r="V207" s="21"/>
      <c r="W207" s="21"/>
      <c r="X207" s="1"/>
      <c r="Y207" s="1"/>
      <c r="Z207" s="1"/>
      <c r="AA207" s="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</row>
    <row r="208" spans="1:39" ht="15.75" customHeight="1">
      <c r="A208" s="21"/>
      <c r="B208" s="21"/>
      <c r="C208" s="1"/>
      <c r="D208" s="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1"/>
      <c r="Q208" s="591"/>
      <c r="R208" s="21"/>
      <c r="S208" s="21"/>
      <c r="T208" s="21"/>
      <c r="U208" s="21"/>
      <c r="V208" s="21"/>
      <c r="W208" s="21"/>
      <c r="X208" s="1"/>
      <c r="Y208" s="1"/>
      <c r="Z208" s="1"/>
      <c r="AA208" s="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</row>
    <row r="209" spans="1:39" ht="15.75" customHeight="1">
      <c r="A209" s="21"/>
      <c r="B209" s="21"/>
      <c r="C209" s="1"/>
      <c r="D209" s="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1"/>
      <c r="Q209" s="591"/>
      <c r="R209" s="21"/>
      <c r="S209" s="21"/>
      <c r="T209" s="21"/>
      <c r="U209" s="21"/>
      <c r="V209" s="21"/>
      <c r="W209" s="21"/>
      <c r="X209" s="1"/>
      <c r="Y209" s="1"/>
      <c r="Z209" s="1"/>
      <c r="AA209" s="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</row>
    <row r="210" spans="1:39" ht="15.75" customHeight="1">
      <c r="A210" s="21"/>
      <c r="B210" s="21"/>
      <c r="C210" s="1"/>
      <c r="D210" s="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1"/>
      <c r="Q210" s="591"/>
      <c r="R210" s="21"/>
      <c r="S210" s="21"/>
      <c r="T210" s="21"/>
      <c r="U210" s="21"/>
      <c r="V210" s="21"/>
      <c r="W210" s="21"/>
      <c r="X210" s="1"/>
      <c r="Y210" s="1"/>
      <c r="Z210" s="1"/>
      <c r="AA210" s="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</row>
    <row r="211" spans="1:39" ht="15.75" customHeight="1">
      <c r="A211" s="21"/>
      <c r="B211" s="21"/>
      <c r="C211" s="1"/>
      <c r="D211" s="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1"/>
      <c r="Q211" s="591"/>
      <c r="R211" s="21"/>
      <c r="S211" s="21"/>
      <c r="T211" s="21"/>
      <c r="U211" s="21"/>
      <c r="V211" s="21"/>
      <c r="W211" s="21"/>
      <c r="X211" s="1"/>
      <c r="Y211" s="1"/>
      <c r="Z211" s="1"/>
      <c r="AA211" s="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</row>
    <row r="212" spans="1:39" ht="15.75" customHeight="1">
      <c r="A212" s="21"/>
      <c r="B212" s="21"/>
      <c r="C212" s="1"/>
      <c r="D212" s="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1"/>
      <c r="Q212" s="591"/>
      <c r="R212" s="21"/>
      <c r="S212" s="21"/>
      <c r="T212" s="21"/>
      <c r="U212" s="21"/>
      <c r="V212" s="21"/>
      <c r="W212" s="21"/>
      <c r="X212" s="1"/>
      <c r="Y212" s="1"/>
      <c r="Z212" s="1"/>
      <c r="AA212" s="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</row>
    <row r="213" spans="1:39" ht="15.75" customHeight="1">
      <c r="A213" s="21"/>
      <c r="B213" s="21"/>
      <c r="C213" s="1"/>
      <c r="D213" s="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1"/>
      <c r="Q213" s="591"/>
      <c r="R213" s="21"/>
      <c r="S213" s="21"/>
      <c r="T213" s="21"/>
      <c r="U213" s="21"/>
      <c r="V213" s="21"/>
      <c r="W213" s="21"/>
      <c r="X213" s="1"/>
      <c r="Y213" s="1"/>
      <c r="Z213" s="1"/>
      <c r="AA213" s="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</row>
    <row r="214" spans="1:39" ht="15.75" customHeight="1">
      <c r="A214" s="21"/>
      <c r="B214" s="21"/>
      <c r="C214" s="1"/>
      <c r="D214" s="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1"/>
      <c r="Q214" s="591"/>
      <c r="R214" s="21"/>
      <c r="S214" s="21"/>
      <c r="T214" s="21"/>
      <c r="U214" s="21"/>
      <c r="V214" s="21"/>
      <c r="W214" s="21"/>
      <c r="X214" s="1"/>
      <c r="Y214" s="1"/>
      <c r="Z214" s="1"/>
      <c r="AA214" s="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</row>
    <row r="215" spans="1:39" ht="15.75" customHeight="1">
      <c r="A215" s="21"/>
      <c r="B215" s="21"/>
      <c r="C215" s="1"/>
      <c r="D215" s="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1"/>
      <c r="Q215" s="591"/>
      <c r="R215" s="21"/>
      <c r="S215" s="21"/>
      <c r="T215" s="21"/>
      <c r="U215" s="21"/>
      <c r="V215" s="21"/>
      <c r="W215" s="21"/>
      <c r="X215" s="1"/>
      <c r="Y215" s="1"/>
      <c r="Z215" s="1"/>
      <c r="AA215" s="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</row>
    <row r="216" spans="1:39" ht="15.75" customHeight="1">
      <c r="A216" s="21"/>
      <c r="B216" s="21"/>
      <c r="C216" s="1"/>
      <c r="D216" s="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1"/>
      <c r="Q216" s="591"/>
      <c r="R216" s="21"/>
      <c r="S216" s="21"/>
      <c r="T216" s="21"/>
      <c r="U216" s="21"/>
      <c r="V216" s="21"/>
      <c r="W216" s="21"/>
      <c r="X216" s="1"/>
      <c r="Y216" s="1"/>
      <c r="Z216" s="1"/>
      <c r="AA216" s="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</row>
    <row r="217" spans="1:39" ht="15.75" customHeight="1">
      <c r="A217" s="21"/>
      <c r="B217" s="21"/>
      <c r="C217" s="1"/>
      <c r="D217" s="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1"/>
      <c r="Q217" s="591"/>
      <c r="R217" s="21"/>
      <c r="S217" s="21"/>
      <c r="T217" s="21"/>
      <c r="U217" s="21"/>
      <c r="V217" s="21"/>
      <c r="W217" s="21"/>
      <c r="X217" s="1"/>
      <c r="Y217" s="1"/>
      <c r="Z217" s="1"/>
      <c r="AA217" s="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</row>
    <row r="218" spans="1:39" ht="15.75" customHeight="1">
      <c r="A218" s="21"/>
      <c r="B218" s="21"/>
      <c r="C218" s="1"/>
      <c r="D218" s="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1"/>
      <c r="Q218" s="591"/>
      <c r="R218" s="21"/>
      <c r="S218" s="21"/>
      <c r="T218" s="21"/>
      <c r="U218" s="21"/>
      <c r="V218" s="21"/>
      <c r="W218" s="21"/>
      <c r="X218" s="1"/>
      <c r="Y218" s="1"/>
      <c r="Z218" s="1"/>
      <c r="AA218" s="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</row>
    <row r="219" spans="1:39" ht="15.75" customHeight="1">
      <c r="A219" s="21"/>
      <c r="B219" s="21"/>
      <c r="C219" s="1"/>
      <c r="D219" s="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1"/>
      <c r="Q219" s="591"/>
      <c r="R219" s="21"/>
      <c r="S219" s="21"/>
      <c r="T219" s="21"/>
      <c r="U219" s="21"/>
      <c r="V219" s="21"/>
      <c r="W219" s="21"/>
      <c r="X219" s="1"/>
      <c r="Y219" s="1"/>
      <c r="Z219" s="1"/>
      <c r="AA219" s="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</row>
    <row r="220" spans="1:39" ht="15.75" customHeight="1">
      <c r="A220" s="21"/>
      <c r="B220" s="21"/>
      <c r="C220" s="1"/>
      <c r="D220" s="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1"/>
      <c r="Q220" s="591"/>
      <c r="R220" s="21"/>
      <c r="S220" s="21"/>
      <c r="T220" s="21"/>
      <c r="U220" s="21"/>
      <c r="V220" s="21"/>
      <c r="W220" s="21"/>
      <c r="X220" s="1"/>
      <c r="Y220" s="1"/>
      <c r="Z220" s="1"/>
      <c r="AA220" s="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</row>
    <row r="221" spans="1:39" ht="15.75" customHeight="1">
      <c r="A221" s="21"/>
      <c r="B221" s="21"/>
      <c r="C221" s="1"/>
      <c r="D221" s="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1"/>
      <c r="Q221" s="591"/>
      <c r="R221" s="21"/>
      <c r="S221" s="21"/>
      <c r="T221" s="21"/>
      <c r="U221" s="21"/>
      <c r="V221" s="21"/>
      <c r="W221" s="21"/>
      <c r="X221" s="1"/>
      <c r="Y221" s="1"/>
      <c r="Z221" s="1"/>
      <c r="AA221" s="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</row>
    <row r="222" spans="1:39" ht="15.75" customHeight="1">
      <c r="A222" s="21"/>
      <c r="B222" s="21"/>
      <c r="C222" s="1"/>
      <c r="D222" s="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1"/>
      <c r="Q222" s="591"/>
      <c r="R222" s="21"/>
      <c r="S222" s="21"/>
      <c r="T222" s="21"/>
      <c r="U222" s="21"/>
      <c r="V222" s="21"/>
      <c r="W222" s="21"/>
      <c r="X222" s="1"/>
      <c r="Y222" s="1"/>
      <c r="Z222" s="1"/>
      <c r="AA222" s="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</row>
    <row r="223" spans="1:39" ht="15.75" customHeight="1">
      <c r="A223" s="21"/>
      <c r="B223" s="21"/>
      <c r="C223" s="1"/>
      <c r="D223" s="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1"/>
      <c r="Q223" s="591"/>
      <c r="R223" s="21"/>
      <c r="S223" s="21"/>
      <c r="T223" s="21"/>
      <c r="U223" s="21"/>
      <c r="V223" s="21"/>
      <c r="W223" s="21"/>
      <c r="X223" s="1"/>
      <c r="Y223" s="1"/>
      <c r="Z223" s="1"/>
      <c r="AA223" s="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</row>
    <row r="224" spans="1:39" ht="15.75" customHeight="1">
      <c r="A224" s="21"/>
      <c r="B224" s="21"/>
      <c r="C224" s="1"/>
      <c r="D224" s="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1"/>
      <c r="Q224" s="591"/>
      <c r="R224" s="21"/>
      <c r="S224" s="21"/>
      <c r="T224" s="21"/>
      <c r="U224" s="21"/>
      <c r="V224" s="21"/>
      <c r="W224" s="21"/>
      <c r="X224" s="1"/>
      <c r="Y224" s="1"/>
      <c r="Z224" s="1"/>
      <c r="AA224" s="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</row>
    <row r="225" spans="1:39" ht="15.75" customHeight="1">
      <c r="A225" s="21"/>
      <c r="B225" s="21"/>
      <c r="C225" s="1"/>
      <c r="D225" s="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1"/>
      <c r="Q225" s="591"/>
      <c r="R225" s="21"/>
      <c r="S225" s="21"/>
      <c r="T225" s="21"/>
      <c r="U225" s="21"/>
      <c r="V225" s="21"/>
      <c r="W225" s="21"/>
      <c r="X225" s="1"/>
      <c r="Y225" s="1"/>
      <c r="Z225" s="1"/>
      <c r="AA225" s="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</row>
    <row r="226" spans="1:39" ht="15.75" customHeight="1">
      <c r="A226" s="21"/>
      <c r="B226" s="21"/>
      <c r="C226" s="1"/>
      <c r="D226" s="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1"/>
      <c r="Q226" s="591"/>
      <c r="R226" s="21"/>
      <c r="S226" s="21"/>
      <c r="T226" s="21"/>
      <c r="U226" s="21"/>
      <c r="V226" s="21"/>
      <c r="W226" s="21"/>
      <c r="X226" s="1"/>
      <c r="Y226" s="1"/>
      <c r="Z226" s="1"/>
      <c r="AA226" s="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</row>
    <row r="227" spans="1:39" ht="15.75" customHeight="1">
      <c r="A227" s="21"/>
      <c r="B227" s="21"/>
      <c r="C227" s="1"/>
      <c r="D227" s="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1"/>
      <c r="Q227" s="591"/>
      <c r="R227" s="21"/>
      <c r="S227" s="21"/>
      <c r="T227" s="21"/>
      <c r="U227" s="21"/>
      <c r="V227" s="21"/>
      <c r="W227" s="21"/>
      <c r="X227" s="1"/>
      <c r="Y227" s="1"/>
      <c r="Z227" s="1"/>
      <c r="AA227" s="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</row>
    <row r="228" spans="1:39" ht="15.75" customHeight="1">
      <c r="A228" s="21"/>
      <c r="B228" s="21"/>
      <c r="C228" s="1"/>
      <c r="D228" s="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1"/>
      <c r="Q228" s="591"/>
      <c r="R228" s="21"/>
      <c r="S228" s="21"/>
      <c r="T228" s="21"/>
      <c r="U228" s="21"/>
      <c r="V228" s="21"/>
      <c r="W228" s="21"/>
      <c r="X228" s="1"/>
      <c r="Y228" s="1"/>
      <c r="Z228" s="1"/>
      <c r="AA228" s="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</row>
    <row r="229" spans="1:39" ht="15.75" customHeight="1">
      <c r="A229" s="21"/>
      <c r="B229" s="21"/>
      <c r="C229" s="1"/>
      <c r="D229" s="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1"/>
      <c r="Q229" s="591"/>
      <c r="R229" s="21"/>
      <c r="S229" s="21"/>
      <c r="T229" s="21"/>
      <c r="U229" s="21"/>
      <c r="V229" s="21"/>
      <c r="W229" s="21"/>
      <c r="X229" s="1"/>
      <c r="Y229" s="1"/>
      <c r="Z229" s="1"/>
      <c r="AA229" s="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</row>
    <row r="230" spans="1:39" ht="15.75" customHeight="1">
      <c r="A230" s="21"/>
      <c r="B230" s="21"/>
      <c r="C230" s="1"/>
      <c r="D230" s="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1"/>
      <c r="Q230" s="591"/>
      <c r="R230" s="21"/>
      <c r="S230" s="21"/>
      <c r="T230" s="21"/>
      <c r="U230" s="21"/>
      <c r="V230" s="21"/>
      <c r="W230" s="21"/>
      <c r="X230" s="1"/>
      <c r="Y230" s="1"/>
      <c r="Z230" s="1"/>
      <c r="AA230" s="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</row>
    <row r="231" spans="1:39" ht="15.75" customHeight="1">
      <c r="A231" s="21"/>
      <c r="B231" s="21"/>
      <c r="C231" s="1"/>
      <c r="D231" s="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1"/>
      <c r="Q231" s="591"/>
      <c r="R231" s="21"/>
      <c r="S231" s="21"/>
      <c r="T231" s="21"/>
      <c r="U231" s="21"/>
      <c r="V231" s="21"/>
      <c r="W231" s="21"/>
      <c r="X231" s="1"/>
      <c r="Y231" s="1"/>
      <c r="Z231" s="1"/>
      <c r="AA231" s="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</row>
    <row r="232" spans="1:39" ht="15.75" customHeight="1">
      <c r="A232" s="21"/>
      <c r="B232" s="21"/>
      <c r="C232" s="1"/>
      <c r="D232" s="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1"/>
      <c r="Q232" s="591"/>
      <c r="R232" s="21"/>
      <c r="S232" s="21"/>
      <c r="T232" s="21"/>
      <c r="U232" s="21"/>
      <c r="V232" s="21"/>
      <c r="W232" s="21"/>
      <c r="X232" s="1"/>
      <c r="Y232" s="1"/>
      <c r="Z232" s="1"/>
      <c r="AA232" s="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</row>
    <row r="233" spans="1:39" ht="15.75" customHeight="1">
      <c r="A233" s="21"/>
      <c r="B233" s="21"/>
      <c r="C233" s="1"/>
      <c r="D233" s="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1"/>
      <c r="Q233" s="591"/>
      <c r="R233" s="21"/>
      <c r="S233" s="21"/>
      <c r="T233" s="21"/>
      <c r="U233" s="21"/>
      <c r="V233" s="21"/>
      <c r="W233" s="21"/>
      <c r="X233" s="1"/>
      <c r="Y233" s="1"/>
      <c r="Z233" s="1"/>
      <c r="AA233" s="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</row>
    <row r="234" spans="1:39" ht="15.75" customHeight="1">
      <c r="A234" s="21"/>
      <c r="B234" s="21"/>
      <c r="C234" s="1"/>
      <c r="D234" s="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1"/>
      <c r="Q234" s="591"/>
      <c r="R234" s="21"/>
      <c r="S234" s="21"/>
      <c r="T234" s="21"/>
      <c r="U234" s="21"/>
      <c r="V234" s="21"/>
      <c r="W234" s="21"/>
      <c r="X234" s="1"/>
      <c r="Y234" s="1"/>
      <c r="Z234" s="1"/>
      <c r="AA234" s="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</row>
    <row r="235" spans="1:39" ht="15.75" customHeight="1">
      <c r="A235" s="21"/>
      <c r="B235" s="21"/>
      <c r="C235" s="1"/>
      <c r="D235" s="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1"/>
      <c r="Q235" s="591"/>
      <c r="R235" s="21"/>
      <c r="S235" s="21"/>
      <c r="T235" s="21"/>
      <c r="U235" s="21"/>
      <c r="V235" s="21"/>
      <c r="W235" s="21"/>
      <c r="X235" s="1"/>
      <c r="Y235" s="1"/>
      <c r="Z235" s="1"/>
      <c r="AA235" s="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</row>
    <row r="236" spans="1:39" ht="15.75" customHeight="1">
      <c r="A236" s="21"/>
      <c r="B236" s="21"/>
      <c r="C236" s="1"/>
      <c r="D236" s="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1"/>
      <c r="Q236" s="591"/>
      <c r="R236" s="21"/>
      <c r="S236" s="21"/>
      <c r="T236" s="21"/>
      <c r="U236" s="21"/>
      <c r="V236" s="21"/>
      <c r="W236" s="21"/>
      <c r="X236" s="1"/>
      <c r="Y236" s="1"/>
      <c r="Z236" s="1"/>
      <c r="AA236" s="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</row>
    <row r="237" spans="1:39" ht="15.75" customHeight="1">
      <c r="A237" s="21"/>
      <c r="B237" s="21"/>
      <c r="C237" s="1"/>
      <c r="D237" s="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1"/>
      <c r="Q237" s="591"/>
      <c r="R237" s="21"/>
      <c r="S237" s="21"/>
      <c r="T237" s="21"/>
      <c r="U237" s="21"/>
      <c r="V237" s="21"/>
      <c r="W237" s="21"/>
      <c r="X237" s="1"/>
      <c r="Y237" s="1"/>
      <c r="Z237" s="1"/>
      <c r="AA237" s="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</row>
    <row r="238" spans="1:39" ht="15.75" customHeight="1">
      <c r="A238" s="21"/>
      <c r="B238" s="21"/>
      <c r="C238" s="1"/>
      <c r="D238" s="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1"/>
      <c r="Q238" s="591"/>
      <c r="R238" s="21"/>
      <c r="S238" s="21"/>
      <c r="T238" s="21"/>
      <c r="U238" s="21"/>
      <c r="V238" s="21"/>
      <c r="W238" s="21"/>
      <c r="X238" s="1"/>
      <c r="Y238" s="1"/>
      <c r="Z238" s="1"/>
      <c r="AA238" s="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</row>
    <row r="239" spans="1:39" ht="15.75" customHeight="1">
      <c r="A239" s="21"/>
      <c r="B239" s="21"/>
      <c r="C239" s="1"/>
      <c r="D239" s="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1"/>
      <c r="Q239" s="591"/>
      <c r="R239" s="21"/>
      <c r="S239" s="21"/>
      <c r="T239" s="21"/>
      <c r="U239" s="21"/>
      <c r="V239" s="21"/>
      <c r="W239" s="21"/>
      <c r="X239" s="1"/>
      <c r="Y239" s="1"/>
      <c r="Z239" s="1"/>
      <c r="AA239" s="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</row>
    <row r="240" spans="1:39" ht="15.75" customHeight="1">
      <c r="A240" s="21"/>
      <c r="B240" s="21"/>
      <c r="C240" s="1"/>
      <c r="D240" s="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1"/>
      <c r="Q240" s="591"/>
      <c r="R240" s="21"/>
      <c r="S240" s="21"/>
      <c r="T240" s="21"/>
      <c r="U240" s="21"/>
      <c r="V240" s="21"/>
      <c r="W240" s="21"/>
      <c r="X240" s="1"/>
      <c r="Y240" s="1"/>
      <c r="Z240" s="1"/>
      <c r="AA240" s="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</row>
    <row r="241" spans="1:39" ht="15.75" customHeight="1">
      <c r="A241" s="21"/>
      <c r="B241" s="21"/>
      <c r="C241" s="1"/>
      <c r="D241" s="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1"/>
      <c r="Q241" s="591"/>
      <c r="R241" s="21"/>
      <c r="S241" s="21"/>
      <c r="T241" s="21"/>
      <c r="U241" s="21"/>
      <c r="V241" s="21"/>
      <c r="W241" s="21"/>
      <c r="X241" s="1"/>
      <c r="Y241" s="1"/>
      <c r="Z241" s="1"/>
      <c r="AA241" s="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</row>
    <row r="242" spans="1:39" ht="15.75" customHeight="1">
      <c r="A242" s="21"/>
      <c r="B242" s="21"/>
      <c r="C242" s="1"/>
      <c r="D242" s="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1"/>
      <c r="Q242" s="591"/>
      <c r="R242" s="21"/>
      <c r="S242" s="21"/>
      <c r="T242" s="21"/>
      <c r="U242" s="21"/>
      <c r="V242" s="21"/>
      <c r="W242" s="21"/>
      <c r="X242" s="1"/>
      <c r="Y242" s="1"/>
      <c r="Z242" s="1"/>
      <c r="AA242" s="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</row>
    <row r="243" spans="1:39" ht="15.75" customHeight="1">
      <c r="A243" s="21"/>
      <c r="B243" s="21"/>
      <c r="C243" s="1"/>
      <c r="D243" s="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1"/>
      <c r="Q243" s="591"/>
      <c r="R243" s="21"/>
      <c r="S243" s="21"/>
      <c r="T243" s="21"/>
      <c r="U243" s="21"/>
      <c r="V243" s="21"/>
      <c r="W243" s="21"/>
      <c r="X243" s="1"/>
      <c r="Y243" s="1"/>
      <c r="Z243" s="1"/>
      <c r="AA243" s="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</row>
    <row r="244" spans="1:39" ht="15.75" customHeight="1">
      <c r="A244" s="21"/>
      <c r="B244" s="21"/>
      <c r="C244" s="1"/>
      <c r="D244" s="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1"/>
      <c r="Q244" s="591"/>
      <c r="R244" s="21"/>
      <c r="S244" s="21"/>
      <c r="T244" s="21"/>
      <c r="U244" s="21"/>
      <c r="V244" s="21"/>
      <c r="W244" s="21"/>
      <c r="X244" s="1"/>
      <c r="Y244" s="1"/>
      <c r="Z244" s="1"/>
      <c r="AA244" s="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</row>
    <row r="245" spans="1:39" ht="15.75" customHeight="1">
      <c r="A245" s="21"/>
      <c r="B245" s="21"/>
      <c r="C245" s="1"/>
      <c r="D245" s="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1"/>
      <c r="Q245" s="591"/>
      <c r="R245" s="21"/>
      <c r="S245" s="21"/>
      <c r="T245" s="21"/>
      <c r="U245" s="21"/>
      <c r="V245" s="21"/>
      <c r="W245" s="21"/>
      <c r="X245" s="1"/>
      <c r="Y245" s="1"/>
      <c r="Z245" s="1"/>
      <c r="AA245" s="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</row>
    <row r="246" spans="1:39" ht="15.75" customHeight="1">
      <c r="A246" s="21"/>
      <c r="B246" s="21"/>
      <c r="C246" s="1"/>
      <c r="D246" s="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1"/>
      <c r="Q246" s="591"/>
      <c r="R246" s="21"/>
      <c r="S246" s="21"/>
      <c r="T246" s="21"/>
      <c r="U246" s="21"/>
      <c r="V246" s="21"/>
      <c r="W246" s="21"/>
      <c r="X246" s="1"/>
      <c r="Y246" s="1"/>
      <c r="Z246" s="1"/>
      <c r="AA246" s="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</row>
    <row r="247" spans="1:39" ht="15.75" customHeight="1">
      <c r="A247" s="21"/>
      <c r="B247" s="21"/>
      <c r="C247" s="1"/>
      <c r="D247" s="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1"/>
      <c r="Q247" s="591"/>
      <c r="R247" s="21"/>
      <c r="S247" s="21"/>
      <c r="T247" s="21"/>
      <c r="U247" s="21"/>
      <c r="V247" s="21"/>
      <c r="W247" s="21"/>
      <c r="X247" s="1"/>
      <c r="Y247" s="1"/>
      <c r="Z247" s="1"/>
      <c r="AA247" s="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</row>
    <row r="248" spans="1:39" ht="15.75" customHeight="1">
      <c r="A248" s="21"/>
      <c r="B248" s="21"/>
      <c r="C248" s="1"/>
      <c r="D248" s="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1"/>
      <c r="Q248" s="591"/>
      <c r="R248" s="21"/>
      <c r="S248" s="21"/>
      <c r="T248" s="21"/>
      <c r="U248" s="21"/>
      <c r="V248" s="21"/>
      <c r="W248" s="21"/>
      <c r="X248" s="1"/>
      <c r="Y248" s="1"/>
      <c r="Z248" s="1"/>
      <c r="AA248" s="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</row>
    <row r="249" spans="1:39" ht="15.75" customHeight="1">
      <c r="A249" s="21"/>
      <c r="B249" s="21"/>
      <c r="C249" s="1"/>
      <c r="D249" s="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1"/>
      <c r="Q249" s="591"/>
      <c r="R249" s="21"/>
      <c r="S249" s="21"/>
      <c r="T249" s="21"/>
      <c r="U249" s="21"/>
      <c r="V249" s="21"/>
      <c r="W249" s="21"/>
      <c r="X249" s="1"/>
      <c r="Y249" s="1"/>
      <c r="Z249" s="1"/>
      <c r="AA249" s="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</row>
    <row r="250" spans="1:39" ht="15.75" customHeight="1">
      <c r="A250" s="21"/>
      <c r="B250" s="21"/>
      <c r="C250" s="1"/>
      <c r="D250" s="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1"/>
      <c r="Q250" s="591"/>
      <c r="R250" s="21"/>
      <c r="S250" s="21"/>
      <c r="T250" s="21"/>
      <c r="U250" s="21"/>
      <c r="V250" s="21"/>
      <c r="W250" s="21"/>
      <c r="X250" s="1"/>
      <c r="Y250" s="1"/>
      <c r="Z250" s="1"/>
      <c r="AA250" s="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</row>
    <row r="251" spans="1:39" ht="15.75" customHeight="1">
      <c r="A251" s="21"/>
      <c r="B251" s="21"/>
      <c r="C251" s="1"/>
      <c r="D251" s="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1"/>
      <c r="Q251" s="591"/>
      <c r="R251" s="21"/>
      <c r="S251" s="21"/>
      <c r="T251" s="21"/>
      <c r="U251" s="21"/>
      <c r="V251" s="21"/>
      <c r="W251" s="21"/>
      <c r="X251" s="1"/>
      <c r="Y251" s="1"/>
      <c r="Z251" s="1"/>
      <c r="AA251" s="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</row>
    <row r="252" spans="1:39" ht="15.75" customHeight="1">
      <c r="A252" s="21"/>
      <c r="B252" s="21"/>
      <c r="C252" s="1"/>
      <c r="D252" s="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1"/>
      <c r="Q252" s="591"/>
      <c r="R252" s="21"/>
      <c r="S252" s="21"/>
      <c r="T252" s="21"/>
      <c r="U252" s="21"/>
      <c r="V252" s="21"/>
      <c r="W252" s="21"/>
      <c r="X252" s="1"/>
      <c r="Y252" s="1"/>
      <c r="Z252" s="1"/>
      <c r="AA252" s="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</row>
    <row r="253" spans="1:39" ht="15.75" customHeight="1">
      <c r="A253" s="21"/>
      <c r="B253" s="21"/>
      <c r="C253" s="1"/>
      <c r="D253" s="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1"/>
      <c r="Q253" s="591"/>
      <c r="R253" s="21"/>
      <c r="S253" s="21"/>
      <c r="T253" s="21"/>
      <c r="U253" s="21"/>
      <c r="V253" s="21"/>
      <c r="W253" s="21"/>
      <c r="X253" s="1"/>
      <c r="Y253" s="1"/>
      <c r="Z253" s="1"/>
      <c r="AA253" s="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</row>
    <row r="254" spans="1:39" ht="15.75" customHeight="1">
      <c r="A254" s="21"/>
      <c r="B254" s="21"/>
      <c r="C254" s="1"/>
      <c r="D254" s="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1"/>
      <c r="Q254" s="591"/>
      <c r="R254" s="21"/>
      <c r="S254" s="21"/>
      <c r="T254" s="21"/>
      <c r="U254" s="21"/>
      <c r="V254" s="21"/>
      <c r="W254" s="21"/>
      <c r="X254" s="1"/>
      <c r="Y254" s="1"/>
      <c r="Z254" s="1"/>
      <c r="AA254" s="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</row>
    <row r="255" spans="1:39" ht="15.75" customHeight="1">
      <c r="A255" s="21"/>
      <c r="B255" s="21"/>
      <c r="C255" s="1"/>
      <c r="D255" s="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1"/>
      <c r="Q255" s="591"/>
      <c r="R255" s="21"/>
      <c r="S255" s="21"/>
      <c r="T255" s="21"/>
      <c r="U255" s="21"/>
      <c r="V255" s="21"/>
      <c r="W255" s="21"/>
      <c r="X255" s="1"/>
      <c r="Y255" s="1"/>
      <c r="Z255" s="1"/>
      <c r="AA255" s="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</row>
    <row r="256" spans="1:39" ht="15.75" customHeight="1">
      <c r="A256" s="21"/>
      <c r="B256" s="21"/>
      <c r="C256" s="1"/>
      <c r="D256" s="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1"/>
      <c r="Q256" s="591"/>
      <c r="R256" s="21"/>
      <c r="S256" s="21"/>
      <c r="T256" s="21"/>
      <c r="U256" s="21"/>
      <c r="V256" s="21"/>
      <c r="W256" s="21"/>
      <c r="X256" s="1"/>
      <c r="Y256" s="1"/>
      <c r="Z256" s="1"/>
      <c r="AA256" s="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</row>
    <row r="257" spans="1:39" ht="15.75" customHeight="1">
      <c r="A257" s="21"/>
      <c r="B257" s="21"/>
      <c r="C257" s="1"/>
      <c r="D257" s="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1"/>
      <c r="Q257" s="591"/>
      <c r="R257" s="21"/>
      <c r="S257" s="21"/>
      <c r="T257" s="21"/>
      <c r="U257" s="21"/>
      <c r="V257" s="21"/>
      <c r="W257" s="21"/>
      <c r="X257" s="1"/>
      <c r="Y257" s="1"/>
      <c r="Z257" s="1"/>
      <c r="AA257" s="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</row>
    <row r="258" spans="1:39" ht="15.75" customHeight="1">
      <c r="A258" s="21"/>
      <c r="B258" s="21"/>
      <c r="C258" s="1"/>
      <c r="D258" s="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1"/>
      <c r="Q258" s="591"/>
      <c r="R258" s="21"/>
      <c r="S258" s="21"/>
      <c r="T258" s="21"/>
      <c r="U258" s="21"/>
      <c r="V258" s="21"/>
      <c r="W258" s="21"/>
      <c r="X258" s="1"/>
      <c r="Y258" s="1"/>
      <c r="Z258" s="1"/>
      <c r="AA258" s="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</row>
    <row r="259" spans="1:39" ht="15.75" customHeight="1">
      <c r="A259" s="21"/>
      <c r="B259" s="21"/>
      <c r="C259" s="1"/>
      <c r="D259" s="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1"/>
      <c r="Q259" s="591"/>
      <c r="R259" s="21"/>
      <c r="S259" s="21"/>
      <c r="T259" s="21"/>
      <c r="U259" s="21"/>
      <c r="V259" s="21"/>
      <c r="W259" s="21"/>
      <c r="X259" s="1"/>
      <c r="Y259" s="1"/>
      <c r="Z259" s="1"/>
      <c r="AA259" s="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</row>
    <row r="260" spans="1:39" ht="15.75" customHeight="1">
      <c r="A260" s="21"/>
      <c r="B260" s="21"/>
      <c r="C260" s="1"/>
      <c r="D260" s="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1"/>
      <c r="Q260" s="591"/>
      <c r="R260" s="21"/>
      <c r="S260" s="21"/>
      <c r="T260" s="21"/>
      <c r="U260" s="21"/>
      <c r="V260" s="21"/>
      <c r="W260" s="21"/>
      <c r="X260" s="1"/>
      <c r="Y260" s="1"/>
      <c r="Z260" s="1"/>
      <c r="AA260" s="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</row>
    <row r="261" spans="1:39" ht="15.75" customHeight="1">
      <c r="A261" s="21"/>
      <c r="B261" s="21"/>
      <c r="C261" s="1"/>
      <c r="D261" s="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1"/>
      <c r="Q261" s="591"/>
      <c r="R261" s="21"/>
      <c r="S261" s="21"/>
      <c r="T261" s="21"/>
      <c r="U261" s="21"/>
      <c r="V261" s="21"/>
      <c r="W261" s="21"/>
      <c r="X261" s="1"/>
      <c r="Y261" s="1"/>
      <c r="Z261" s="1"/>
      <c r="AA261" s="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</row>
    <row r="262" spans="1:39" ht="15.75" customHeight="1">
      <c r="A262" s="21"/>
      <c r="B262" s="21"/>
      <c r="C262" s="1"/>
      <c r="D262" s="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1"/>
      <c r="Q262" s="591"/>
      <c r="R262" s="21"/>
      <c r="S262" s="21"/>
      <c r="T262" s="21"/>
      <c r="U262" s="21"/>
      <c r="V262" s="21"/>
      <c r="W262" s="21"/>
      <c r="X262" s="1"/>
      <c r="Y262" s="1"/>
      <c r="Z262" s="1"/>
      <c r="AA262" s="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</row>
    <row r="263" spans="1:39" ht="15.75" customHeight="1">
      <c r="A263" s="21"/>
      <c r="B263" s="21"/>
      <c r="C263" s="1"/>
      <c r="D263" s="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1"/>
      <c r="Q263" s="591"/>
      <c r="R263" s="21"/>
      <c r="S263" s="21"/>
      <c r="T263" s="21"/>
      <c r="U263" s="21"/>
      <c r="V263" s="21"/>
      <c r="W263" s="21"/>
      <c r="X263" s="1"/>
      <c r="Y263" s="1"/>
      <c r="Z263" s="1"/>
      <c r="AA263" s="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</row>
    <row r="264" spans="1:39" ht="15.75" customHeight="1">
      <c r="A264" s="21"/>
      <c r="B264" s="21"/>
      <c r="C264" s="1"/>
      <c r="D264" s="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1"/>
      <c r="Q264" s="591"/>
      <c r="R264" s="21"/>
      <c r="S264" s="21"/>
      <c r="T264" s="21"/>
      <c r="U264" s="21"/>
      <c r="V264" s="21"/>
      <c r="W264" s="21"/>
      <c r="X264" s="1"/>
      <c r="Y264" s="1"/>
      <c r="Z264" s="1"/>
      <c r="AA264" s="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</row>
    <row r="265" spans="1:39" ht="15.75" customHeight="1">
      <c r="A265" s="21"/>
      <c r="B265" s="21"/>
      <c r="C265" s="1"/>
      <c r="D265" s="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1"/>
      <c r="Q265" s="591"/>
      <c r="R265" s="21"/>
      <c r="S265" s="21"/>
      <c r="T265" s="21"/>
      <c r="U265" s="21"/>
      <c r="V265" s="21"/>
      <c r="W265" s="21"/>
      <c r="X265" s="1"/>
      <c r="Y265" s="1"/>
      <c r="Z265" s="1"/>
      <c r="AA265" s="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</row>
    <row r="266" spans="1:39" ht="15.75" customHeight="1">
      <c r="A266" s="21"/>
      <c r="B266" s="21"/>
      <c r="C266" s="1"/>
      <c r="D266" s="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1"/>
      <c r="Q266" s="591"/>
      <c r="R266" s="21"/>
      <c r="S266" s="21"/>
      <c r="T266" s="21"/>
      <c r="U266" s="21"/>
      <c r="V266" s="21"/>
      <c r="W266" s="21"/>
      <c r="X266" s="1"/>
      <c r="Y266" s="1"/>
      <c r="Z266" s="1"/>
      <c r="AA266" s="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</row>
    <row r="267" spans="1:39" ht="15.75" customHeight="1">
      <c r="A267" s="21"/>
      <c r="B267" s="21"/>
      <c r="C267" s="1"/>
      <c r="D267" s="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1"/>
      <c r="Q267" s="591"/>
      <c r="R267" s="21"/>
      <c r="S267" s="21"/>
      <c r="T267" s="21"/>
      <c r="U267" s="21"/>
      <c r="V267" s="21"/>
      <c r="W267" s="21"/>
      <c r="X267" s="1"/>
      <c r="Y267" s="1"/>
      <c r="Z267" s="1"/>
      <c r="AA267" s="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</row>
    <row r="268" spans="1:39" ht="15.75" customHeight="1">
      <c r="A268" s="21"/>
      <c r="B268" s="21"/>
      <c r="C268" s="1"/>
      <c r="D268" s="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1"/>
      <c r="Q268" s="591"/>
      <c r="R268" s="21"/>
      <c r="S268" s="21"/>
      <c r="T268" s="21"/>
      <c r="U268" s="21"/>
      <c r="V268" s="21"/>
      <c r="W268" s="21"/>
      <c r="X268" s="1"/>
      <c r="Y268" s="1"/>
      <c r="Z268" s="1"/>
      <c r="AA268" s="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</row>
    <row r="269" spans="1:39" ht="15.75" customHeight="1">
      <c r="A269" s="21"/>
      <c r="B269" s="21"/>
      <c r="C269" s="1"/>
      <c r="D269" s="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1"/>
      <c r="Q269" s="591"/>
      <c r="R269" s="21"/>
      <c r="S269" s="21"/>
      <c r="T269" s="21"/>
      <c r="U269" s="21"/>
      <c r="V269" s="21"/>
      <c r="W269" s="21"/>
      <c r="X269" s="1"/>
      <c r="Y269" s="1"/>
      <c r="Z269" s="1"/>
      <c r="AA269" s="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</row>
    <row r="270" spans="1:39" ht="15.75" customHeight="1">
      <c r="A270" s="21"/>
      <c r="B270" s="21"/>
      <c r="C270" s="1"/>
      <c r="D270" s="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1"/>
      <c r="Q270" s="591"/>
      <c r="R270" s="21"/>
      <c r="S270" s="21"/>
      <c r="T270" s="21"/>
      <c r="U270" s="21"/>
      <c r="V270" s="21"/>
      <c r="W270" s="21"/>
      <c r="X270" s="1"/>
      <c r="Y270" s="1"/>
      <c r="Z270" s="1"/>
      <c r="AA270" s="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</row>
    <row r="271" spans="1:39" ht="15.75" customHeight="1">
      <c r="A271" s="21"/>
      <c r="B271" s="21"/>
      <c r="C271" s="1"/>
      <c r="D271" s="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1"/>
      <c r="Q271" s="591"/>
      <c r="R271" s="21"/>
      <c r="S271" s="21"/>
      <c r="T271" s="21"/>
      <c r="U271" s="21"/>
      <c r="V271" s="21"/>
      <c r="W271" s="21"/>
      <c r="X271" s="1"/>
      <c r="Y271" s="1"/>
      <c r="Z271" s="1"/>
      <c r="AA271" s="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</row>
    <row r="272" spans="1:39" ht="15.75" customHeight="1">
      <c r="A272" s="21"/>
      <c r="B272" s="21"/>
      <c r="C272" s="1"/>
      <c r="D272" s="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1"/>
      <c r="Q272" s="591"/>
      <c r="R272" s="21"/>
      <c r="S272" s="21"/>
      <c r="T272" s="21"/>
      <c r="U272" s="21"/>
      <c r="V272" s="21"/>
      <c r="W272" s="21"/>
      <c r="X272" s="1"/>
      <c r="Y272" s="1"/>
      <c r="Z272" s="1"/>
      <c r="AA272" s="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</row>
    <row r="273" spans="1:39" ht="15.75" customHeight="1">
      <c r="A273" s="21"/>
      <c r="B273" s="21"/>
      <c r="C273" s="1"/>
      <c r="D273" s="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1"/>
      <c r="Q273" s="591"/>
      <c r="R273" s="21"/>
      <c r="S273" s="21"/>
      <c r="T273" s="21"/>
      <c r="U273" s="21"/>
      <c r="V273" s="21"/>
      <c r="W273" s="21"/>
      <c r="X273" s="1"/>
      <c r="Y273" s="1"/>
      <c r="Z273" s="1"/>
      <c r="AA273" s="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</row>
    <row r="274" spans="1:39" ht="15.75" customHeight="1">
      <c r="A274" s="21"/>
      <c r="B274" s="21"/>
      <c r="C274" s="1"/>
      <c r="D274" s="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1"/>
      <c r="Q274" s="591"/>
      <c r="R274" s="21"/>
      <c r="S274" s="21"/>
      <c r="T274" s="21"/>
      <c r="U274" s="21"/>
      <c r="V274" s="21"/>
      <c r="W274" s="21"/>
      <c r="X274" s="1"/>
      <c r="Y274" s="1"/>
      <c r="Z274" s="1"/>
      <c r="AA274" s="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</row>
    <row r="275" spans="1:39" ht="15.75" customHeight="1">
      <c r="A275" s="21"/>
      <c r="B275" s="21"/>
      <c r="C275" s="1"/>
      <c r="D275" s="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1"/>
      <c r="Q275" s="591"/>
      <c r="R275" s="21"/>
      <c r="S275" s="21"/>
      <c r="T275" s="21"/>
      <c r="U275" s="21"/>
      <c r="V275" s="21"/>
      <c r="W275" s="21"/>
      <c r="X275" s="1"/>
      <c r="Y275" s="1"/>
      <c r="Z275" s="1"/>
      <c r="AA275" s="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</row>
    <row r="276" spans="1:39" ht="15.75" customHeight="1">
      <c r="A276" s="21"/>
      <c r="B276" s="21"/>
      <c r="C276" s="1"/>
      <c r="D276" s="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1"/>
      <c r="Q276" s="591"/>
      <c r="R276" s="21"/>
      <c r="S276" s="21"/>
      <c r="T276" s="21"/>
      <c r="U276" s="21"/>
      <c r="V276" s="21"/>
      <c r="W276" s="21"/>
      <c r="X276" s="1"/>
      <c r="Y276" s="1"/>
      <c r="Z276" s="1"/>
      <c r="AA276" s="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</row>
    <row r="277" spans="1:39" ht="15.75" customHeight="1">
      <c r="A277" s="21"/>
      <c r="B277" s="21"/>
      <c r="C277" s="1"/>
      <c r="D277" s="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1"/>
      <c r="Q277" s="591"/>
      <c r="R277" s="21"/>
      <c r="S277" s="21"/>
      <c r="T277" s="21"/>
      <c r="U277" s="21"/>
      <c r="V277" s="21"/>
      <c r="W277" s="21"/>
      <c r="X277" s="1"/>
      <c r="Y277" s="1"/>
      <c r="Z277" s="1"/>
      <c r="AA277" s="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</row>
    <row r="278" spans="1:39" ht="15.75" customHeight="1">
      <c r="A278" s="21"/>
      <c r="B278" s="21"/>
      <c r="C278" s="1"/>
      <c r="D278" s="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1"/>
      <c r="Q278" s="591"/>
      <c r="R278" s="21"/>
      <c r="S278" s="21"/>
      <c r="T278" s="21"/>
      <c r="U278" s="21"/>
      <c r="V278" s="21"/>
      <c r="W278" s="21"/>
      <c r="X278" s="1"/>
      <c r="Y278" s="1"/>
      <c r="Z278" s="1"/>
      <c r="AA278" s="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</row>
    <row r="279" spans="1:39" ht="15.75" customHeight="1"/>
    <row r="280" spans="1:39" ht="15.75" customHeight="1"/>
    <row r="281" spans="1:39" ht="15.75" customHeight="1"/>
    <row r="282" spans="1:39" ht="15.75" customHeight="1"/>
    <row r="283" spans="1:39" ht="15.75" customHeight="1"/>
    <row r="284" spans="1:39" ht="15.75" customHeight="1"/>
    <row r="285" spans="1:39" ht="15.75" customHeight="1"/>
    <row r="286" spans="1:39" ht="15.75" customHeight="1"/>
    <row r="287" spans="1:39" ht="15.75" customHeight="1"/>
    <row r="288" spans="1:3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K1:M1"/>
    <mergeCell ref="O1:P1"/>
    <mergeCell ref="V41:AC41"/>
  </mergeCells>
  <phoneticPr fontId="65" type="noConversion"/>
  <conditionalFormatting sqref="B3:C75 P67:P70">
    <cfRule type="cellIs" dxfId="25" priority="1" stopIfTrue="1" operator="equal">
      <formula>$B$79</formula>
    </cfRule>
  </conditionalFormatting>
  <conditionalFormatting sqref="F3:F76">
    <cfRule type="notContainsBlanks" dxfId="24" priority="2">
      <formula>LEN(TRIM(F3))&gt;0</formula>
    </cfRule>
  </conditionalFormatting>
  <conditionalFormatting sqref="G3:G27 G29:G76">
    <cfRule type="notContainsBlanks" dxfId="23" priority="3">
      <formula>LEN(TRIM(G3))&gt;0</formula>
    </cfRule>
  </conditionalFormatting>
  <conditionalFormatting sqref="G9 H3:H66 G28">
    <cfRule type="notContainsBlanks" dxfId="22" priority="4">
      <formula>LEN(TRIM(G3))&gt;0</formula>
    </cfRule>
  </conditionalFormatting>
  <conditionalFormatting sqref="J3:J76">
    <cfRule type="cellIs" dxfId="21" priority="5" stopIfTrue="1" operator="greaterThan">
      <formula>0</formula>
    </cfRule>
  </conditionalFormatting>
  <conditionalFormatting sqref="Q3:Q76">
    <cfRule type="cellIs" dxfId="20" priority="6" operator="equal">
      <formula>$Q$1</formula>
    </cfRule>
  </conditionalFormatting>
  <pageMargins left="0.69930555555555596" right="0.69930555555555596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1000"/>
  <sheetViews>
    <sheetView workbookViewId="0"/>
  </sheetViews>
  <sheetFormatPr defaultColWidth="11.09765625" defaultRowHeight="15" customHeight="1"/>
  <cols>
    <col min="1" max="1" width="8.5" customWidth="1"/>
    <col min="2" max="2" width="13" customWidth="1"/>
    <col min="3" max="3" width="13.59765625" customWidth="1"/>
    <col min="4" max="4" width="34.796875" customWidth="1"/>
    <col min="5" max="6" width="32.59765625" customWidth="1"/>
    <col min="7" max="7" width="34.59765625" customWidth="1"/>
    <col min="8" max="8" width="25.09765625" customWidth="1"/>
    <col min="9" max="11" width="8.5" customWidth="1"/>
  </cols>
  <sheetData>
    <row r="1" spans="2:11" ht="36" customHeight="1">
      <c r="C1" s="641" t="s">
        <v>393</v>
      </c>
      <c r="D1" s="641">
        <v>102</v>
      </c>
      <c r="E1" s="642">
        <v>202</v>
      </c>
      <c r="F1" s="642">
        <v>86</v>
      </c>
      <c r="G1" s="642">
        <v>103</v>
      </c>
      <c r="H1" s="642">
        <v>22</v>
      </c>
      <c r="I1" s="642">
        <v>91</v>
      </c>
      <c r="J1" s="642">
        <v>120</v>
      </c>
      <c r="K1" s="642">
        <v>152</v>
      </c>
    </row>
    <row r="2" spans="2:11" ht="36" customHeight="1">
      <c r="C2" s="641"/>
      <c r="D2" s="641" t="s">
        <v>394</v>
      </c>
      <c r="E2" s="641" t="s">
        <v>393</v>
      </c>
      <c r="F2" s="641" t="s">
        <v>395</v>
      </c>
      <c r="G2" s="641" t="s">
        <v>396</v>
      </c>
      <c r="H2" s="641" t="s">
        <v>397</v>
      </c>
    </row>
    <row r="3" spans="2:11" ht="15.75" customHeight="1">
      <c r="B3" s="643" t="s">
        <v>398</v>
      </c>
      <c r="C3" s="643" t="s">
        <v>399</v>
      </c>
      <c r="D3" s="641"/>
      <c r="E3" s="641"/>
      <c r="F3" s="641"/>
    </row>
    <row r="4" spans="2:11" ht="15.75" customHeight="1">
      <c r="B4" s="643" t="s">
        <v>400</v>
      </c>
      <c r="C4" s="643" t="s">
        <v>401</v>
      </c>
      <c r="D4" s="921" t="s">
        <v>402</v>
      </c>
      <c r="E4" s="641" t="s">
        <v>403</v>
      </c>
      <c r="F4" s="921" t="s">
        <v>404</v>
      </c>
      <c r="G4" s="921" t="s">
        <v>405</v>
      </c>
      <c r="H4" s="921" t="s">
        <v>406</v>
      </c>
    </row>
    <row r="5" spans="2:11" ht="15.75" customHeight="1">
      <c r="B5" s="643" t="s">
        <v>407</v>
      </c>
      <c r="C5" s="643" t="s">
        <v>408</v>
      </c>
      <c r="D5" s="921" t="s">
        <v>402</v>
      </c>
      <c r="E5" s="641" t="s">
        <v>403</v>
      </c>
      <c r="F5" s="921" t="s">
        <v>404</v>
      </c>
      <c r="G5" s="921" t="s">
        <v>405</v>
      </c>
      <c r="H5" s="921" t="s">
        <v>409</v>
      </c>
    </row>
    <row r="6" spans="2:11" ht="15.75" customHeight="1">
      <c r="B6" s="644" t="s">
        <v>410</v>
      </c>
      <c r="C6" s="644" t="s">
        <v>411</v>
      </c>
    </row>
    <row r="7" spans="2:11" ht="15.75" customHeight="1">
      <c r="B7" s="643" t="s">
        <v>412</v>
      </c>
      <c r="C7" s="643" t="s">
        <v>413</v>
      </c>
      <c r="D7" s="921" t="s">
        <v>414</v>
      </c>
      <c r="E7" s="921" t="s">
        <v>415</v>
      </c>
      <c r="F7" s="921" t="s">
        <v>416</v>
      </c>
      <c r="G7" s="921" t="s">
        <v>417</v>
      </c>
      <c r="H7" s="642" t="s">
        <v>416</v>
      </c>
    </row>
    <row r="8" spans="2:11" ht="15.75" customHeight="1">
      <c r="B8" s="643" t="s">
        <v>418</v>
      </c>
      <c r="C8" s="643" t="s">
        <v>419</v>
      </c>
      <c r="D8" s="641" t="s">
        <v>414</v>
      </c>
      <c r="E8" s="921" t="s">
        <v>415</v>
      </c>
      <c r="F8" s="921" t="s">
        <v>416</v>
      </c>
      <c r="G8" s="641" t="s">
        <v>420</v>
      </c>
      <c r="H8" s="642" t="s">
        <v>416</v>
      </c>
    </row>
    <row r="9" spans="2:11" ht="15.75" customHeight="1">
      <c r="B9" s="644" t="s">
        <v>421</v>
      </c>
      <c r="C9" s="644" t="s">
        <v>422</v>
      </c>
    </row>
    <row r="10" spans="2:11" ht="15.75" customHeight="1">
      <c r="B10" s="643" t="s">
        <v>423</v>
      </c>
      <c r="C10" s="643" t="s">
        <v>424</v>
      </c>
      <c r="D10" s="921" t="s">
        <v>425</v>
      </c>
      <c r="E10" s="921" t="s">
        <v>426</v>
      </c>
      <c r="F10" s="642" t="s">
        <v>425</v>
      </c>
      <c r="G10" s="921" t="s">
        <v>427</v>
      </c>
      <c r="H10" s="921" t="s">
        <v>428</v>
      </c>
    </row>
    <row r="11" spans="2:11" ht="15.75" customHeight="1">
      <c r="B11" s="643" t="s">
        <v>429</v>
      </c>
      <c r="C11" s="643" t="s">
        <v>430</v>
      </c>
      <c r="D11" s="921" t="s">
        <v>425</v>
      </c>
      <c r="E11" s="921" t="s">
        <v>431</v>
      </c>
      <c r="F11" s="642" t="s">
        <v>425</v>
      </c>
      <c r="G11" s="921" t="s">
        <v>432</v>
      </c>
      <c r="H11" s="921" t="s">
        <v>433</v>
      </c>
    </row>
    <row r="12" spans="2:11" ht="15.75" customHeight="1">
      <c r="B12" s="644" t="s">
        <v>434</v>
      </c>
      <c r="C12" s="644" t="s">
        <v>435</v>
      </c>
    </row>
    <row r="13" spans="2:11" ht="15.75" customHeight="1">
      <c r="B13" s="643" t="s">
        <v>436</v>
      </c>
      <c r="C13" s="643" t="s">
        <v>437</v>
      </c>
      <c r="D13" s="921" t="s">
        <v>438</v>
      </c>
      <c r="E13" s="921" t="s">
        <v>439</v>
      </c>
      <c r="F13" s="921" t="s">
        <v>440</v>
      </c>
      <c r="G13" s="642" t="s">
        <v>425</v>
      </c>
      <c r="H13" s="921" t="s">
        <v>441</v>
      </c>
    </row>
    <row r="14" spans="2:11" ht="15.75" customHeight="1">
      <c r="B14" s="643" t="s">
        <v>442</v>
      </c>
      <c r="C14" s="643" t="s">
        <v>443</v>
      </c>
      <c r="D14" s="921" t="s">
        <v>444</v>
      </c>
      <c r="E14" s="921" t="s">
        <v>445</v>
      </c>
      <c r="F14" s="641" t="s">
        <v>446</v>
      </c>
      <c r="G14" s="921" t="s">
        <v>416</v>
      </c>
      <c r="H14" s="921" t="s">
        <v>447</v>
      </c>
    </row>
    <row r="15" spans="2:11" ht="15.75" customHeight="1">
      <c r="B15" s="643" t="s">
        <v>448</v>
      </c>
      <c r="C15" s="643" t="s">
        <v>442</v>
      </c>
      <c r="E15" s="641" t="s">
        <v>449</v>
      </c>
      <c r="H15" s="921" t="s">
        <v>450</v>
      </c>
    </row>
    <row r="16" spans="2:11" ht="15.75" customHeight="1">
      <c r="B16" s="643"/>
      <c r="C16" s="643" t="s">
        <v>448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69930555555555596" right="0.69930555555555596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1000"/>
  <sheetViews>
    <sheetView workbookViewId="0"/>
  </sheetViews>
  <sheetFormatPr defaultColWidth="11.09765625" defaultRowHeight="15" customHeight="1"/>
  <cols>
    <col min="1" max="1" width="8.09765625" customWidth="1"/>
    <col min="2" max="2" width="11.296875" customWidth="1"/>
    <col min="3" max="8" width="7" customWidth="1"/>
    <col min="9" max="14" width="4.09765625" customWidth="1"/>
    <col min="15" max="38" width="4.59765625" customWidth="1"/>
    <col min="39" max="39" width="12.59765625" customWidth="1"/>
  </cols>
  <sheetData>
    <row r="1" spans="1:39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.6">
      <c r="A2" s="1"/>
      <c r="B2" s="1"/>
      <c r="C2" s="986" t="s">
        <v>451</v>
      </c>
      <c r="D2" s="987"/>
      <c r="E2" s="987"/>
      <c r="F2" s="987"/>
      <c r="G2" s="987"/>
      <c r="H2" s="951"/>
      <c r="I2" s="985" t="s">
        <v>452</v>
      </c>
      <c r="J2" s="954"/>
      <c r="K2" s="954"/>
      <c r="L2" s="954"/>
      <c r="M2" s="954"/>
      <c r="N2" s="955"/>
      <c r="O2" s="985" t="s">
        <v>453</v>
      </c>
      <c r="P2" s="954"/>
      <c r="Q2" s="954"/>
      <c r="R2" s="954"/>
      <c r="S2" s="954"/>
      <c r="T2" s="955"/>
      <c r="U2" s="985" t="s">
        <v>454</v>
      </c>
      <c r="V2" s="954"/>
      <c r="W2" s="954"/>
      <c r="X2" s="954"/>
      <c r="Y2" s="954"/>
      <c r="Z2" s="955"/>
      <c r="AA2" s="985" t="s">
        <v>396</v>
      </c>
      <c r="AB2" s="954"/>
      <c r="AC2" s="954"/>
      <c r="AD2" s="954"/>
      <c r="AE2" s="954"/>
      <c r="AF2" s="955"/>
      <c r="AG2" s="985" t="s">
        <v>397</v>
      </c>
      <c r="AH2" s="954"/>
      <c r="AI2" s="954"/>
      <c r="AJ2" s="954"/>
      <c r="AK2" s="954"/>
      <c r="AL2" s="955"/>
      <c r="AM2" s="1"/>
    </row>
    <row r="3" spans="1:39" ht="46.8">
      <c r="A3" s="3" t="s">
        <v>455</v>
      </c>
      <c r="B3" s="4" t="s">
        <v>456</v>
      </c>
      <c r="C3" s="5" t="s">
        <v>155</v>
      </c>
      <c r="D3" s="6" t="s">
        <v>156</v>
      </c>
      <c r="E3" s="6" t="s">
        <v>157</v>
      </c>
      <c r="F3" s="6" t="s">
        <v>158</v>
      </c>
      <c r="G3" s="6" t="s">
        <v>159</v>
      </c>
      <c r="H3" s="7" t="s">
        <v>268</v>
      </c>
      <c r="I3" s="5" t="s">
        <v>155</v>
      </c>
      <c r="J3" s="6" t="s">
        <v>156</v>
      </c>
      <c r="K3" s="6" t="s">
        <v>157</v>
      </c>
      <c r="L3" s="6" t="s">
        <v>158</v>
      </c>
      <c r="M3" s="6" t="s">
        <v>159</v>
      </c>
      <c r="N3" s="7" t="s">
        <v>268</v>
      </c>
      <c r="O3" s="5" t="s">
        <v>155</v>
      </c>
      <c r="P3" s="6" t="s">
        <v>156</v>
      </c>
      <c r="Q3" s="6" t="s">
        <v>157</v>
      </c>
      <c r="R3" s="6" t="s">
        <v>158</v>
      </c>
      <c r="S3" s="6" t="s">
        <v>159</v>
      </c>
      <c r="T3" s="7" t="s">
        <v>268</v>
      </c>
      <c r="U3" s="5" t="s">
        <v>155</v>
      </c>
      <c r="V3" s="6" t="s">
        <v>156</v>
      </c>
      <c r="W3" s="6" t="s">
        <v>157</v>
      </c>
      <c r="X3" s="6" t="s">
        <v>158</v>
      </c>
      <c r="Y3" s="6" t="s">
        <v>159</v>
      </c>
      <c r="Z3" s="7" t="s">
        <v>268</v>
      </c>
      <c r="AA3" s="5" t="s">
        <v>155</v>
      </c>
      <c r="AB3" s="6" t="s">
        <v>156</v>
      </c>
      <c r="AC3" s="6" t="s">
        <v>157</v>
      </c>
      <c r="AD3" s="6" t="s">
        <v>158</v>
      </c>
      <c r="AE3" s="6" t="s">
        <v>159</v>
      </c>
      <c r="AF3" s="7" t="s">
        <v>268</v>
      </c>
      <c r="AG3" s="5" t="s">
        <v>155</v>
      </c>
      <c r="AH3" s="6" t="s">
        <v>156</v>
      </c>
      <c r="AI3" s="6" t="s">
        <v>157</v>
      </c>
      <c r="AJ3" s="6" t="s">
        <v>158</v>
      </c>
      <c r="AK3" s="6" t="s">
        <v>159</v>
      </c>
      <c r="AL3" s="7" t="s">
        <v>268</v>
      </c>
      <c r="AM3" s="1" t="s">
        <v>65</v>
      </c>
    </row>
    <row r="4" spans="1:39" ht="15.6">
      <c r="A4" s="8"/>
      <c r="B4" s="2"/>
      <c r="C4" s="8">
        <f t="shared" ref="C4:H4" si="0">I4+O4+U4+AA4+AG4</f>
        <v>5</v>
      </c>
      <c r="D4" s="2">
        <f t="shared" si="0"/>
        <v>5</v>
      </c>
      <c r="E4" s="2">
        <f t="shared" si="0"/>
        <v>5</v>
      </c>
      <c r="F4" s="2">
        <f t="shared" si="0"/>
        <v>5</v>
      </c>
      <c r="G4" s="2">
        <f t="shared" si="0"/>
        <v>5</v>
      </c>
      <c r="H4" s="9">
        <f t="shared" si="0"/>
        <v>5</v>
      </c>
      <c r="I4" s="8">
        <v>1</v>
      </c>
      <c r="J4" s="2">
        <v>1</v>
      </c>
      <c r="K4" s="2">
        <v>1</v>
      </c>
      <c r="L4" s="2">
        <v>1</v>
      </c>
      <c r="M4" s="2">
        <v>1</v>
      </c>
      <c r="N4" s="9">
        <v>1</v>
      </c>
      <c r="O4" s="8">
        <v>1</v>
      </c>
      <c r="P4" s="2">
        <v>1</v>
      </c>
      <c r="Q4" s="2">
        <v>1</v>
      </c>
      <c r="R4" s="2">
        <v>1</v>
      </c>
      <c r="S4" s="2">
        <v>1</v>
      </c>
      <c r="T4" s="9">
        <v>1</v>
      </c>
      <c r="U4" s="8">
        <v>1</v>
      </c>
      <c r="V4" s="2">
        <v>1</v>
      </c>
      <c r="W4" s="2">
        <v>1</v>
      </c>
      <c r="X4" s="2">
        <v>1</v>
      </c>
      <c r="Y4" s="2">
        <v>1</v>
      </c>
      <c r="Z4" s="9">
        <v>1</v>
      </c>
      <c r="AA4" s="8">
        <v>1</v>
      </c>
      <c r="AB4" s="2">
        <v>1</v>
      </c>
      <c r="AC4" s="2">
        <v>1</v>
      </c>
      <c r="AD4" s="2">
        <v>1</v>
      </c>
      <c r="AE4" s="2">
        <v>1</v>
      </c>
      <c r="AF4" s="9">
        <v>1</v>
      </c>
      <c r="AG4" s="8">
        <v>1</v>
      </c>
      <c r="AH4" s="2">
        <v>1</v>
      </c>
      <c r="AI4" s="2">
        <v>1</v>
      </c>
      <c r="AJ4" s="2">
        <v>1</v>
      </c>
      <c r="AK4" s="2">
        <v>1</v>
      </c>
      <c r="AL4" s="9">
        <v>1</v>
      </c>
      <c r="AM4" s="1"/>
    </row>
    <row r="5" spans="1:39" ht="15.6">
      <c r="A5" s="5" t="s">
        <v>76</v>
      </c>
      <c r="B5" s="6">
        <v>3</v>
      </c>
      <c r="C5" s="5">
        <v>0.2</v>
      </c>
      <c r="D5" s="6"/>
      <c r="E5" s="6"/>
      <c r="F5" s="6"/>
      <c r="G5" s="6"/>
      <c r="H5" s="7"/>
      <c r="I5" s="5"/>
      <c r="J5" s="6"/>
      <c r="K5" s="6">
        <v>2</v>
      </c>
      <c r="L5" s="6"/>
      <c r="M5" s="6"/>
      <c r="N5" s="7">
        <v>2</v>
      </c>
      <c r="O5" s="5">
        <v>3.5</v>
      </c>
      <c r="P5" s="6"/>
      <c r="Q5" s="6"/>
      <c r="R5" s="6"/>
      <c r="S5" s="6"/>
      <c r="T5" s="7">
        <v>1</v>
      </c>
      <c r="U5" s="5">
        <v>2</v>
      </c>
      <c r="V5" s="6"/>
      <c r="W5" s="6">
        <v>1</v>
      </c>
      <c r="X5" s="6"/>
      <c r="Y5" s="6"/>
      <c r="Z5" s="7">
        <v>2</v>
      </c>
      <c r="AA5" s="5">
        <v>2</v>
      </c>
      <c r="AB5" s="6"/>
      <c r="AC5" s="6">
        <v>2</v>
      </c>
      <c r="AD5" s="6"/>
      <c r="AE5" s="6"/>
      <c r="AF5" s="7">
        <v>2</v>
      </c>
      <c r="AG5" s="5">
        <v>2</v>
      </c>
      <c r="AH5" s="6"/>
      <c r="AI5" s="6">
        <v>2</v>
      </c>
      <c r="AJ5" s="6"/>
      <c r="AK5" s="6"/>
      <c r="AL5" s="7"/>
      <c r="AM5" s="1">
        <f t="shared" ref="AM5:AM67" si="1">C$4*C5+D$4*D5+E$4*E5+F$4*F5+G$4*G5+H$4*H5+I$4*I5+J$4*J5+K$4*K5+L$4*L5+M$4*M5+N$4*N5+O$4*O5+P$4*P5+Q$4*Q5+R$4*R5+S$4*S5+T$4*T5+U$4*U5+V$4*V5+W$4*W5+X$4*X5+Y$4*Y5+Z$4*Z5+AA$4*AA5+AB$4*AB5+AC$4*AC5+AD$4*AD5+AE$4*AE5+AF$4*AF5+AG$4*AG5+AH$4*AH5+AI$4*AI5+AJ$4*AJ5+AK$4*AK5+AL$4*AL5</f>
        <v>24.5</v>
      </c>
    </row>
    <row r="6" spans="1:39" ht="15.6">
      <c r="A6" s="10" t="s">
        <v>77</v>
      </c>
      <c r="B6" s="1">
        <v>4</v>
      </c>
      <c r="C6" s="10"/>
      <c r="D6" s="1"/>
      <c r="E6" s="1"/>
      <c r="F6" s="1">
        <v>0.2</v>
      </c>
      <c r="G6" s="1"/>
      <c r="H6" s="11"/>
      <c r="I6" s="10"/>
      <c r="J6" s="1"/>
      <c r="K6" s="1">
        <v>1</v>
      </c>
      <c r="L6" s="1">
        <v>1</v>
      </c>
      <c r="M6" s="1">
        <v>1</v>
      </c>
      <c r="N6" s="11">
        <v>1</v>
      </c>
      <c r="O6" s="10"/>
      <c r="P6" s="1"/>
      <c r="Q6" s="1">
        <v>1</v>
      </c>
      <c r="R6" s="1">
        <v>3</v>
      </c>
      <c r="S6" s="1">
        <v>1</v>
      </c>
      <c r="T6" s="11">
        <v>2</v>
      </c>
      <c r="U6" s="10"/>
      <c r="V6" s="1"/>
      <c r="W6" s="1">
        <v>1</v>
      </c>
      <c r="X6" s="1"/>
      <c r="Y6" s="1"/>
      <c r="Z6" s="11">
        <v>2</v>
      </c>
      <c r="AA6" s="10"/>
      <c r="AB6" s="1">
        <v>1</v>
      </c>
      <c r="AC6" s="1">
        <v>1</v>
      </c>
      <c r="AD6" s="1"/>
      <c r="AE6" s="1">
        <v>2</v>
      </c>
      <c r="AF6" s="11"/>
      <c r="AG6" s="10">
        <v>1</v>
      </c>
      <c r="AH6" s="1"/>
      <c r="AI6" s="1"/>
      <c r="AJ6" s="1">
        <v>2</v>
      </c>
      <c r="AK6" s="1">
        <v>1</v>
      </c>
      <c r="AL6" s="11"/>
      <c r="AM6" s="1">
        <f t="shared" si="1"/>
        <v>23</v>
      </c>
    </row>
    <row r="7" spans="1:39" ht="15.6">
      <c r="A7" s="10" t="s">
        <v>78</v>
      </c>
      <c r="B7" s="1">
        <v>5</v>
      </c>
      <c r="C7" s="10"/>
      <c r="D7" s="1"/>
      <c r="E7" s="1"/>
      <c r="F7" s="1"/>
      <c r="G7" s="1"/>
      <c r="H7" s="11"/>
      <c r="I7" s="10">
        <v>2</v>
      </c>
      <c r="J7" s="1"/>
      <c r="K7" s="1"/>
      <c r="L7" s="1">
        <v>3</v>
      </c>
      <c r="M7" s="1"/>
      <c r="N7" s="11">
        <v>1</v>
      </c>
      <c r="O7" s="10">
        <v>1</v>
      </c>
      <c r="P7" s="1"/>
      <c r="Q7" s="1"/>
      <c r="R7" s="1">
        <v>2</v>
      </c>
      <c r="S7" s="1"/>
      <c r="T7" s="11">
        <v>1</v>
      </c>
      <c r="U7" s="10">
        <v>1</v>
      </c>
      <c r="V7" s="1"/>
      <c r="W7" s="1"/>
      <c r="X7" s="1">
        <v>3</v>
      </c>
      <c r="Y7" s="1"/>
      <c r="Z7" s="11">
        <v>1</v>
      </c>
      <c r="AA7" s="10">
        <v>2</v>
      </c>
      <c r="AB7" s="1"/>
      <c r="AC7" s="1"/>
      <c r="AD7" s="1">
        <v>1</v>
      </c>
      <c r="AE7" s="1"/>
      <c r="AF7" s="11">
        <v>2</v>
      </c>
      <c r="AG7" s="10"/>
      <c r="AH7" s="1"/>
      <c r="AI7" s="1"/>
      <c r="AJ7" s="1">
        <v>1</v>
      </c>
      <c r="AK7" s="1"/>
      <c r="AL7" s="11">
        <v>2</v>
      </c>
      <c r="AM7" s="1">
        <f t="shared" si="1"/>
        <v>23</v>
      </c>
    </row>
    <row r="8" spans="1:39" ht="15.6">
      <c r="A8" s="10" t="s">
        <v>79</v>
      </c>
      <c r="B8" s="1">
        <v>20</v>
      </c>
      <c r="C8" s="10">
        <v>0.2</v>
      </c>
      <c r="D8" s="1"/>
      <c r="E8" s="1"/>
      <c r="F8" s="1"/>
      <c r="G8" s="1"/>
      <c r="H8" s="11"/>
      <c r="I8" s="10">
        <v>2</v>
      </c>
      <c r="J8" s="1"/>
      <c r="K8" s="1"/>
      <c r="L8" s="1">
        <v>2</v>
      </c>
      <c r="M8" s="1"/>
      <c r="N8" s="11">
        <v>2</v>
      </c>
      <c r="O8" s="10">
        <v>2.5</v>
      </c>
      <c r="P8" s="1"/>
      <c r="Q8" s="1"/>
      <c r="R8" s="1"/>
      <c r="S8" s="1">
        <v>0.5</v>
      </c>
      <c r="T8" s="11">
        <v>2</v>
      </c>
      <c r="U8" s="10">
        <v>1</v>
      </c>
      <c r="V8" s="1"/>
      <c r="W8" s="1"/>
      <c r="X8" s="1">
        <v>1</v>
      </c>
      <c r="Y8" s="1"/>
      <c r="Z8" s="11">
        <v>0.5</v>
      </c>
      <c r="AA8" s="10">
        <v>2</v>
      </c>
      <c r="AB8" s="1"/>
      <c r="AC8" s="1"/>
      <c r="AD8" s="1">
        <v>1</v>
      </c>
      <c r="AE8" s="1"/>
      <c r="AF8" s="11"/>
      <c r="AG8" s="10"/>
      <c r="AH8" s="1"/>
      <c r="AI8" s="1"/>
      <c r="AJ8" s="1">
        <v>1</v>
      </c>
      <c r="AK8" s="1"/>
      <c r="AL8" s="11">
        <v>2</v>
      </c>
      <c r="AM8" s="1">
        <f t="shared" si="1"/>
        <v>20.5</v>
      </c>
    </row>
    <row r="9" spans="1:39" ht="15.6">
      <c r="A9" s="8" t="s">
        <v>81</v>
      </c>
      <c r="B9" s="2">
        <v>22</v>
      </c>
      <c r="C9" s="8"/>
      <c r="D9" s="2"/>
      <c r="E9" s="2"/>
      <c r="F9" s="2"/>
      <c r="G9" s="2">
        <v>0.2</v>
      </c>
      <c r="H9" s="9"/>
      <c r="I9" s="8"/>
      <c r="J9" s="2"/>
      <c r="K9" s="2"/>
      <c r="L9" s="2">
        <v>2</v>
      </c>
      <c r="M9" s="2">
        <v>1</v>
      </c>
      <c r="N9" s="9"/>
      <c r="O9" s="8">
        <v>2</v>
      </c>
      <c r="P9" s="2"/>
      <c r="Q9" s="2"/>
      <c r="R9" s="2">
        <v>1</v>
      </c>
      <c r="S9" s="2">
        <v>3.5</v>
      </c>
      <c r="T9" s="9"/>
      <c r="U9" s="8">
        <v>2</v>
      </c>
      <c r="V9" s="2"/>
      <c r="W9" s="2"/>
      <c r="X9" s="2">
        <v>2</v>
      </c>
      <c r="Y9" s="2">
        <v>2</v>
      </c>
      <c r="Z9" s="9"/>
      <c r="AA9" s="8">
        <v>2</v>
      </c>
      <c r="AB9" s="2"/>
      <c r="AC9" s="2"/>
      <c r="AD9" s="2"/>
      <c r="AE9" s="2">
        <v>1</v>
      </c>
      <c r="AF9" s="9"/>
      <c r="AG9" s="8">
        <v>2</v>
      </c>
      <c r="AH9" s="2"/>
      <c r="AI9" s="2"/>
      <c r="AJ9" s="2">
        <v>2</v>
      </c>
      <c r="AK9" s="2">
        <v>2</v>
      </c>
      <c r="AL9" s="9"/>
      <c r="AM9" s="1">
        <f t="shared" si="1"/>
        <v>25.5</v>
      </c>
    </row>
    <row r="10" spans="1:39" ht="15.6">
      <c r="A10" s="5" t="s">
        <v>82</v>
      </c>
      <c r="B10" s="6">
        <v>25</v>
      </c>
      <c r="C10" s="5"/>
      <c r="D10" s="6"/>
      <c r="E10" s="6"/>
      <c r="F10" s="6"/>
      <c r="G10" s="6"/>
      <c r="H10" s="7"/>
      <c r="I10" s="5">
        <v>0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5"/>
      <c r="P10" s="6"/>
      <c r="Q10" s="6">
        <v>1</v>
      </c>
      <c r="R10" s="6"/>
      <c r="S10" s="6">
        <v>1</v>
      </c>
      <c r="T10" s="7"/>
      <c r="U10" s="5"/>
      <c r="V10" s="6"/>
      <c r="W10" s="6"/>
      <c r="X10" s="6"/>
      <c r="Y10" s="6">
        <v>2</v>
      </c>
      <c r="Z10" s="7">
        <v>2</v>
      </c>
      <c r="AA10" s="5"/>
      <c r="AB10" s="6"/>
      <c r="AC10" s="6"/>
      <c r="AD10" s="6"/>
      <c r="AE10" s="6">
        <v>1</v>
      </c>
      <c r="AF10" s="7">
        <v>2</v>
      </c>
      <c r="AG10" s="5"/>
      <c r="AH10" s="6"/>
      <c r="AI10" s="6">
        <v>1</v>
      </c>
      <c r="AJ10" s="6"/>
      <c r="AK10" s="6">
        <v>1</v>
      </c>
      <c r="AL10" s="7">
        <v>1</v>
      </c>
      <c r="AM10" s="1">
        <f t="shared" si="1"/>
        <v>12</v>
      </c>
    </row>
    <row r="11" spans="1:39" ht="15.6">
      <c r="A11" s="10" t="s">
        <v>83</v>
      </c>
      <c r="B11" s="1">
        <v>32</v>
      </c>
      <c r="C11" s="10"/>
      <c r="D11" s="1"/>
      <c r="E11" s="1"/>
      <c r="F11" s="1"/>
      <c r="G11" s="1"/>
      <c r="H11" s="11"/>
      <c r="I11" s="10"/>
      <c r="J11" s="1"/>
      <c r="K11" s="1"/>
      <c r="L11" s="1"/>
      <c r="M11" s="1">
        <v>2</v>
      </c>
      <c r="N11" s="11">
        <v>1</v>
      </c>
      <c r="O11" s="10"/>
      <c r="P11" s="1"/>
      <c r="Q11" s="1"/>
      <c r="R11" s="1"/>
      <c r="S11" s="1">
        <v>2</v>
      </c>
      <c r="T11" s="11"/>
      <c r="U11" s="10"/>
      <c r="V11" s="1"/>
      <c r="W11" s="1"/>
      <c r="X11" s="1">
        <v>2</v>
      </c>
      <c r="Y11" s="1"/>
      <c r="Z11" s="11">
        <v>2</v>
      </c>
      <c r="AA11" s="10"/>
      <c r="AB11" s="1"/>
      <c r="AC11" s="1"/>
      <c r="AD11" s="1">
        <v>2</v>
      </c>
      <c r="AE11" s="1">
        <v>1</v>
      </c>
      <c r="AF11" s="11"/>
      <c r="AG11" s="10"/>
      <c r="AH11" s="1"/>
      <c r="AI11" s="1"/>
      <c r="AJ11" s="1">
        <v>2</v>
      </c>
      <c r="AK11" s="1">
        <v>1</v>
      </c>
      <c r="AL11" s="11"/>
      <c r="AM11" s="1">
        <f t="shared" si="1"/>
        <v>15</v>
      </c>
    </row>
    <row r="12" spans="1:39" ht="15.6">
      <c r="A12" s="10" t="s">
        <v>84</v>
      </c>
      <c r="B12" s="1">
        <v>37</v>
      </c>
      <c r="C12" s="10"/>
      <c r="D12" s="1"/>
      <c r="E12" s="1"/>
      <c r="F12" s="1">
        <v>0.2</v>
      </c>
      <c r="G12" s="1"/>
      <c r="H12" s="11"/>
      <c r="I12" s="10"/>
      <c r="J12" s="1"/>
      <c r="K12" s="1"/>
      <c r="L12" s="1">
        <v>3</v>
      </c>
      <c r="M12" s="1"/>
      <c r="N12" s="11"/>
      <c r="O12" s="10"/>
      <c r="P12" s="1"/>
      <c r="Q12" s="1">
        <v>2</v>
      </c>
      <c r="R12" s="1">
        <v>3.5</v>
      </c>
      <c r="S12" s="1"/>
      <c r="T12" s="11"/>
      <c r="U12" s="10"/>
      <c r="V12" s="1"/>
      <c r="W12" s="1">
        <v>1</v>
      </c>
      <c r="X12" s="1">
        <v>1</v>
      </c>
      <c r="Y12" s="1"/>
      <c r="Z12" s="11">
        <v>2</v>
      </c>
      <c r="AA12" s="10"/>
      <c r="AB12" s="1"/>
      <c r="AC12" s="1">
        <v>3</v>
      </c>
      <c r="AD12" s="1">
        <v>1</v>
      </c>
      <c r="AE12" s="1"/>
      <c r="AF12" s="11">
        <v>2</v>
      </c>
      <c r="AG12" s="10"/>
      <c r="AH12" s="1"/>
      <c r="AI12" s="1"/>
      <c r="AJ12" s="1">
        <v>3</v>
      </c>
      <c r="AK12" s="1"/>
      <c r="AL12" s="11">
        <v>1</v>
      </c>
      <c r="AM12" s="1">
        <f t="shared" si="1"/>
        <v>23.5</v>
      </c>
    </row>
    <row r="13" spans="1:39" ht="15.6">
      <c r="A13" s="10" t="s">
        <v>85</v>
      </c>
      <c r="B13" s="1">
        <v>39</v>
      </c>
      <c r="C13" s="10"/>
      <c r="D13" s="1"/>
      <c r="E13" s="1"/>
      <c r="F13" s="1"/>
      <c r="G13" s="1"/>
      <c r="H13" s="11"/>
      <c r="I13" s="10"/>
      <c r="J13" s="1"/>
      <c r="K13" s="1">
        <v>2</v>
      </c>
      <c r="L13" s="1">
        <v>2</v>
      </c>
      <c r="M13" s="1">
        <v>1</v>
      </c>
      <c r="N13" s="11"/>
      <c r="O13" s="10"/>
      <c r="P13" s="1"/>
      <c r="Q13" s="1">
        <v>1</v>
      </c>
      <c r="R13" s="1">
        <v>1</v>
      </c>
      <c r="S13" s="1">
        <v>2</v>
      </c>
      <c r="T13" s="11"/>
      <c r="U13" s="10"/>
      <c r="V13" s="1"/>
      <c r="W13" s="1">
        <v>2</v>
      </c>
      <c r="X13" s="1">
        <v>2</v>
      </c>
      <c r="Y13" s="1">
        <v>1</v>
      </c>
      <c r="Z13" s="11"/>
      <c r="AA13" s="10"/>
      <c r="AB13" s="1"/>
      <c r="AC13" s="1"/>
      <c r="AD13" s="1"/>
      <c r="AE13" s="1">
        <v>2</v>
      </c>
      <c r="AF13" s="11">
        <v>1</v>
      </c>
      <c r="AG13" s="10"/>
      <c r="AH13" s="1"/>
      <c r="AI13" s="1">
        <v>2</v>
      </c>
      <c r="AJ13" s="1">
        <v>2</v>
      </c>
      <c r="AK13" s="1">
        <v>2</v>
      </c>
      <c r="AL13" s="11">
        <v>1</v>
      </c>
      <c r="AM13" s="1">
        <f t="shared" si="1"/>
        <v>24</v>
      </c>
    </row>
    <row r="14" spans="1:39" ht="15.6">
      <c r="A14" s="8" t="s">
        <v>86</v>
      </c>
      <c r="B14" s="2">
        <v>49</v>
      </c>
      <c r="C14" s="8"/>
      <c r="D14" s="2"/>
      <c r="E14" s="2"/>
      <c r="F14" s="2">
        <v>0.2</v>
      </c>
      <c r="G14" s="2"/>
      <c r="H14" s="9"/>
      <c r="I14" s="8">
        <v>1</v>
      </c>
      <c r="J14" s="2">
        <v>2</v>
      </c>
      <c r="K14" s="2"/>
      <c r="L14" s="2">
        <v>2</v>
      </c>
      <c r="M14" s="2"/>
      <c r="N14" s="9"/>
      <c r="O14" s="8">
        <v>1</v>
      </c>
      <c r="P14" s="2">
        <v>1</v>
      </c>
      <c r="Q14" s="2"/>
      <c r="R14" s="2">
        <v>2.5</v>
      </c>
      <c r="S14" s="2"/>
      <c r="T14" s="9"/>
      <c r="U14" s="8">
        <v>1</v>
      </c>
      <c r="V14" s="2">
        <v>3</v>
      </c>
      <c r="W14" s="2"/>
      <c r="X14" s="2">
        <v>2</v>
      </c>
      <c r="Y14" s="2"/>
      <c r="Z14" s="9"/>
      <c r="AA14" s="8">
        <v>2</v>
      </c>
      <c r="AB14" s="2"/>
      <c r="AC14" s="2"/>
      <c r="AD14" s="2">
        <v>2</v>
      </c>
      <c r="AE14" s="2"/>
      <c r="AF14" s="9"/>
      <c r="AG14" s="8">
        <v>3</v>
      </c>
      <c r="AH14" s="2">
        <v>2</v>
      </c>
      <c r="AI14" s="2"/>
      <c r="AJ14" s="2"/>
      <c r="AK14" s="2"/>
      <c r="AL14" s="9"/>
      <c r="AM14" s="1">
        <f t="shared" si="1"/>
        <v>25.5</v>
      </c>
    </row>
    <row r="15" spans="1:39" ht="15.6">
      <c r="A15" s="5" t="s">
        <v>87</v>
      </c>
      <c r="B15" s="6">
        <v>67</v>
      </c>
      <c r="C15" s="5">
        <v>0.2</v>
      </c>
      <c r="D15" s="6"/>
      <c r="E15" s="6"/>
      <c r="F15" s="6"/>
      <c r="G15" s="6"/>
      <c r="H15" s="7"/>
      <c r="I15" s="5">
        <v>2</v>
      </c>
      <c r="J15" s="6">
        <v>4</v>
      </c>
      <c r="K15" s="6"/>
      <c r="L15" s="6"/>
      <c r="M15" s="6"/>
      <c r="N15" s="7"/>
      <c r="O15" s="5">
        <v>2.5</v>
      </c>
      <c r="P15" s="6">
        <v>2</v>
      </c>
      <c r="Q15" s="6"/>
      <c r="R15" s="6"/>
      <c r="S15" s="6"/>
      <c r="T15" s="7"/>
      <c r="U15" s="5">
        <v>2</v>
      </c>
      <c r="V15" s="6">
        <v>2</v>
      </c>
      <c r="W15" s="6"/>
      <c r="X15" s="6"/>
      <c r="Y15" s="6"/>
      <c r="Z15" s="7"/>
      <c r="AA15" s="5">
        <v>2</v>
      </c>
      <c r="AB15" s="6">
        <v>4</v>
      </c>
      <c r="AC15" s="6"/>
      <c r="AD15" s="6"/>
      <c r="AE15" s="6"/>
      <c r="AF15" s="7"/>
      <c r="AG15" s="5">
        <v>1</v>
      </c>
      <c r="AH15" s="6">
        <v>4</v>
      </c>
      <c r="AI15" s="6"/>
      <c r="AJ15" s="6"/>
      <c r="AK15" s="6"/>
      <c r="AL15" s="7"/>
      <c r="AM15" s="1">
        <f t="shared" si="1"/>
        <v>26.5</v>
      </c>
    </row>
    <row r="16" spans="1:39" ht="15.6">
      <c r="A16" s="10" t="s">
        <v>88</v>
      </c>
      <c r="B16" s="1">
        <v>72</v>
      </c>
      <c r="C16" s="10"/>
      <c r="D16" s="1"/>
      <c r="E16" s="1"/>
      <c r="F16" s="1"/>
      <c r="G16" s="1"/>
      <c r="H16" s="11"/>
      <c r="I16" s="10">
        <v>2</v>
      </c>
      <c r="J16" s="1">
        <v>2</v>
      </c>
      <c r="K16" s="1"/>
      <c r="L16" s="1"/>
      <c r="M16" s="1"/>
      <c r="N16" s="11"/>
      <c r="O16" s="10">
        <v>2</v>
      </c>
      <c r="P16" s="1">
        <v>4</v>
      </c>
      <c r="Q16" s="1"/>
      <c r="R16" s="1"/>
      <c r="S16" s="1"/>
      <c r="T16" s="11"/>
      <c r="U16" s="10"/>
      <c r="V16" s="1">
        <v>2</v>
      </c>
      <c r="W16" s="1"/>
      <c r="X16" s="1"/>
      <c r="Y16" s="1"/>
      <c r="Z16" s="11"/>
      <c r="AA16" s="10">
        <v>2</v>
      </c>
      <c r="AB16" s="1">
        <v>2</v>
      </c>
      <c r="AC16" s="1"/>
      <c r="AD16" s="1"/>
      <c r="AE16" s="1"/>
      <c r="AF16" s="11"/>
      <c r="AG16" s="10">
        <v>1</v>
      </c>
      <c r="AH16" s="1">
        <v>4</v>
      </c>
      <c r="AI16" s="1"/>
      <c r="AJ16" s="1"/>
      <c r="AK16" s="1"/>
      <c r="AL16" s="11"/>
      <c r="AM16" s="1">
        <f t="shared" si="1"/>
        <v>21</v>
      </c>
    </row>
    <row r="17" spans="1:39" ht="15.6">
      <c r="A17" s="10" t="s">
        <v>89</v>
      </c>
      <c r="B17" s="1">
        <v>73</v>
      </c>
      <c r="C17" s="10"/>
      <c r="D17" s="1"/>
      <c r="E17" s="1"/>
      <c r="F17" s="1">
        <v>0.2</v>
      </c>
      <c r="G17" s="1"/>
      <c r="H17" s="11"/>
      <c r="I17" s="10">
        <v>0</v>
      </c>
      <c r="J17" s="1">
        <v>0</v>
      </c>
      <c r="K17" s="1">
        <v>0</v>
      </c>
      <c r="L17" s="1">
        <v>0</v>
      </c>
      <c r="M17" s="1">
        <v>0</v>
      </c>
      <c r="N17" s="11">
        <v>0</v>
      </c>
      <c r="O17" s="10"/>
      <c r="P17" s="1"/>
      <c r="Q17" s="1">
        <v>2</v>
      </c>
      <c r="R17" s="1">
        <v>4</v>
      </c>
      <c r="S17" s="1">
        <v>1</v>
      </c>
      <c r="T17" s="11"/>
      <c r="U17" s="10"/>
      <c r="V17" s="1"/>
      <c r="W17" s="1"/>
      <c r="X17" s="1"/>
      <c r="Y17" s="1">
        <v>2</v>
      </c>
      <c r="Z17" s="11">
        <v>2</v>
      </c>
      <c r="AA17" s="10"/>
      <c r="AB17" s="1"/>
      <c r="AC17" s="1">
        <v>2</v>
      </c>
      <c r="AD17" s="1">
        <v>2</v>
      </c>
      <c r="AE17" s="1">
        <v>1</v>
      </c>
      <c r="AF17" s="11">
        <v>2</v>
      </c>
      <c r="AG17" s="10"/>
      <c r="AH17" s="1"/>
      <c r="AI17" s="1"/>
      <c r="AJ17" s="1">
        <v>2</v>
      </c>
      <c r="AK17" s="1">
        <v>1</v>
      </c>
      <c r="AL17" s="11">
        <v>1</v>
      </c>
      <c r="AM17" s="1">
        <f t="shared" si="1"/>
        <v>23</v>
      </c>
    </row>
    <row r="18" spans="1:39" ht="15.6">
      <c r="A18" s="10" t="s">
        <v>81</v>
      </c>
      <c r="B18" s="1">
        <v>76</v>
      </c>
      <c r="C18" s="10"/>
      <c r="D18" s="1"/>
      <c r="E18" s="1"/>
      <c r="F18" s="1"/>
      <c r="G18" s="1"/>
      <c r="H18" s="11"/>
      <c r="I18" s="10"/>
      <c r="J18" s="1"/>
      <c r="K18" s="1"/>
      <c r="L18" s="1"/>
      <c r="M18" s="1">
        <v>1</v>
      </c>
      <c r="N18" s="11">
        <v>1.5</v>
      </c>
      <c r="O18" s="10"/>
      <c r="P18" s="1"/>
      <c r="Q18" s="1"/>
      <c r="R18" s="1"/>
      <c r="S18" s="1">
        <v>2.5</v>
      </c>
      <c r="T18" s="11">
        <v>2</v>
      </c>
      <c r="U18" s="10">
        <v>0</v>
      </c>
      <c r="V18" s="1">
        <v>0</v>
      </c>
      <c r="W18" s="1">
        <v>0</v>
      </c>
      <c r="X18" s="1">
        <v>0</v>
      </c>
      <c r="Y18" s="1">
        <v>0</v>
      </c>
      <c r="Z18" s="11">
        <v>0</v>
      </c>
      <c r="AA18" s="10"/>
      <c r="AB18" s="1"/>
      <c r="AC18" s="1"/>
      <c r="AD18" s="1"/>
      <c r="AE18" s="1">
        <v>3</v>
      </c>
      <c r="AF18" s="11"/>
      <c r="AG18" s="10"/>
      <c r="AH18" s="1"/>
      <c r="AI18" s="1"/>
      <c r="AJ18" s="1"/>
      <c r="AK18" s="1">
        <v>2</v>
      </c>
      <c r="AL18" s="11"/>
      <c r="AM18" s="1">
        <f t="shared" si="1"/>
        <v>12</v>
      </c>
    </row>
    <row r="19" spans="1:39" ht="12" customHeight="1">
      <c r="A19" s="10" t="s">
        <v>91</v>
      </c>
      <c r="B19" s="1">
        <v>78</v>
      </c>
      <c r="C19" s="10"/>
      <c r="D19" s="1"/>
      <c r="E19" s="1"/>
      <c r="F19" s="1"/>
      <c r="G19" s="1"/>
      <c r="H19" s="11">
        <v>0.2</v>
      </c>
      <c r="I19" s="10">
        <v>1</v>
      </c>
      <c r="J19" s="1"/>
      <c r="K19" s="1">
        <v>2</v>
      </c>
      <c r="L19" s="1"/>
      <c r="M19" s="1">
        <v>2</v>
      </c>
      <c r="N19" s="11"/>
      <c r="O19" s="10"/>
      <c r="P19" s="1"/>
      <c r="Q19" s="1">
        <v>1</v>
      </c>
      <c r="R19" s="1"/>
      <c r="S19" s="1">
        <v>1</v>
      </c>
      <c r="T19" s="11">
        <v>3.5</v>
      </c>
      <c r="U19" s="10"/>
      <c r="V19" s="1"/>
      <c r="W19" s="1">
        <v>1</v>
      </c>
      <c r="X19" s="1"/>
      <c r="Y19" s="1">
        <v>2</v>
      </c>
      <c r="Z19" s="11">
        <v>2</v>
      </c>
      <c r="AA19" s="10"/>
      <c r="AB19" s="1"/>
      <c r="AC19" s="1"/>
      <c r="AD19" s="1"/>
      <c r="AE19" s="1">
        <v>1</v>
      </c>
      <c r="AF19" s="11">
        <v>1</v>
      </c>
      <c r="AG19" s="10">
        <v>1</v>
      </c>
      <c r="AH19" s="1"/>
      <c r="AI19" s="1">
        <v>1</v>
      </c>
      <c r="AJ19" s="1"/>
      <c r="AK19" s="1">
        <v>1</v>
      </c>
      <c r="AL19" s="11">
        <v>2</v>
      </c>
      <c r="AM19" s="1">
        <f t="shared" si="1"/>
        <v>23.5</v>
      </c>
    </row>
    <row r="20" spans="1:39" ht="15.6">
      <c r="A20" s="5" t="s">
        <v>457</v>
      </c>
      <c r="B20" s="6">
        <v>84</v>
      </c>
      <c r="C20" s="5">
        <v>0.2</v>
      </c>
      <c r="D20" s="6"/>
      <c r="E20" s="6"/>
      <c r="F20" s="6"/>
      <c r="G20" s="6"/>
      <c r="H20" s="7"/>
      <c r="I20" s="5"/>
      <c r="J20" s="6"/>
      <c r="K20" s="6">
        <v>2</v>
      </c>
      <c r="L20" s="6"/>
      <c r="M20" s="6"/>
      <c r="N20" s="7"/>
      <c r="O20" s="5">
        <v>2.5</v>
      </c>
      <c r="P20" s="6"/>
      <c r="Q20" s="6"/>
      <c r="R20" s="6">
        <v>1</v>
      </c>
      <c r="S20" s="6">
        <v>1</v>
      </c>
      <c r="T20" s="7"/>
      <c r="U20" s="5"/>
      <c r="V20" s="6"/>
      <c r="W20" s="6">
        <v>1</v>
      </c>
      <c r="X20" s="6"/>
      <c r="Y20" s="6">
        <v>2</v>
      </c>
      <c r="Z20" s="7">
        <v>2</v>
      </c>
      <c r="AA20" s="5">
        <v>1</v>
      </c>
      <c r="AB20" s="6"/>
      <c r="AC20" s="6"/>
      <c r="AD20" s="6">
        <v>2</v>
      </c>
      <c r="AE20" s="6">
        <v>1</v>
      </c>
      <c r="AF20" s="7">
        <v>2</v>
      </c>
      <c r="AG20" s="5"/>
      <c r="AH20" s="6"/>
      <c r="AI20" s="6">
        <v>1</v>
      </c>
      <c r="AJ20" s="6">
        <v>2</v>
      </c>
      <c r="AK20" s="6">
        <v>1</v>
      </c>
      <c r="AL20" s="7">
        <v>1</v>
      </c>
      <c r="AM20" s="1">
        <f t="shared" si="1"/>
        <v>23.5</v>
      </c>
    </row>
    <row r="21" spans="1:39" ht="15.75" customHeight="1">
      <c r="A21" s="10" t="s">
        <v>93</v>
      </c>
      <c r="B21" s="12">
        <v>85</v>
      </c>
      <c r="C21" s="13"/>
      <c r="D21" s="12"/>
      <c r="E21" s="12"/>
      <c r="F21" s="12"/>
      <c r="G21" s="12"/>
      <c r="H21" s="14"/>
      <c r="I21" s="10"/>
      <c r="J21" s="1">
        <v>2</v>
      </c>
      <c r="K21" s="1">
        <v>2</v>
      </c>
      <c r="L21" s="1"/>
      <c r="M21" s="1"/>
      <c r="N21" s="11"/>
      <c r="O21" s="10"/>
      <c r="P21" s="1">
        <v>2</v>
      </c>
      <c r="Q21" s="1">
        <v>1</v>
      </c>
      <c r="R21" s="1"/>
      <c r="S21" s="1"/>
      <c r="T21" s="11"/>
      <c r="U21" s="10"/>
      <c r="V21" s="1"/>
      <c r="W21" s="1">
        <v>2</v>
      </c>
      <c r="X21" s="1"/>
      <c r="Y21" s="1"/>
      <c r="Z21" s="11"/>
      <c r="AA21" s="10"/>
      <c r="AB21" s="1">
        <v>2</v>
      </c>
      <c r="AC21" s="1"/>
      <c r="AD21" s="1"/>
      <c r="AE21" s="1"/>
      <c r="AF21" s="11"/>
      <c r="AG21" s="10"/>
      <c r="AH21" s="1">
        <v>2</v>
      </c>
      <c r="AI21" s="1">
        <v>2</v>
      </c>
      <c r="AJ21" s="1"/>
      <c r="AK21" s="1"/>
      <c r="AL21" s="11"/>
      <c r="AM21" s="1">
        <f t="shared" si="1"/>
        <v>15</v>
      </c>
    </row>
    <row r="22" spans="1:39" ht="15.75" customHeight="1">
      <c r="A22" s="10" t="s">
        <v>94</v>
      </c>
      <c r="B22" s="1">
        <v>86</v>
      </c>
      <c r="C22" s="10"/>
      <c r="D22" s="1"/>
      <c r="E22" s="1"/>
      <c r="F22" s="1"/>
      <c r="G22" s="1">
        <v>0.2</v>
      </c>
      <c r="H22" s="11"/>
      <c r="I22" s="10"/>
      <c r="J22" s="1"/>
      <c r="K22" s="1">
        <v>2</v>
      </c>
      <c r="L22" s="1"/>
      <c r="M22" s="1">
        <v>2</v>
      </c>
      <c r="N22" s="11"/>
      <c r="O22" s="10"/>
      <c r="P22" s="1"/>
      <c r="Q22" s="1">
        <v>2</v>
      </c>
      <c r="R22" s="1"/>
      <c r="S22" s="1">
        <v>3</v>
      </c>
      <c r="T22" s="11"/>
      <c r="U22" s="10"/>
      <c r="V22" s="1"/>
      <c r="W22" s="1">
        <v>2</v>
      </c>
      <c r="X22" s="1">
        <v>1</v>
      </c>
      <c r="Y22" s="1">
        <v>2</v>
      </c>
      <c r="Z22" s="11">
        <v>0.5</v>
      </c>
      <c r="AA22" s="10"/>
      <c r="AB22" s="1"/>
      <c r="AC22" s="1"/>
      <c r="AD22" s="1"/>
      <c r="AE22" s="1">
        <v>3.5</v>
      </c>
      <c r="AF22" s="11"/>
      <c r="AG22" s="10"/>
      <c r="AH22" s="1"/>
      <c r="AI22" s="1"/>
      <c r="AJ22" s="1">
        <v>1</v>
      </c>
      <c r="AK22" s="1">
        <v>4</v>
      </c>
      <c r="AL22" s="11"/>
      <c r="AM22" s="1">
        <f t="shared" si="1"/>
        <v>24</v>
      </c>
    </row>
    <row r="23" spans="1:39" ht="15.75" customHeight="1">
      <c r="A23" s="10" t="s">
        <v>95</v>
      </c>
      <c r="B23" s="1">
        <v>90</v>
      </c>
      <c r="C23" s="10"/>
      <c r="D23" s="1">
        <v>0.2</v>
      </c>
      <c r="E23" s="1"/>
      <c r="F23" s="1"/>
      <c r="G23" s="1"/>
      <c r="H23" s="11"/>
      <c r="I23" s="10"/>
      <c r="J23" s="1">
        <v>1</v>
      </c>
      <c r="K23" s="1">
        <v>2</v>
      </c>
      <c r="L23" s="1"/>
      <c r="M23" s="1"/>
      <c r="N23" s="11"/>
      <c r="O23" s="10"/>
      <c r="P23" s="1">
        <v>1.5</v>
      </c>
      <c r="Q23" s="1">
        <v>2</v>
      </c>
      <c r="R23" s="1"/>
      <c r="S23" s="1"/>
      <c r="T23" s="11"/>
      <c r="U23" s="10"/>
      <c r="V23" s="1">
        <v>1</v>
      </c>
      <c r="W23" s="1">
        <v>2</v>
      </c>
      <c r="X23" s="1"/>
      <c r="Y23" s="1">
        <v>2</v>
      </c>
      <c r="Z23" s="11"/>
      <c r="AA23" s="10">
        <v>1</v>
      </c>
      <c r="AB23" s="1">
        <v>1</v>
      </c>
      <c r="AC23" s="1"/>
      <c r="AD23" s="1"/>
      <c r="AE23" s="1">
        <v>2</v>
      </c>
      <c r="AF23" s="11"/>
      <c r="AG23" s="10">
        <v>1</v>
      </c>
      <c r="AH23" s="1">
        <v>1</v>
      </c>
      <c r="AI23" s="1"/>
      <c r="AJ23" s="1"/>
      <c r="AK23" s="1">
        <v>2</v>
      </c>
      <c r="AL23" s="11"/>
      <c r="AM23" s="1">
        <f t="shared" si="1"/>
        <v>20.5</v>
      </c>
    </row>
    <row r="24" spans="1:39" ht="15.75" customHeight="1">
      <c r="A24" s="8" t="s">
        <v>97</v>
      </c>
      <c r="B24" s="2">
        <v>91</v>
      </c>
      <c r="C24" s="8"/>
      <c r="D24" s="2"/>
      <c r="E24" s="2"/>
      <c r="F24" s="2"/>
      <c r="G24" s="2">
        <v>0.2</v>
      </c>
      <c r="H24" s="9"/>
      <c r="I24" s="8"/>
      <c r="J24" s="2">
        <v>1</v>
      </c>
      <c r="K24" s="2"/>
      <c r="L24" s="2">
        <v>2</v>
      </c>
      <c r="M24" s="2">
        <v>2.5</v>
      </c>
      <c r="N24" s="9"/>
      <c r="O24" s="8"/>
      <c r="P24" s="2">
        <v>1</v>
      </c>
      <c r="Q24" s="2"/>
      <c r="R24" s="2">
        <v>2</v>
      </c>
      <c r="S24" s="2">
        <v>2.5</v>
      </c>
      <c r="T24" s="9"/>
      <c r="U24" s="8"/>
      <c r="V24" s="2"/>
      <c r="W24" s="2">
        <v>2</v>
      </c>
      <c r="X24" s="2">
        <v>2</v>
      </c>
      <c r="Y24" s="2">
        <v>2</v>
      </c>
      <c r="Z24" s="9"/>
      <c r="AA24" s="8"/>
      <c r="AB24" s="2">
        <v>2</v>
      </c>
      <c r="AC24" s="2"/>
      <c r="AD24" s="2">
        <v>1</v>
      </c>
      <c r="AE24" s="2">
        <v>1</v>
      </c>
      <c r="AF24" s="9">
        <v>1</v>
      </c>
      <c r="AG24" s="8"/>
      <c r="AH24" s="2"/>
      <c r="AI24" s="2"/>
      <c r="AJ24" s="2"/>
      <c r="AK24" s="2">
        <v>2</v>
      </c>
      <c r="AL24" s="9">
        <v>0.5</v>
      </c>
      <c r="AM24" s="1">
        <f t="shared" si="1"/>
        <v>25.5</v>
      </c>
    </row>
    <row r="25" spans="1:39" ht="15.75" customHeight="1">
      <c r="A25" s="5" t="s">
        <v>98</v>
      </c>
      <c r="B25" s="6">
        <v>92</v>
      </c>
      <c r="C25" s="5">
        <v>0.2</v>
      </c>
      <c r="D25" s="6"/>
      <c r="E25" s="6"/>
      <c r="F25" s="6"/>
      <c r="G25" s="6"/>
      <c r="H25" s="7"/>
      <c r="I25" s="5">
        <v>2</v>
      </c>
      <c r="J25" s="6">
        <v>2</v>
      </c>
      <c r="K25" s="6"/>
      <c r="L25" s="6"/>
      <c r="M25" s="6"/>
      <c r="N25" s="7"/>
      <c r="O25" s="5">
        <v>1.5</v>
      </c>
      <c r="P25" s="6">
        <v>2</v>
      </c>
      <c r="Q25" s="6">
        <v>1</v>
      </c>
      <c r="R25" s="6"/>
      <c r="S25" s="6"/>
      <c r="T25" s="7"/>
      <c r="U25" s="5">
        <v>1</v>
      </c>
      <c r="V25" s="6">
        <v>1</v>
      </c>
      <c r="W25" s="6">
        <v>2</v>
      </c>
      <c r="X25" s="6"/>
      <c r="Y25" s="6"/>
      <c r="Z25" s="7"/>
      <c r="AA25" s="5">
        <v>2</v>
      </c>
      <c r="AB25" s="6">
        <v>2</v>
      </c>
      <c r="AC25" s="6">
        <v>1</v>
      </c>
      <c r="AD25" s="6"/>
      <c r="AE25" s="6"/>
      <c r="AF25" s="7"/>
      <c r="AG25" s="5">
        <v>3</v>
      </c>
      <c r="AH25" s="6">
        <v>1</v>
      </c>
      <c r="AI25" s="6"/>
      <c r="AJ25" s="6"/>
      <c r="AK25" s="6"/>
      <c r="AL25" s="7"/>
      <c r="AM25" s="1">
        <f t="shared" si="1"/>
        <v>22.5</v>
      </c>
    </row>
    <row r="26" spans="1:39" ht="15.75" customHeight="1">
      <c r="A26" s="10" t="s">
        <v>99</v>
      </c>
      <c r="B26" s="1">
        <v>102</v>
      </c>
      <c r="C26" s="10"/>
      <c r="D26" s="1"/>
      <c r="E26" s="1"/>
      <c r="F26" s="1"/>
      <c r="G26" s="1">
        <v>0.2</v>
      </c>
      <c r="H26" s="11"/>
      <c r="I26" s="10"/>
      <c r="J26" s="1">
        <v>1</v>
      </c>
      <c r="K26" s="1"/>
      <c r="L26" s="1"/>
      <c r="M26" s="1"/>
      <c r="N26" s="11">
        <v>2</v>
      </c>
      <c r="O26" s="10"/>
      <c r="P26" s="1">
        <v>2</v>
      </c>
      <c r="Q26" s="1"/>
      <c r="R26" s="1"/>
      <c r="S26" s="1">
        <v>1</v>
      </c>
      <c r="T26" s="11">
        <v>1</v>
      </c>
      <c r="U26" s="10"/>
      <c r="V26" s="1">
        <v>1</v>
      </c>
      <c r="W26" s="1"/>
      <c r="X26" s="1"/>
      <c r="Y26" s="1">
        <v>2</v>
      </c>
      <c r="Z26" s="11">
        <v>1</v>
      </c>
      <c r="AA26" s="10"/>
      <c r="AB26" s="1">
        <v>2</v>
      </c>
      <c r="AC26" s="1"/>
      <c r="AD26" s="1"/>
      <c r="AE26" s="1">
        <v>2</v>
      </c>
      <c r="AF26" s="11">
        <v>2</v>
      </c>
      <c r="AG26" s="10"/>
      <c r="AH26" s="1">
        <v>3</v>
      </c>
      <c r="AI26" s="1"/>
      <c r="AJ26" s="1"/>
      <c r="AK26" s="1">
        <v>2</v>
      </c>
      <c r="AL26" s="11">
        <v>1</v>
      </c>
      <c r="AM26" s="1">
        <f t="shared" si="1"/>
        <v>24</v>
      </c>
    </row>
    <row r="27" spans="1:39" ht="15.75" customHeight="1">
      <c r="A27" s="10" t="s">
        <v>104</v>
      </c>
      <c r="B27" s="1">
        <v>103</v>
      </c>
      <c r="C27" s="10"/>
      <c r="D27" s="1"/>
      <c r="E27" s="1"/>
      <c r="F27" s="1"/>
      <c r="G27" s="1">
        <v>0.2</v>
      </c>
      <c r="H27" s="11"/>
      <c r="I27" s="10"/>
      <c r="J27" s="1"/>
      <c r="K27" s="1"/>
      <c r="L27" s="1"/>
      <c r="M27" s="1">
        <v>1</v>
      </c>
      <c r="N27" s="11"/>
      <c r="O27" s="10"/>
      <c r="P27" s="1"/>
      <c r="Q27" s="1"/>
      <c r="R27" s="1">
        <v>1</v>
      </c>
      <c r="S27" s="1">
        <v>2</v>
      </c>
      <c r="T27" s="11"/>
      <c r="U27" s="10"/>
      <c r="V27" s="1"/>
      <c r="W27" s="1"/>
      <c r="X27" s="1"/>
      <c r="Y27" s="1">
        <v>4</v>
      </c>
      <c r="Z27" s="11">
        <v>2</v>
      </c>
      <c r="AA27" s="10"/>
      <c r="AB27" s="1"/>
      <c r="AC27" s="1"/>
      <c r="AD27" s="1">
        <v>2</v>
      </c>
      <c r="AE27" s="1">
        <v>2</v>
      </c>
      <c r="AF27" s="11">
        <v>2</v>
      </c>
      <c r="AG27" s="10"/>
      <c r="AH27" s="1"/>
      <c r="AI27" s="1"/>
      <c r="AJ27" s="1">
        <v>2</v>
      </c>
      <c r="AK27" s="1">
        <v>2</v>
      </c>
      <c r="AL27" s="11">
        <v>1</v>
      </c>
      <c r="AM27" s="1">
        <f t="shared" si="1"/>
        <v>22</v>
      </c>
    </row>
    <row r="28" spans="1:39" ht="15.75" customHeight="1">
      <c r="A28" s="10" t="s">
        <v>105</v>
      </c>
      <c r="B28" s="1">
        <v>112</v>
      </c>
      <c r="C28" s="10"/>
      <c r="D28" s="1">
        <v>0.2</v>
      </c>
      <c r="E28" s="1"/>
      <c r="F28" s="1"/>
      <c r="G28" s="1"/>
      <c r="H28" s="11"/>
      <c r="I28" s="10"/>
      <c r="J28" s="1">
        <v>2</v>
      </c>
      <c r="K28" s="1"/>
      <c r="L28" s="1"/>
      <c r="M28" s="1">
        <v>2</v>
      </c>
      <c r="N28" s="11"/>
      <c r="O28" s="10"/>
      <c r="P28" s="1">
        <v>1.5</v>
      </c>
      <c r="Q28" s="1">
        <v>2</v>
      </c>
      <c r="R28" s="1"/>
      <c r="S28" s="1"/>
      <c r="T28" s="11"/>
      <c r="U28" s="10"/>
      <c r="V28" s="1">
        <v>2</v>
      </c>
      <c r="W28" s="1"/>
      <c r="X28" s="1">
        <v>2</v>
      </c>
      <c r="Y28" s="1"/>
      <c r="Z28" s="11">
        <v>2</v>
      </c>
      <c r="AA28" s="10"/>
      <c r="AB28" s="1"/>
      <c r="AC28" s="1"/>
      <c r="AD28" s="1">
        <v>4</v>
      </c>
      <c r="AE28" s="1"/>
      <c r="AF28" s="11">
        <v>2</v>
      </c>
      <c r="AG28" s="10"/>
      <c r="AH28" s="1"/>
      <c r="AI28" s="1">
        <v>2</v>
      </c>
      <c r="AJ28" s="1"/>
      <c r="AK28" s="1"/>
      <c r="AL28" s="11">
        <v>2</v>
      </c>
      <c r="AM28" s="1">
        <f t="shared" si="1"/>
        <v>24.5</v>
      </c>
    </row>
    <row r="29" spans="1:39" ht="15.75" customHeight="1">
      <c r="A29" s="8" t="s">
        <v>106</v>
      </c>
      <c r="B29" s="2">
        <v>113</v>
      </c>
      <c r="C29" s="8"/>
      <c r="D29" s="2"/>
      <c r="E29" s="2"/>
      <c r="F29" s="2"/>
      <c r="G29" s="2"/>
      <c r="H29" s="9">
        <v>0.2</v>
      </c>
      <c r="I29" s="8"/>
      <c r="J29" s="2"/>
      <c r="K29" s="2">
        <v>1</v>
      </c>
      <c r="L29" s="2">
        <v>1</v>
      </c>
      <c r="M29" s="2">
        <v>2</v>
      </c>
      <c r="N29" s="9">
        <v>2</v>
      </c>
      <c r="O29" s="8"/>
      <c r="P29" s="2"/>
      <c r="Q29" s="2">
        <v>1</v>
      </c>
      <c r="R29" s="2">
        <v>2</v>
      </c>
      <c r="S29" s="2">
        <v>1</v>
      </c>
      <c r="T29" s="9">
        <v>3.5</v>
      </c>
      <c r="U29" s="8"/>
      <c r="V29" s="2"/>
      <c r="W29" s="2"/>
      <c r="X29" s="2"/>
      <c r="Y29" s="2">
        <v>1</v>
      </c>
      <c r="Z29" s="9">
        <v>2</v>
      </c>
      <c r="AA29" s="8"/>
      <c r="AB29" s="2"/>
      <c r="AC29" s="2">
        <v>2</v>
      </c>
      <c r="AD29" s="2"/>
      <c r="AE29" s="2"/>
      <c r="AF29" s="9"/>
      <c r="AG29" s="8"/>
      <c r="AH29" s="2"/>
      <c r="AI29" s="2"/>
      <c r="AJ29" s="2">
        <v>2</v>
      </c>
      <c r="AK29" s="2"/>
      <c r="AL29" s="9">
        <v>1</v>
      </c>
      <c r="AM29" s="1">
        <f t="shared" si="1"/>
        <v>22.5</v>
      </c>
    </row>
    <row r="30" spans="1:39" ht="15.75" customHeight="1">
      <c r="A30" s="5" t="s">
        <v>107</v>
      </c>
      <c r="B30" s="6">
        <v>114</v>
      </c>
      <c r="C30" s="5"/>
      <c r="D30" s="6"/>
      <c r="E30" s="6">
        <v>0.2</v>
      </c>
      <c r="F30" s="6"/>
      <c r="G30" s="6"/>
      <c r="H30" s="7"/>
      <c r="I30" s="5"/>
      <c r="J30" s="6"/>
      <c r="K30" s="6">
        <v>2</v>
      </c>
      <c r="L30" s="6">
        <v>1</v>
      </c>
      <c r="M30" s="6">
        <v>1</v>
      </c>
      <c r="N30" s="7">
        <v>1</v>
      </c>
      <c r="O30" s="5"/>
      <c r="P30" s="6"/>
      <c r="Q30" s="6">
        <v>2</v>
      </c>
      <c r="R30" s="6">
        <v>2</v>
      </c>
      <c r="S30" s="6">
        <v>1</v>
      </c>
      <c r="T30" s="7">
        <v>2</v>
      </c>
      <c r="U30" s="5"/>
      <c r="V30" s="6"/>
      <c r="W30" s="6"/>
      <c r="X30" s="6"/>
      <c r="Y30" s="6"/>
      <c r="Z30" s="7">
        <v>2</v>
      </c>
      <c r="AA30" s="5"/>
      <c r="AB30" s="6"/>
      <c r="AC30" s="6">
        <v>3</v>
      </c>
      <c r="AD30" s="6"/>
      <c r="AE30" s="6">
        <v>2</v>
      </c>
      <c r="AF30" s="7"/>
      <c r="AG30" s="5"/>
      <c r="AH30" s="6"/>
      <c r="AI30" s="6"/>
      <c r="AJ30" s="6">
        <v>2</v>
      </c>
      <c r="AK30" s="6">
        <v>1</v>
      </c>
      <c r="AL30" s="7"/>
      <c r="AM30" s="1">
        <f t="shared" si="1"/>
        <v>23</v>
      </c>
    </row>
    <row r="31" spans="1:39" ht="15.75" customHeight="1">
      <c r="A31" s="10" t="s">
        <v>108</v>
      </c>
      <c r="B31" s="1">
        <v>117</v>
      </c>
      <c r="C31" s="10"/>
      <c r="D31" s="1"/>
      <c r="E31" s="1"/>
      <c r="F31" s="1"/>
      <c r="G31" s="1"/>
      <c r="H31" s="11"/>
      <c r="I31" s="10"/>
      <c r="J31" s="1"/>
      <c r="K31" s="1"/>
      <c r="L31" s="1">
        <v>1</v>
      </c>
      <c r="M31" s="1"/>
      <c r="N31" s="11">
        <v>2</v>
      </c>
      <c r="O31" s="10"/>
      <c r="P31" s="1"/>
      <c r="Q31" s="1"/>
      <c r="R31" s="1">
        <v>1</v>
      </c>
      <c r="S31" s="1">
        <v>2</v>
      </c>
      <c r="T31" s="11">
        <v>1</v>
      </c>
      <c r="U31" s="10"/>
      <c r="V31" s="1"/>
      <c r="W31" s="1"/>
      <c r="X31" s="1"/>
      <c r="Y31" s="1">
        <v>1</v>
      </c>
      <c r="Z31" s="11"/>
      <c r="AA31" s="10"/>
      <c r="AB31" s="1"/>
      <c r="AC31" s="1"/>
      <c r="AD31" s="1">
        <v>3</v>
      </c>
      <c r="AE31" s="1"/>
      <c r="AF31" s="11"/>
      <c r="AG31" s="10"/>
      <c r="AH31" s="1"/>
      <c r="AI31" s="1"/>
      <c r="AJ31" s="1">
        <v>1</v>
      </c>
      <c r="AK31" s="1"/>
      <c r="AL31" s="11"/>
      <c r="AM31" s="1">
        <f t="shared" si="1"/>
        <v>12</v>
      </c>
    </row>
    <row r="32" spans="1:39" ht="15.75" customHeight="1">
      <c r="A32" s="10" t="s">
        <v>109</v>
      </c>
      <c r="B32" s="1">
        <v>120</v>
      </c>
      <c r="C32" s="10"/>
      <c r="D32" s="1"/>
      <c r="E32" s="1"/>
      <c r="F32" s="1"/>
      <c r="G32" s="1">
        <v>0.2</v>
      </c>
      <c r="H32" s="11"/>
      <c r="I32" s="10"/>
      <c r="J32" s="1"/>
      <c r="K32" s="1">
        <v>1</v>
      </c>
      <c r="L32" s="1"/>
      <c r="M32" s="1"/>
      <c r="N32" s="11"/>
      <c r="O32" s="10"/>
      <c r="P32" s="1"/>
      <c r="Q32" s="1">
        <v>1</v>
      </c>
      <c r="R32" s="1">
        <v>1</v>
      </c>
      <c r="S32" s="1">
        <v>2.5</v>
      </c>
      <c r="T32" s="11"/>
      <c r="U32" s="10"/>
      <c r="V32" s="1"/>
      <c r="W32" s="1"/>
      <c r="X32" s="1"/>
      <c r="Y32" s="1">
        <v>2</v>
      </c>
      <c r="Z32" s="11">
        <v>2</v>
      </c>
      <c r="AA32" s="10"/>
      <c r="AB32" s="1"/>
      <c r="AC32" s="1">
        <v>1</v>
      </c>
      <c r="AD32" s="1">
        <v>2</v>
      </c>
      <c r="AE32" s="1">
        <v>1</v>
      </c>
      <c r="AF32" s="11">
        <v>2</v>
      </c>
      <c r="AG32" s="10"/>
      <c r="AH32" s="1"/>
      <c r="AI32" s="1">
        <v>1</v>
      </c>
      <c r="AJ32" s="1">
        <v>2</v>
      </c>
      <c r="AK32" s="1">
        <v>1</v>
      </c>
      <c r="AL32" s="11">
        <v>1</v>
      </c>
      <c r="AM32" s="1">
        <f t="shared" si="1"/>
        <v>21.5</v>
      </c>
    </row>
    <row r="33" spans="1:39" ht="15.75" customHeight="1">
      <c r="A33" s="10" t="s">
        <v>110</v>
      </c>
      <c r="B33" s="1">
        <v>128</v>
      </c>
      <c r="C33" s="10"/>
      <c r="D33" s="1"/>
      <c r="E33" s="1">
        <v>0.2</v>
      </c>
      <c r="F33" s="1"/>
      <c r="G33" s="1"/>
      <c r="H33" s="11"/>
      <c r="I33" s="10"/>
      <c r="J33" s="1">
        <v>2</v>
      </c>
      <c r="K33" s="1">
        <v>2</v>
      </c>
      <c r="L33" s="1"/>
      <c r="M33" s="1">
        <v>1</v>
      </c>
      <c r="N33" s="11"/>
      <c r="O33" s="10"/>
      <c r="P33" s="1">
        <v>2</v>
      </c>
      <c r="Q33" s="1">
        <v>1</v>
      </c>
      <c r="R33" s="1"/>
      <c r="S33" s="1">
        <v>2</v>
      </c>
      <c r="T33" s="11"/>
      <c r="U33" s="10"/>
      <c r="V33" s="1"/>
      <c r="W33" s="1">
        <v>1</v>
      </c>
      <c r="X33" s="1"/>
      <c r="Y33" s="1"/>
      <c r="Z33" s="11"/>
      <c r="AA33" s="10"/>
      <c r="AB33" s="1">
        <v>2</v>
      </c>
      <c r="AC33" s="1">
        <v>2</v>
      </c>
      <c r="AD33" s="1"/>
      <c r="AE33" s="1">
        <v>2</v>
      </c>
      <c r="AF33" s="11"/>
      <c r="AG33" s="10"/>
      <c r="AH33" s="1">
        <v>2</v>
      </c>
      <c r="AI33" s="1">
        <v>2</v>
      </c>
      <c r="AJ33" s="1"/>
      <c r="AK33" s="1">
        <v>2</v>
      </c>
      <c r="AL33" s="11"/>
      <c r="AM33" s="1">
        <f t="shared" si="1"/>
        <v>24</v>
      </c>
    </row>
    <row r="34" spans="1:39" ht="15.75" customHeight="1">
      <c r="A34" s="8" t="s">
        <v>458</v>
      </c>
      <c r="B34" s="2">
        <v>129</v>
      </c>
      <c r="C34" s="8"/>
      <c r="D34" s="2"/>
      <c r="E34" s="2"/>
      <c r="F34" s="2">
        <v>0.2</v>
      </c>
      <c r="G34" s="2"/>
      <c r="H34" s="9"/>
      <c r="I34" s="8"/>
      <c r="J34" s="2"/>
      <c r="K34" s="2">
        <v>0.5</v>
      </c>
      <c r="L34" s="2">
        <v>1</v>
      </c>
      <c r="M34" s="2">
        <v>1</v>
      </c>
      <c r="N34" s="9">
        <v>1</v>
      </c>
      <c r="O34" s="8"/>
      <c r="P34" s="2"/>
      <c r="Q34" s="2">
        <v>1</v>
      </c>
      <c r="R34" s="2">
        <v>3.5</v>
      </c>
      <c r="S34" s="2">
        <v>1</v>
      </c>
      <c r="T34" s="9">
        <v>2</v>
      </c>
      <c r="U34" s="8"/>
      <c r="V34" s="2"/>
      <c r="W34" s="2"/>
      <c r="X34" s="2"/>
      <c r="Y34" s="2">
        <v>1</v>
      </c>
      <c r="Z34" s="9">
        <v>2</v>
      </c>
      <c r="AA34" s="8"/>
      <c r="AB34" s="2"/>
      <c r="AC34" s="2">
        <v>1</v>
      </c>
      <c r="AD34" s="2"/>
      <c r="AE34" s="2">
        <v>2</v>
      </c>
      <c r="AF34" s="9"/>
      <c r="AG34" s="8"/>
      <c r="AH34" s="2"/>
      <c r="AI34" s="2">
        <v>1</v>
      </c>
      <c r="AJ34" s="2">
        <v>2</v>
      </c>
      <c r="AK34" s="2">
        <v>1</v>
      </c>
      <c r="AL34" s="9"/>
      <c r="AM34" s="1">
        <f t="shared" si="1"/>
        <v>22</v>
      </c>
    </row>
    <row r="35" spans="1:39" ht="15.75" customHeight="1">
      <c r="A35" s="5" t="s">
        <v>112</v>
      </c>
      <c r="B35" s="6">
        <v>134</v>
      </c>
      <c r="C35" s="5"/>
      <c r="D35" s="6"/>
      <c r="E35" s="6"/>
      <c r="F35" s="6"/>
      <c r="G35" s="6"/>
      <c r="H35" s="7"/>
      <c r="I35" s="5">
        <v>1</v>
      </c>
      <c r="J35" s="6">
        <v>1</v>
      </c>
      <c r="K35" s="6"/>
      <c r="L35" s="6">
        <v>1</v>
      </c>
      <c r="M35" s="6"/>
      <c r="N35" s="7">
        <v>2</v>
      </c>
      <c r="O35" s="5"/>
      <c r="P35" s="6"/>
      <c r="Q35" s="6"/>
      <c r="R35" s="6">
        <v>4</v>
      </c>
      <c r="S35" s="6"/>
      <c r="T35" s="7"/>
      <c r="U35" s="5"/>
      <c r="V35" s="6">
        <v>1</v>
      </c>
      <c r="W35" s="6"/>
      <c r="X35" s="6">
        <v>1</v>
      </c>
      <c r="Y35" s="6"/>
      <c r="Z35" s="7"/>
      <c r="AA35" s="5">
        <v>1</v>
      </c>
      <c r="AB35" s="6">
        <v>2</v>
      </c>
      <c r="AC35" s="6"/>
      <c r="AD35" s="6">
        <v>1</v>
      </c>
      <c r="AE35" s="6"/>
      <c r="AF35" s="7">
        <v>2</v>
      </c>
      <c r="AG35" s="5">
        <v>2</v>
      </c>
      <c r="AH35" s="6"/>
      <c r="AI35" s="6"/>
      <c r="AJ35" s="6">
        <v>2</v>
      </c>
      <c r="AK35" s="6"/>
      <c r="AL35" s="7">
        <v>1</v>
      </c>
      <c r="AM35" s="1">
        <f t="shared" si="1"/>
        <v>22</v>
      </c>
    </row>
    <row r="36" spans="1:39" ht="15.75" customHeight="1">
      <c r="A36" s="10" t="s">
        <v>113</v>
      </c>
      <c r="B36" s="1">
        <v>135</v>
      </c>
      <c r="C36" s="10"/>
      <c r="D36" s="1">
        <v>0.2</v>
      </c>
      <c r="E36" s="1"/>
      <c r="F36" s="1"/>
      <c r="G36" s="1"/>
      <c r="H36" s="11"/>
      <c r="I36" s="10"/>
      <c r="J36" s="1">
        <v>2</v>
      </c>
      <c r="K36" s="1">
        <v>2</v>
      </c>
      <c r="L36" s="1"/>
      <c r="M36" s="1">
        <v>2</v>
      </c>
      <c r="N36" s="11"/>
      <c r="O36" s="10"/>
      <c r="P36" s="1">
        <v>1.5</v>
      </c>
      <c r="Q36" s="1">
        <v>1</v>
      </c>
      <c r="R36" s="1"/>
      <c r="S36" s="1">
        <v>1</v>
      </c>
      <c r="T36" s="11"/>
      <c r="U36" s="10"/>
      <c r="V36" s="1">
        <v>2</v>
      </c>
      <c r="W36" s="1">
        <v>2</v>
      </c>
      <c r="X36" s="1"/>
      <c r="Y36" s="1">
        <v>1</v>
      </c>
      <c r="Z36" s="11"/>
      <c r="AA36" s="10"/>
      <c r="AB36" s="1">
        <v>2</v>
      </c>
      <c r="AC36" s="1"/>
      <c r="AD36" s="1"/>
      <c r="AE36" s="1">
        <v>2</v>
      </c>
      <c r="AF36" s="11"/>
      <c r="AG36" s="10"/>
      <c r="AH36" s="1">
        <v>2</v>
      </c>
      <c r="AI36" s="1">
        <v>2</v>
      </c>
      <c r="AJ36" s="1"/>
      <c r="AK36" s="1">
        <v>2</v>
      </c>
      <c r="AL36" s="11"/>
      <c r="AM36" s="1">
        <f t="shared" si="1"/>
        <v>25.5</v>
      </c>
    </row>
    <row r="37" spans="1:39" ht="15.75" customHeight="1">
      <c r="A37" s="10" t="s">
        <v>114</v>
      </c>
      <c r="B37" s="1">
        <v>137</v>
      </c>
      <c r="C37" s="10"/>
      <c r="D37" s="1"/>
      <c r="E37" s="1">
        <v>0.2</v>
      </c>
      <c r="F37" s="1"/>
      <c r="G37" s="1"/>
      <c r="H37" s="11"/>
      <c r="I37" s="10"/>
      <c r="J37" s="1">
        <v>3</v>
      </c>
      <c r="K37" s="1">
        <v>1</v>
      </c>
      <c r="L37" s="1"/>
      <c r="M37" s="1"/>
      <c r="N37" s="11"/>
      <c r="O37" s="10"/>
      <c r="P37" s="1">
        <v>2</v>
      </c>
      <c r="Q37" s="1"/>
      <c r="R37" s="1"/>
      <c r="S37" s="1">
        <v>1</v>
      </c>
      <c r="T37" s="11"/>
      <c r="U37" s="10">
        <v>2</v>
      </c>
      <c r="V37" s="1">
        <v>1</v>
      </c>
      <c r="W37" s="1">
        <v>3</v>
      </c>
      <c r="X37" s="1"/>
      <c r="Y37" s="1"/>
      <c r="Z37" s="11"/>
      <c r="AA37" s="10">
        <v>1</v>
      </c>
      <c r="AB37" s="1"/>
      <c r="AC37" s="1">
        <v>3</v>
      </c>
      <c r="AD37" s="1"/>
      <c r="AE37" s="1"/>
      <c r="AF37" s="11"/>
      <c r="AG37" s="10">
        <v>1</v>
      </c>
      <c r="AH37" s="1">
        <v>2</v>
      </c>
      <c r="AI37" s="1">
        <v>3</v>
      </c>
      <c r="AJ37" s="1"/>
      <c r="AK37" s="1"/>
      <c r="AL37" s="11"/>
      <c r="AM37" s="1">
        <f t="shared" si="1"/>
        <v>24</v>
      </c>
    </row>
    <row r="38" spans="1:39" ht="15.75" customHeight="1">
      <c r="A38" s="10" t="s">
        <v>115</v>
      </c>
      <c r="B38" s="1">
        <v>138</v>
      </c>
      <c r="C38" s="10"/>
      <c r="D38" s="1"/>
      <c r="E38" s="1"/>
      <c r="F38" s="1">
        <v>0.2</v>
      </c>
      <c r="G38" s="1"/>
      <c r="H38" s="11"/>
      <c r="I38" s="10"/>
      <c r="J38" s="1"/>
      <c r="K38" s="1"/>
      <c r="L38" s="1">
        <v>2</v>
      </c>
      <c r="M38" s="1">
        <v>1</v>
      </c>
      <c r="N38" s="11">
        <v>1</v>
      </c>
      <c r="O38" s="10">
        <v>2</v>
      </c>
      <c r="P38" s="1"/>
      <c r="Q38" s="1"/>
      <c r="R38" s="1">
        <v>1</v>
      </c>
      <c r="S38" s="1"/>
      <c r="T38" s="11">
        <v>2</v>
      </c>
      <c r="U38" s="10">
        <v>1</v>
      </c>
      <c r="V38" s="1"/>
      <c r="W38" s="1"/>
      <c r="X38" s="1">
        <v>2</v>
      </c>
      <c r="Y38" s="1"/>
      <c r="Z38" s="11">
        <v>2</v>
      </c>
      <c r="AA38" s="10">
        <v>1</v>
      </c>
      <c r="AB38" s="1"/>
      <c r="AC38" s="1"/>
      <c r="AD38" s="1">
        <v>2</v>
      </c>
      <c r="AE38" s="1"/>
      <c r="AF38" s="11"/>
      <c r="AG38" s="10">
        <v>2</v>
      </c>
      <c r="AH38" s="1"/>
      <c r="AI38" s="1"/>
      <c r="AJ38" s="1"/>
      <c r="AK38" s="1">
        <v>0.5</v>
      </c>
      <c r="AL38" s="11">
        <v>2</v>
      </c>
      <c r="AM38" s="1">
        <f t="shared" si="1"/>
        <v>22.5</v>
      </c>
    </row>
    <row r="39" spans="1:39" ht="15.75" customHeight="1">
      <c r="A39" s="8" t="s">
        <v>116</v>
      </c>
      <c r="B39" s="15">
        <v>140</v>
      </c>
      <c r="C39" s="16"/>
      <c r="D39" s="15"/>
      <c r="E39" s="15"/>
      <c r="F39" s="15"/>
      <c r="G39" s="15"/>
      <c r="H39" s="17"/>
      <c r="I39" s="8"/>
      <c r="J39" s="2">
        <v>1</v>
      </c>
      <c r="K39" s="2"/>
      <c r="L39" s="2"/>
      <c r="M39" s="2"/>
      <c r="N39" s="9"/>
      <c r="O39" s="8"/>
      <c r="P39" s="2">
        <v>1</v>
      </c>
      <c r="Q39" s="2">
        <v>2</v>
      </c>
      <c r="R39" s="2"/>
      <c r="S39" s="2"/>
      <c r="T39" s="9"/>
      <c r="U39" s="8"/>
      <c r="V39" s="2">
        <v>2</v>
      </c>
      <c r="W39" s="2">
        <v>2</v>
      </c>
      <c r="X39" s="2"/>
      <c r="Y39" s="2"/>
      <c r="Z39" s="9"/>
      <c r="AA39" s="8"/>
      <c r="AB39" s="2">
        <v>2</v>
      </c>
      <c r="AC39" s="2">
        <v>1</v>
      </c>
      <c r="AD39" s="2"/>
      <c r="AE39" s="2"/>
      <c r="AF39" s="9"/>
      <c r="AG39" s="8"/>
      <c r="AH39" s="2"/>
      <c r="AI39" s="2">
        <v>1</v>
      </c>
      <c r="AJ39" s="2"/>
      <c r="AK39" s="2"/>
      <c r="AL39" s="9"/>
      <c r="AM39" s="1">
        <f t="shared" si="1"/>
        <v>12</v>
      </c>
    </row>
    <row r="40" spans="1:39" ht="15.75" customHeight="1">
      <c r="A40" s="5" t="s">
        <v>117</v>
      </c>
      <c r="B40" s="6">
        <v>141</v>
      </c>
      <c r="C40" s="5"/>
      <c r="D40" s="6"/>
      <c r="E40" s="6"/>
      <c r="F40" s="6"/>
      <c r="G40" s="6"/>
      <c r="H40" s="7"/>
      <c r="I40" s="5"/>
      <c r="J40" s="6"/>
      <c r="K40" s="6"/>
      <c r="L40" s="6">
        <v>2</v>
      </c>
      <c r="M40" s="6"/>
      <c r="N40" s="7"/>
      <c r="O40" s="5">
        <v>2</v>
      </c>
      <c r="P40" s="6"/>
      <c r="Q40" s="6"/>
      <c r="R40" s="6">
        <v>1</v>
      </c>
      <c r="S40" s="6"/>
      <c r="T40" s="7"/>
      <c r="U40" s="5">
        <v>2</v>
      </c>
      <c r="V40" s="6"/>
      <c r="W40" s="6"/>
      <c r="X40" s="6">
        <v>2</v>
      </c>
      <c r="Y40" s="6"/>
      <c r="Z40" s="7"/>
      <c r="AA40" s="5">
        <v>1</v>
      </c>
      <c r="AB40" s="6"/>
      <c r="AC40" s="6"/>
      <c r="AD40" s="6">
        <v>2</v>
      </c>
      <c r="AE40" s="6"/>
      <c r="AF40" s="7"/>
      <c r="AG40" s="5">
        <v>2</v>
      </c>
      <c r="AH40" s="6"/>
      <c r="AI40" s="6"/>
      <c r="AJ40" s="6"/>
      <c r="AK40" s="6"/>
      <c r="AL40" s="7"/>
      <c r="AM40" s="1">
        <f t="shared" si="1"/>
        <v>14</v>
      </c>
    </row>
    <row r="41" spans="1:39" ht="15.75" customHeight="1">
      <c r="A41" s="10" t="s">
        <v>118</v>
      </c>
      <c r="B41" s="1">
        <v>147</v>
      </c>
      <c r="C41" s="10"/>
      <c r="D41" s="1"/>
      <c r="E41" s="1"/>
      <c r="F41" s="1">
        <v>0.2</v>
      </c>
      <c r="G41" s="1"/>
      <c r="H41" s="11"/>
      <c r="I41" s="10"/>
      <c r="J41" s="1"/>
      <c r="K41" s="1"/>
      <c r="L41" s="1">
        <v>2</v>
      </c>
      <c r="M41" s="1"/>
      <c r="N41" s="11">
        <v>3</v>
      </c>
      <c r="O41" s="10"/>
      <c r="P41" s="1"/>
      <c r="Q41" s="1"/>
      <c r="R41" s="1">
        <v>2.5</v>
      </c>
      <c r="S41" s="1"/>
      <c r="T41" s="11">
        <v>3</v>
      </c>
      <c r="U41" s="10"/>
      <c r="V41" s="1"/>
      <c r="W41" s="1"/>
      <c r="X41" s="1">
        <v>2</v>
      </c>
      <c r="Y41" s="1"/>
      <c r="Z41" s="11">
        <v>1</v>
      </c>
      <c r="AA41" s="10"/>
      <c r="AB41" s="1"/>
      <c r="AC41" s="1"/>
      <c r="AD41" s="1">
        <v>1</v>
      </c>
      <c r="AE41" s="1"/>
      <c r="AF41" s="11">
        <v>4</v>
      </c>
      <c r="AG41" s="10"/>
      <c r="AH41" s="1"/>
      <c r="AI41" s="1"/>
      <c r="AJ41" s="1">
        <v>2</v>
      </c>
      <c r="AK41" s="1"/>
      <c r="AL41" s="11">
        <v>2</v>
      </c>
      <c r="AM41" s="1">
        <f t="shared" si="1"/>
        <v>23.5</v>
      </c>
    </row>
    <row r="42" spans="1:39" ht="15.75" customHeight="1">
      <c r="A42" s="10" t="s">
        <v>119</v>
      </c>
      <c r="B42" s="1">
        <v>152</v>
      </c>
      <c r="C42" s="10"/>
      <c r="D42" s="1"/>
      <c r="E42" s="1"/>
      <c r="F42" s="1"/>
      <c r="G42" s="1">
        <v>0.2</v>
      </c>
      <c r="H42" s="11"/>
      <c r="I42" s="10">
        <v>2</v>
      </c>
      <c r="J42" s="1"/>
      <c r="K42" s="1">
        <v>2</v>
      </c>
      <c r="L42" s="1"/>
      <c r="M42" s="1">
        <v>2</v>
      </c>
      <c r="N42" s="11"/>
      <c r="O42" s="10">
        <v>1</v>
      </c>
      <c r="P42" s="1">
        <v>2</v>
      </c>
      <c r="Q42" s="1"/>
      <c r="R42" s="1"/>
      <c r="S42" s="1">
        <v>2.5</v>
      </c>
      <c r="T42" s="11"/>
      <c r="U42" s="10"/>
      <c r="V42" s="1"/>
      <c r="W42" s="1">
        <v>2</v>
      </c>
      <c r="X42" s="1"/>
      <c r="Y42" s="1">
        <v>1</v>
      </c>
      <c r="Z42" s="11"/>
      <c r="AA42" s="10"/>
      <c r="AB42" s="1">
        <v>2</v>
      </c>
      <c r="AC42" s="1"/>
      <c r="AD42" s="1"/>
      <c r="AE42" s="1">
        <v>1</v>
      </c>
      <c r="AF42" s="11"/>
      <c r="AG42" s="10">
        <v>1</v>
      </c>
      <c r="AH42" s="1"/>
      <c r="AI42" s="1"/>
      <c r="AJ42" s="1"/>
      <c r="AK42" s="1">
        <v>2</v>
      </c>
      <c r="AL42" s="11"/>
      <c r="AM42" s="1">
        <f t="shared" si="1"/>
        <v>21.5</v>
      </c>
    </row>
    <row r="43" spans="1:39" ht="15.75" customHeight="1">
      <c r="A43" s="10" t="s">
        <v>120</v>
      </c>
      <c r="B43" s="1">
        <v>153</v>
      </c>
      <c r="C43" s="10"/>
      <c r="D43" s="1">
        <v>0.2</v>
      </c>
      <c r="E43" s="1"/>
      <c r="F43" s="1"/>
      <c r="G43" s="1"/>
      <c r="H43" s="11"/>
      <c r="I43" s="10"/>
      <c r="J43" s="1">
        <v>1</v>
      </c>
      <c r="K43" s="1"/>
      <c r="L43" s="1"/>
      <c r="M43" s="1">
        <v>1</v>
      </c>
      <c r="N43" s="11">
        <v>4</v>
      </c>
      <c r="O43" s="10">
        <v>2</v>
      </c>
      <c r="P43" s="1">
        <v>2.5</v>
      </c>
      <c r="Q43" s="1"/>
      <c r="R43" s="1"/>
      <c r="S43" s="1"/>
      <c r="T43" s="11">
        <v>2</v>
      </c>
      <c r="U43" s="10"/>
      <c r="V43" s="1">
        <v>1</v>
      </c>
      <c r="W43" s="1"/>
      <c r="X43" s="1"/>
      <c r="Y43" s="1">
        <v>2</v>
      </c>
      <c r="Z43" s="11">
        <v>1</v>
      </c>
      <c r="AA43" s="10">
        <v>1</v>
      </c>
      <c r="AB43" s="1">
        <v>1</v>
      </c>
      <c r="AC43" s="1"/>
      <c r="AD43" s="1"/>
      <c r="AE43" s="1"/>
      <c r="AF43" s="11">
        <v>1</v>
      </c>
      <c r="AG43" s="10">
        <v>1</v>
      </c>
      <c r="AH43" s="1"/>
      <c r="AI43" s="1"/>
      <c r="AJ43" s="1"/>
      <c r="AK43" s="1"/>
      <c r="AL43" s="11">
        <v>2</v>
      </c>
      <c r="AM43" s="1">
        <f t="shared" si="1"/>
        <v>23.5</v>
      </c>
    </row>
    <row r="44" spans="1:39" ht="15.75" customHeight="1">
      <c r="A44" s="8" t="s">
        <v>122</v>
      </c>
      <c r="B44" s="2">
        <v>161</v>
      </c>
      <c r="C44" s="8"/>
      <c r="D44" s="2"/>
      <c r="E44" s="2"/>
      <c r="F44" s="2"/>
      <c r="G44" s="2"/>
      <c r="H44" s="9">
        <v>0.2</v>
      </c>
      <c r="I44" s="8"/>
      <c r="J44" s="2"/>
      <c r="K44" s="2">
        <v>0.5</v>
      </c>
      <c r="L44" s="2">
        <v>1</v>
      </c>
      <c r="M44" s="2">
        <v>1</v>
      </c>
      <c r="N44" s="9">
        <v>1</v>
      </c>
      <c r="O44" s="8"/>
      <c r="P44" s="2"/>
      <c r="Q44" s="2">
        <v>1</v>
      </c>
      <c r="R44" s="2">
        <v>2</v>
      </c>
      <c r="S44" s="2">
        <v>1</v>
      </c>
      <c r="T44" s="9">
        <v>3</v>
      </c>
      <c r="U44" s="8"/>
      <c r="V44" s="2"/>
      <c r="W44" s="2">
        <v>1</v>
      </c>
      <c r="X44" s="2"/>
      <c r="Y44" s="2"/>
      <c r="Z44" s="9">
        <v>2</v>
      </c>
      <c r="AA44" s="8"/>
      <c r="AB44" s="2"/>
      <c r="AC44" s="2">
        <v>1</v>
      </c>
      <c r="AD44" s="2"/>
      <c r="AE44" s="2">
        <v>2</v>
      </c>
      <c r="AF44" s="9"/>
      <c r="AG44" s="8"/>
      <c r="AH44" s="2"/>
      <c r="AI44" s="2">
        <v>0.5</v>
      </c>
      <c r="AJ44" s="2">
        <v>2</v>
      </c>
      <c r="AK44" s="2">
        <v>1</v>
      </c>
      <c r="AL44" s="9"/>
      <c r="AM44" s="1">
        <f t="shared" si="1"/>
        <v>21</v>
      </c>
    </row>
    <row r="45" spans="1:39" ht="15.75" customHeight="1">
      <c r="A45" s="5" t="s">
        <v>124</v>
      </c>
      <c r="B45" s="6">
        <v>178</v>
      </c>
      <c r="C45" s="5"/>
      <c r="D45" s="6"/>
      <c r="E45" s="6">
        <v>0.2</v>
      </c>
      <c r="F45" s="6"/>
      <c r="G45" s="6"/>
      <c r="H45" s="7"/>
      <c r="I45" s="5">
        <v>2</v>
      </c>
      <c r="J45" s="6">
        <v>1</v>
      </c>
      <c r="K45" s="6"/>
      <c r="L45" s="6"/>
      <c r="M45" s="6"/>
      <c r="N45" s="7"/>
      <c r="O45" s="5">
        <v>1</v>
      </c>
      <c r="P45" s="6">
        <v>1</v>
      </c>
      <c r="Q45" s="6">
        <v>3</v>
      </c>
      <c r="R45" s="6">
        <v>1</v>
      </c>
      <c r="S45" s="6"/>
      <c r="T45" s="7"/>
      <c r="U45" s="5">
        <v>1</v>
      </c>
      <c r="V45" s="6">
        <v>2</v>
      </c>
      <c r="W45" s="6">
        <v>2</v>
      </c>
      <c r="X45" s="6"/>
      <c r="Y45" s="6"/>
      <c r="Z45" s="7"/>
      <c r="AA45" s="5">
        <v>2</v>
      </c>
      <c r="AB45" s="6">
        <v>2</v>
      </c>
      <c r="AC45" s="6">
        <v>1</v>
      </c>
      <c r="AD45" s="6">
        <v>2</v>
      </c>
      <c r="AE45" s="6"/>
      <c r="AF45" s="7"/>
      <c r="AG45" s="5"/>
      <c r="AH45" s="6"/>
      <c r="AI45" s="6">
        <v>1</v>
      </c>
      <c r="AJ45" s="6">
        <v>2</v>
      </c>
      <c r="AK45" s="6"/>
      <c r="AL45" s="7"/>
      <c r="AM45" s="1">
        <f t="shared" si="1"/>
        <v>25</v>
      </c>
    </row>
    <row r="46" spans="1:39" ht="15.75" customHeight="1">
      <c r="A46" s="10" t="s">
        <v>125</v>
      </c>
      <c r="B46" s="1">
        <v>181</v>
      </c>
      <c r="C46" s="10"/>
      <c r="D46" s="1"/>
      <c r="E46" s="1"/>
      <c r="F46" s="1"/>
      <c r="G46" s="1"/>
      <c r="H46" s="11">
        <v>0.2</v>
      </c>
      <c r="I46" s="10"/>
      <c r="J46" s="1"/>
      <c r="K46" s="1">
        <v>2</v>
      </c>
      <c r="L46" s="1">
        <v>2</v>
      </c>
      <c r="M46" s="1"/>
      <c r="N46" s="11">
        <v>1</v>
      </c>
      <c r="O46" s="10"/>
      <c r="P46" s="1"/>
      <c r="Q46" s="1"/>
      <c r="R46" s="1">
        <v>1</v>
      </c>
      <c r="S46" s="1"/>
      <c r="T46" s="11">
        <v>3</v>
      </c>
      <c r="U46" s="10"/>
      <c r="V46" s="1"/>
      <c r="W46" s="1">
        <v>1</v>
      </c>
      <c r="X46" s="1">
        <v>2</v>
      </c>
      <c r="Y46" s="1"/>
      <c r="Z46" s="11"/>
      <c r="AA46" s="10"/>
      <c r="AB46" s="1"/>
      <c r="AC46" s="1"/>
      <c r="AD46" s="1">
        <v>2</v>
      </c>
      <c r="AE46" s="1"/>
      <c r="AF46" s="11">
        <v>1</v>
      </c>
      <c r="AG46" s="10">
        <v>1</v>
      </c>
      <c r="AH46" s="1"/>
      <c r="AI46" s="1">
        <v>1</v>
      </c>
      <c r="AJ46" s="1"/>
      <c r="AK46" s="1"/>
      <c r="AL46" s="11">
        <v>2</v>
      </c>
      <c r="AM46" s="1">
        <f t="shared" si="1"/>
        <v>20</v>
      </c>
    </row>
    <row r="47" spans="1:39" ht="15.75" customHeight="1">
      <c r="A47" s="10" t="s">
        <v>86</v>
      </c>
      <c r="B47" s="1">
        <v>186</v>
      </c>
      <c r="C47" s="10"/>
      <c r="D47" s="1"/>
      <c r="E47" s="1"/>
      <c r="F47" s="1"/>
      <c r="G47" s="1"/>
      <c r="H47" s="11">
        <v>0.2</v>
      </c>
      <c r="I47" s="10"/>
      <c r="J47" s="1"/>
      <c r="K47" s="1"/>
      <c r="L47" s="1">
        <v>2</v>
      </c>
      <c r="M47" s="1">
        <v>3</v>
      </c>
      <c r="N47" s="11"/>
      <c r="O47" s="10"/>
      <c r="P47" s="1"/>
      <c r="Q47" s="1"/>
      <c r="R47" s="1">
        <v>1</v>
      </c>
      <c r="S47" s="1">
        <v>2</v>
      </c>
      <c r="T47" s="11">
        <v>2</v>
      </c>
      <c r="U47" s="10"/>
      <c r="V47" s="1"/>
      <c r="W47" s="1"/>
      <c r="X47" s="1">
        <v>3</v>
      </c>
      <c r="Y47" s="1">
        <v>1</v>
      </c>
      <c r="Z47" s="11"/>
      <c r="AA47" s="10"/>
      <c r="AB47" s="1"/>
      <c r="AC47" s="1"/>
      <c r="AD47" s="1">
        <v>1</v>
      </c>
      <c r="AE47" s="1">
        <v>2</v>
      </c>
      <c r="AF47" s="11">
        <v>1</v>
      </c>
      <c r="AG47" s="10"/>
      <c r="AH47" s="1"/>
      <c r="AI47" s="1"/>
      <c r="AJ47" s="1">
        <v>1</v>
      </c>
      <c r="AK47" s="1">
        <v>1</v>
      </c>
      <c r="AL47" s="11"/>
      <c r="AM47" s="1">
        <f t="shared" si="1"/>
        <v>21</v>
      </c>
    </row>
    <row r="48" spans="1:39" ht="15.75" customHeight="1">
      <c r="A48" s="10" t="s">
        <v>126</v>
      </c>
      <c r="B48" s="1">
        <v>190</v>
      </c>
      <c r="C48" s="10"/>
      <c r="D48" s="1"/>
      <c r="E48" s="1"/>
      <c r="F48" s="1"/>
      <c r="G48" s="1"/>
      <c r="H48" s="11"/>
      <c r="I48" s="10"/>
      <c r="J48" s="1"/>
      <c r="K48" s="1">
        <v>2</v>
      </c>
      <c r="L48" s="1">
        <v>2</v>
      </c>
      <c r="M48" s="1">
        <v>1</v>
      </c>
      <c r="N48" s="11"/>
      <c r="O48" s="10"/>
      <c r="P48" s="1"/>
      <c r="Q48" s="1"/>
      <c r="R48" s="1"/>
      <c r="S48" s="1">
        <v>1</v>
      </c>
      <c r="T48" s="11">
        <v>1</v>
      </c>
      <c r="U48" s="10"/>
      <c r="V48" s="1"/>
      <c r="W48" s="1">
        <v>1</v>
      </c>
      <c r="X48" s="1">
        <v>2</v>
      </c>
      <c r="Y48" s="1"/>
      <c r="Z48" s="11">
        <v>1</v>
      </c>
      <c r="AA48" s="10"/>
      <c r="AB48" s="1"/>
      <c r="AC48" s="1">
        <v>2</v>
      </c>
      <c r="AD48" s="1">
        <v>1</v>
      </c>
      <c r="AE48" s="1"/>
      <c r="AF48" s="11"/>
      <c r="AG48" s="10"/>
      <c r="AH48" s="1"/>
      <c r="AI48" s="1">
        <v>2</v>
      </c>
      <c r="AJ48" s="1"/>
      <c r="AK48" s="1"/>
      <c r="AL48" s="11"/>
      <c r="AM48" s="1">
        <f t="shared" si="1"/>
        <v>16</v>
      </c>
    </row>
    <row r="49" spans="1:39" ht="15.75" customHeight="1">
      <c r="A49" s="8" t="s">
        <v>110</v>
      </c>
      <c r="B49" s="2">
        <v>196</v>
      </c>
      <c r="C49" s="8"/>
      <c r="D49" s="2">
        <v>0.2</v>
      </c>
      <c r="E49" s="2"/>
      <c r="F49" s="2"/>
      <c r="G49" s="2"/>
      <c r="H49" s="9"/>
      <c r="I49" s="8">
        <v>3</v>
      </c>
      <c r="J49" s="2"/>
      <c r="K49" s="2"/>
      <c r="L49" s="2"/>
      <c r="M49" s="2"/>
      <c r="N49" s="9"/>
      <c r="O49" s="8">
        <v>1</v>
      </c>
      <c r="P49" s="2">
        <v>1.5</v>
      </c>
      <c r="Q49" s="2"/>
      <c r="R49" s="2">
        <v>1</v>
      </c>
      <c r="S49" s="2">
        <v>1</v>
      </c>
      <c r="T49" s="9"/>
      <c r="U49" s="8">
        <v>3</v>
      </c>
      <c r="V49" s="2"/>
      <c r="W49" s="2"/>
      <c r="X49" s="2"/>
      <c r="Y49" s="2">
        <v>2</v>
      </c>
      <c r="Z49" s="9"/>
      <c r="AA49" s="8">
        <v>1</v>
      </c>
      <c r="AB49" s="2"/>
      <c r="AC49" s="2"/>
      <c r="AD49" s="2">
        <v>2</v>
      </c>
      <c r="AE49" s="2">
        <v>1</v>
      </c>
      <c r="AF49" s="9"/>
      <c r="AG49" s="8"/>
      <c r="AH49" s="2">
        <v>2</v>
      </c>
      <c r="AI49" s="2"/>
      <c r="AJ49" s="2">
        <v>2</v>
      </c>
      <c r="AK49" s="2">
        <v>1</v>
      </c>
      <c r="AL49" s="9"/>
      <c r="AM49" s="1">
        <f t="shared" si="1"/>
        <v>22.5</v>
      </c>
    </row>
    <row r="50" spans="1:39" ht="15.75" customHeight="1">
      <c r="A50" s="5" t="s">
        <v>127</v>
      </c>
      <c r="B50" s="6">
        <v>197</v>
      </c>
      <c r="C50" s="5">
        <v>0.2</v>
      </c>
      <c r="D50" s="6"/>
      <c r="E50" s="6"/>
      <c r="F50" s="6"/>
      <c r="G50" s="6"/>
      <c r="H50" s="7"/>
      <c r="I50" s="5">
        <v>2</v>
      </c>
      <c r="J50" s="6"/>
      <c r="K50" s="6">
        <v>4</v>
      </c>
      <c r="L50" s="6"/>
      <c r="M50" s="6"/>
      <c r="N50" s="7"/>
      <c r="O50" s="5">
        <v>1.5</v>
      </c>
      <c r="P50" s="6">
        <v>2</v>
      </c>
      <c r="Q50" s="6">
        <v>2</v>
      </c>
      <c r="R50" s="6"/>
      <c r="S50" s="6"/>
      <c r="T50" s="7"/>
      <c r="U50" s="5">
        <v>2</v>
      </c>
      <c r="V50" s="6">
        <v>2</v>
      </c>
      <c r="W50" s="6"/>
      <c r="X50" s="6"/>
      <c r="Y50" s="6"/>
      <c r="Z50" s="7">
        <v>2</v>
      </c>
      <c r="AA50" s="5"/>
      <c r="AB50" s="6">
        <v>2</v>
      </c>
      <c r="AC50" s="6"/>
      <c r="AD50" s="6"/>
      <c r="AE50" s="6"/>
      <c r="AF50" s="7">
        <v>2</v>
      </c>
      <c r="AG50" s="5"/>
      <c r="AH50" s="6"/>
      <c r="AI50" s="6">
        <v>2</v>
      </c>
      <c r="AJ50" s="6"/>
      <c r="AK50" s="6"/>
      <c r="AL50" s="7">
        <v>1</v>
      </c>
      <c r="AM50" s="1">
        <f t="shared" si="1"/>
        <v>25.5</v>
      </c>
    </row>
    <row r="51" spans="1:39" ht="15.75" customHeight="1">
      <c r="A51" s="10" t="s">
        <v>128</v>
      </c>
      <c r="B51" s="1">
        <v>198</v>
      </c>
      <c r="C51" s="10"/>
      <c r="D51" s="1"/>
      <c r="E51" s="1">
        <v>0.2</v>
      </c>
      <c r="F51" s="1"/>
      <c r="G51" s="1"/>
      <c r="H51" s="11"/>
      <c r="I51" s="10"/>
      <c r="J51" s="1">
        <v>2</v>
      </c>
      <c r="K51" s="1"/>
      <c r="L51" s="1"/>
      <c r="M51" s="1"/>
      <c r="N51" s="11">
        <v>2</v>
      </c>
      <c r="O51" s="10">
        <v>1</v>
      </c>
      <c r="P51" s="1">
        <v>3</v>
      </c>
      <c r="Q51" s="1">
        <v>2</v>
      </c>
      <c r="R51" s="1"/>
      <c r="S51" s="1"/>
      <c r="T51" s="11"/>
      <c r="U51" s="10">
        <v>1</v>
      </c>
      <c r="V51" s="1">
        <v>2</v>
      </c>
      <c r="W51" s="1">
        <v>1</v>
      </c>
      <c r="X51" s="1"/>
      <c r="Y51" s="1"/>
      <c r="Z51" s="11"/>
      <c r="AA51" s="10"/>
      <c r="AB51" s="1">
        <v>1</v>
      </c>
      <c r="AC51" s="1">
        <v>2</v>
      </c>
      <c r="AD51" s="1"/>
      <c r="AE51" s="1"/>
      <c r="AF51" s="11">
        <v>2</v>
      </c>
      <c r="AG51" s="10">
        <v>2</v>
      </c>
      <c r="AH51" s="1"/>
      <c r="AI51" s="1">
        <v>2</v>
      </c>
      <c r="AJ51" s="1"/>
      <c r="AK51" s="1"/>
      <c r="AL51" s="11">
        <v>1</v>
      </c>
      <c r="AM51" s="1">
        <f t="shared" si="1"/>
        <v>25</v>
      </c>
    </row>
    <row r="52" spans="1:39" ht="15.75" customHeight="1">
      <c r="A52" s="10" t="s">
        <v>129</v>
      </c>
      <c r="B52" s="1">
        <v>201</v>
      </c>
      <c r="C52" s="10"/>
      <c r="D52" s="1">
        <v>0.2</v>
      </c>
      <c r="E52" s="1"/>
      <c r="F52" s="1"/>
      <c r="G52" s="1"/>
      <c r="H52" s="11"/>
      <c r="I52" s="10"/>
      <c r="J52" s="1">
        <v>1</v>
      </c>
      <c r="K52" s="1"/>
      <c r="L52" s="1"/>
      <c r="M52" s="1"/>
      <c r="N52" s="11"/>
      <c r="O52" s="10"/>
      <c r="P52" s="1">
        <v>3.5</v>
      </c>
      <c r="Q52" s="1"/>
      <c r="R52" s="1"/>
      <c r="S52" s="1"/>
      <c r="T52" s="11"/>
      <c r="U52" s="10"/>
      <c r="V52" s="1">
        <v>2</v>
      </c>
      <c r="W52" s="1">
        <v>2</v>
      </c>
      <c r="X52" s="1"/>
      <c r="Y52" s="1"/>
      <c r="Z52" s="11"/>
      <c r="AA52" s="10"/>
      <c r="AB52" s="1"/>
      <c r="AC52" s="1">
        <v>2</v>
      </c>
      <c r="AD52" s="1"/>
      <c r="AE52" s="1"/>
      <c r="AF52" s="11"/>
      <c r="AG52" s="10"/>
      <c r="AH52" s="1">
        <v>2</v>
      </c>
      <c r="AI52" s="1">
        <v>2</v>
      </c>
      <c r="AJ52" s="1"/>
      <c r="AK52" s="1"/>
      <c r="AL52" s="11"/>
      <c r="AM52" s="1">
        <f t="shared" si="1"/>
        <v>15.5</v>
      </c>
    </row>
    <row r="53" spans="1:39" ht="15.75" customHeight="1">
      <c r="A53" s="10" t="s">
        <v>130</v>
      </c>
      <c r="B53" s="1">
        <v>202</v>
      </c>
      <c r="C53" s="10"/>
      <c r="D53" s="1"/>
      <c r="E53" s="1"/>
      <c r="F53" s="1"/>
      <c r="G53" s="1">
        <v>0.2</v>
      </c>
      <c r="H53" s="11"/>
      <c r="I53" s="10">
        <v>2</v>
      </c>
      <c r="J53" s="1"/>
      <c r="K53" s="1"/>
      <c r="L53" s="1"/>
      <c r="M53" s="1">
        <v>2</v>
      </c>
      <c r="N53" s="11">
        <v>1</v>
      </c>
      <c r="O53" s="10">
        <v>1</v>
      </c>
      <c r="P53" s="1"/>
      <c r="Q53" s="1"/>
      <c r="R53" s="1"/>
      <c r="S53" s="1">
        <v>2</v>
      </c>
      <c r="T53" s="11">
        <v>2</v>
      </c>
      <c r="U53" s="10"/>
      <c r="V53" s="1">
        <v>1</v>
      </c>
      <c r="W53" s="1"/>
      <c r="X53" s="1"/>
      <c r="Y53" s="1">
        <v>2</v>
      </c>
      <c r="Z53" s="11">
        <v>2</v>
      </c>
      <c r="AA53" s="10"/>
      <c r="AB53" s="1">
        <v>1</v>
      </c>
      <c r="AC53" s="1">
        <v>1</v>
      </c>
      <c r="AD53" s="1"/>
      <c r="AE53" s="1">
        <v>3</v>
      </c>
      <c r="AF53" s="11"/>
      <c r="AG53" s="10">
        <v>1</v>
      </c>
      <c r="AH53" s="1"/>
      <c r="AI53" s="1">
        <v>1</v>
      </c>
      <c r="AJ53" s="1"/>
      <c r="AK53" s="1">
        <v>2</v>
      </c>
      <c r="AL53" s="11"/>
      <c r="AM53" s="1">
        <f t="shared" si="1"/>
        <v>25</v>
      </c>
    </row>
    <row r="54" spans="1:39" ht="15.75" customHeight="1">
      <c r="A54" s="8" t="s">
        <v>131</v>
      </c>
      <c r="B54" s="2">
        <v>203</v>
      </c>
      <c r="C54" s="8"/>
      <c r="D54" s="2"/>
      <c r="E54" s="2">
        <v>0.2</v>
      </c>
      <c r="F54" s="2"/>
      <c r="G54" s="2"/>
      <c r="H54" s="9"/>
      <c r="I54" s="8">
        <v>2</v>
      </c>
      <c r="J54" s="2">
        <v>2</v>
      </c>
      <c r="K54" s="2">
        <v>1</v>
      </c>
      <c r="L54" s="2"/>
      <c r="M54" s="2"/>
      <c r="N54" s="9"/>
      <c r="O54" s="8">
        <v>2</v>
      </c>
      <c r="P54" s="2">
        <v>3</v>
      </c>
      <c r="Q54" s="2">
        <v>2</v>
      </c>
      <c r="R54" s="2"/>
      <c r="S54" s="2"/>
      <c r="T54" s="9"/>
      <c r="U54" s="8">
        <v>1</v>
      </c>
      <c r="V54" s="2">
        <v>3</v>
      </c>
      <c r="W54" s="2"/>
      <c r="X54" s="2"/>
      <c r="Y54" s="2"/>
      <c r="Z54" s="9">
        <v>2</v>
      </c>
      <c r="AA54" s="8">
        <v>1</v>
      </c>
      <c r="AB54" s="2"/>
      <c r="AC54" s="2"/>
      <c r="AD54" s="2"/>
      <c r="AE54" s="2"/>
      <c r="AF54" s="9">
        <v>2</v>
      </c>
      <c r="AG54" s="8"/>
      <c r="AH54" s="2"/>
      <c r="AI54" s="2">
        <v>2</v>
      </c>
      <c r="AJ54" s="2"/>
      <c r="AK54" s="2"/>
      <c r="AL54" s="9">
        <v>1</v>
      </c>
      <c r="AM54" s="1">
        <f t="shared" si="1"/>
        <v>25</v>
      </c>
    </row>
    <row r="55" spans="1:39" ht="15.75" customHeight="1">
      <c r="A55" s="5" t="s">
        <v>132</v>
      </c>
      <c r="B55" s="6">
        <v>204</v>
      </c>
      <c r="C55" s="5">
        <v>0.2</v>
      </c>
      <c r="D55" s="6"/>
      <c r="E55" s="6"/>
      <c r="F55" s="6"/>
      <c r="G55" s="6"/>
      <c r="H55" s="7"/>
      <c r="I55" s="5"/>
      <c r="J55" s="6"/>
      <c r="K55" s="6"/>
      <c r="L55" s="6">
        <v>2</v>
      </c>
      <c r="M55" s="6"/>
      <c r="N55" s="7">
        <v>3</v>
      </c>
      <c r="O55" s="5">
        <v>3.5</v>
      </c>
      <c r="P55" s="6"/>
      <c r="Q55" s="6"/>
      <c r="R55" s="6"/>
      <c r="S55" s="6"/>
      <c r="T55" s="7">
        <v>1</v>
      </c>
      <c r="U55" s="5">
        <v>2</v>
      </c>
      <c r="V55" s="6"/>
      <c r="W55" s="6"/>
      <c r="X55" s="6">
        <v>2</v>
      </c>
      <c r="Y55" s="6"/>
      <c r="Z55" s="7">
        <v>2</v>
      </c>
      <c r="AA55" s="5">
        <v>1</v>
      </c>
      <c r="AB55" s="6"/>
      <c r="AC55" s="6"/>
      <c r="AD55" s="6">
        <v>2</v>
      </c>
      <c r="AE55" s="6">
        <v>0.5</v>
      </c>
      <c r="AF55" s="7"/>
      <c r="AG55" s="5">
        <v>2</v>
      </c>
      <c r="AH55" s="6"/>
      <c r="AI55" s="6"/>
      <c r="AJ55" s="6"/>
      <c r="AK55" s="6">
        <v>0.5</v>
      </c>
      <c r="AL55" s="7">
        <v>2</v>
      </c>
      <c r="AM55" s="1">
        <f t="shared" si="1"/>
        <v>24.5</v>
      </c>
    </row>
    <row r="56" spans="1:39" ht="15.75" customHeight="1">
      <c r="A56" s="10" t="s">
        <v>133</v>
      </c>
      <c r="B56" s="1">
        <v>205</v>
      </c>
      <c r="C56" s="10"/>
      <c r="D56" s="1"/>
      <c r="E56" s="1"/>
      <c r="F56" s="1"/>
      <c r="G56" s="1"/>
      <c r="H56" s="11"/>
      <c r="I56" s="10"/>
      <c r="J56" s="1"/>
      <c r="K56" s="1">
        <v>0.5</v>
      </c>
      <c r="L56" s="1">
        <v>1</v>
      </c>
      <c r="M56" s="1">
        <v>1</v>
      </c>
      <c r="N56" s="11"/>
      <c r="O56" s="10"/>
      <c r="P56" s="1"/>
      <c r="Q56" s="1">
        <v>1</v>
      </c>
      <c r="R56" s="1">
        <v>2</v>
      </c>
      <c r="S56" s="1">
        <v>1</v>
      </c>
      <c r="T56" s="11"/>
      <c r="U56" s="10">
        <v>1</v>
      </c>
      <c r="V56" s="1"/>
      <c r="W56" s="1"/>
      <c r="X56" s="1"/>
      <c r="Y56" s="1"/>
      <c r="Z56" s="11"/>
      <c r="AA56" s="10"/>
      <c r="AB56" s="1"/>
      <c r="AC56" s="1">
        <v>0.5</v>
      </c>
      <c r="AD56" s="1"/>
      <c r="AE56" s="1">
        <v>2</v>
      </c>
      <c r="AF56" s="11"/>
      <c r="AG56" s="10">
        <v>1</v>
      </c>
      <c r="AH56" s="1"/>
      <c r="AI56" s="1">
        <v>0.5</v>
      </c>
      <c r="AJ56" s="1">
        <v>2</v>
      </c>
      <c r="AK56" s="1">
        <v>1</v>
      </c>
      <c r="AL56" s="11"/>
      <c r="AM56" s="1">
        <f t="shared" si="1"/>
        <v>14.5</v>
      </c>
    </row>
    <row r="57" spans="1:39" ht="15.75" customHeight="1">
      <c r="A57" s="10" t="s">
        <v>134</v>
      </c>
      <c r="B57" s="1">
        <v>206</v>
      </c>
      <c r="C57" s="10"/>
      <c r="D57" s="1">
        <v>0.2</v>
      </c>
      <c r="E57" s="1"/>
      <c r="F57" s="1"/>
      <c r="G57" s="1"/>
      <c r="H57" s="11"/>
      <c r="I57" s="10">
        <v>2</v>
      </c>
      <c r="J57" s="1">
        <v>2</v>
      </c>
      <c r="K57" s="1"/>
      <c r="L57" s="1"/>
      <c r="M57" s="1">
        <v>3</v>
      </c>
      <c r="N57" s="11"/>
      <c r="O57" s="10">
        <v>1</v>
      </c>
      <c r="P57" s="1">
        <v>1.5</v>
      </c>
      <c r="Q57" s="1"/>
      <c r="R57" s="1"/>
      <c r="S57" s="1">
        <v>1</v>
      </c>
      <c r="T57" s="11"/>
      <c r="U57" s="10">
        <v>1</v>
      </c>
      <c r="V57" s="1">
        <v>1</v>
      </c>
      <c r="W57" s="1"/>
      <c r="X57" s="1"/>
      <c r="Y57" s="1">
        <v>4</v>
      </c>
      <c r="Z57" s="11"/>
      <c r="AA57" s="10">
        <v>2</v>
      </c>
      <c r="AB57" s="1">
        <v>1</v>
      </c>
      <c r="AC57" s="1"/>
      <c r="AD57" s="1"/>
      <c r="AE57" s="1">
        <v>1</v>
      </c>
      <c r="AF57" s="11"/>
      <c r="AG57" s="10"/>
      <c r="AH57" s="1">
        <v>2</v>
      </c>
      <c r="AI57" s="1"/>
      <c r="AJ57" s="1"/>
      <c r="AK57" s="1">
        <v>2</v>
      </c>
      <c r="AL57" s="11"/>
      <c r="AM57" s="1">
        <f t="shared" si="1"/>
        <v>25.5</v>
      </c>
    </row>
    <row r="58" spans="1:39" ht="15.75" customHeight="1">
      <c r="A58" s="10" t="s">
        <v>135</v>
      </c>
      <c r="B58" s="1">
        <v>207</v>
      </c>
      <c r="C58" s="10"/>
      <c r="D58" s="1"/>
      <c r="E58" s="1"/>
      <c r="F58" s="1"/>
      <c r="G58" s="1"/>
      <c r="H58" s="11">
        <v>0.2</v>
      </c>
      <c r="I58" s="10"/>
      <c r="J58" s="1">
        <v>2</v>
      </c>
      <c r="K58" s="1"/>
      <c r="L58" s="1"/>
      <c r="M58" s="1">
        <v>2</v>
      </c>
      <c r="N58" s="11"/>
      <c r="O58" s="10"/>
      <c r="P58" s="1">
        <v>2</v>
      </c>
      <c r="Q58" s="1"/>
      <c r="R58" s="1"/>
      <c r="S58" s="1">
        <v>1</v>
      </c>
      <c r="T58" s="11">
        <v>3</v>
      </c>
      <c r="U58" s="10"/>
      <c r="V58" s="1">
        <v>4</v>
      </c>
      <c r="W58" s="1"/>
      <c r="X58" s="1"/>
      <c r="Y58" s="1">
        <v>2</v>
      </c>
      <c r="Z58" s="11"/>
      <c r="AA58" s="10"/>
      <c r="AB58" s="1">
        <v>2</v>
      </c>
      <c r="AC58" s="1"/>
      <c r="AD58" s="1"/>
      <c r="AE58" s="1"/>
      <c r="AF58" s="11">
        <v>2</v>
      </c>
      <c r="AG58" s="10">
        <v>1</v>
      </c>
      <c r="AH58" s="1"/>
      <c r="AI58" s="1"/>
      <c r="AJ58" s="1"/>
      <c r="AK58" s="1">
        <v>1</v>
      </c>
      <c r="AL58" s="11">
        <v>2</v>
      </c>
      <c r="AM58" s="1">
        <f t="shared" si="1"/>
        <v>25</v>
      </c>
    </row>
    <row r="59" spans="1:39" ht="15.75" customHeight="1">
      <c r="A59" s="8" t="s">
        <v>136</v>
      </c>
      <c r="B59" s="2">
        <v>208</v>
      </c>
      <c r="C59" s="8"/>
      <c r="D59" s="2">
        <v>0.2</v>
      </c>
      <c r="E59" s="2"/>
      <c r="F59" s="2"/>
      <c r="G59" s="2"/>
      <c r="H59" s="9"/>
      <c r="I59" s="8">
        <v>4</v>
      </c>
      <c r="J59" s="2"/>
      <c r="K59" s="2"/>
      <c r="L59" s="2"/>
      <c r="M59" s="2"/>
      <c r="N59" s="9">
        <v>2</v>
      </c>
      <c r="O59" s="8"/>
      <c r="P59" s="2">
        <v>1.5</v>
      </c>
      <c r="Q59" s="2"/>
      <c r="R59" s="2"/>
      <c r="S59" s="2">
        <v>2</v>
      </c>
      <c r="T59" s="9"/>
      <c r="U59" s="8">
        <v>2</v>
      </c>
      <c r="V59" s="2"/>
      <c r="W59" s="2"/>
      <c r="X59" s="2"/>
      <c r="Y59" s="2">
        <v>2</v>
      </c>
      <c r="Z59" s="9"/>
      <c r="AA59" s="8"/>
      <c r="AB59" s="2">
        <v>2</v>
      </c>
      <c r="AC59" s="2"/>
      <c r="AD59" s="2"/>
      <c r="AE59" s="2">
        <v>2</v>
      </c>
      <c r="AF59" s="9"/>
      <c r="AG59" s="8">
        <v>2</v>
      </c>
      <c r="AH59" s="2">
        <v>2</v>
      </c>
      <c r="AI59" s="2"/>
      <c r="AJ59" s="2"/>
      <c r="AK59" s="2"/>
      <c r="AL59" s="9"/>
      <c r="AM59" s="1">
        <f t="shared" si="1"/>
        <v>22.5</v>
      </c>
    </row>
    <row r="60" spans="1:39" ht="15.75" customHeight="1">
      <c r="A60" s="5" t="s">
        <v>137</v>
      </c>
      <c r="B60" s="6">
        <v>209</v>
      </c>
      <c r="C60" s="5"/>
      <c r="D60" s="6"/>
      <c r="E60" s="6"/>
      <c r="F60" s="6"/>
      <c r="G60" s="6"/>
      <c r="H60" s="7">
        <v>0.2</v>
      </c>
      <c r="I60" s="5"/>
      <c r="J60" s="6">
        <v>1</v>
      </c>
      <c r="K60" s="6"/>
      <c r="L60" s="6"/>
      <c r="M60" s="6"/>
      <c r="N60" s="7">
        <v>1</v>
      </c>
      <c r="O60" s="5"/>
      <c r="P60" s="6">
        <v>2</v>
      </c>
      <c r="Q60" s="6"/>
      <c r="R60" s="6"/>
      <c r="S60" s="6"/>
      <c r="T60" s="7">
        <v>3.5</v>
      </c>
      <c r="U60" s="5"/>
      <c r="V60" s="6"/>
      <c r="W60" s="6">
        <v>1</v>
      </c>
      <c r="X60" s="6"/>
      <c r="Y60" s="6"/>
      <c r="Z60" s="7">
        <v>2</v>
      </c>
      <c r="AA60" s="5"/>
      <c r="AB60" s="6">
        <v>2</v>
      </c>
      <c r="AC60" s="6">
        <v>0.5</v>
      </c>
      <c r="AD60" s="6"/>
      <c r="AE60" s="6"/>
      <c r="AF60" s="7"/>
      <c r="AG60" s="5"/>
      <c r="AH60" s="6">
        <v>2</v>
      </c>
      <c r="AI60" s="6">
        <v>0.5</v>
      </c>
      <c r="AJ60" s="6"/>
      <c r="AK60" s="6"/>
      <c r="AL60" s="7"/>
      <c r="AM60" s="1">
        <f t="shared" si="1"/>
        <v>16.5</v>
      </c>
    </row>
    <row r="61" spans="1:39" ht="15.75" customHeight="1">
      <c r="A61" s="10" t="s">
        <v>138</v>
      </c>
      <c r="B61" s="1">
        <v>210</v>
      </c>
      <c r="C61" s="10"/>
      <c r="D61" s="1"/>
      <c r="E61" s="1">
        <v>0.2</v>
      </c>
      <c r="F61" s="1"/>
      <c r="G61" s="1"/>
      <c r="H61" s="11"/>
      <c r="I61" s="10">
        <v>2</v>
      </c>
      <c r="J61" s="1"/>
      <c r="K61" s="1">
        <v>1.5</v>
      </c>
      <c r="L61" s="1"/>
      <c r="M61" s="1"/>
      <c r="N61" s="11"/>
      <c r="O61" s="10">
        <v>1</v>
      </c>
      <c r="P61" s="1">
        <v>1</v>
      </c>
      <c r="Q61" s="1">
        <v>3</v>
      </c>
      <c r="R61" s="1"/>
      <c r="S61" s="1"/>
      <c r="T61" s="11"/>
      <c r="U61" s="10">
        <v>3</v>
      </c>
      <c r="V61" s="1"/>
      <c r="W61" s="1">
        <v>2</v>
      </c>
      <c r="X61" s="1"/>
      <c r="Y61" s="1"/>
      <c r="Z61" s="11"/>
      <c r="AA61" s="10">
        <v>1</v>
      </c>
      <c r="AB61" s="1">
        <v>2</v>
      </c>
      <c r="AC61" s="1">
        <v>2</v>
      </c>
      <c r="AD61" s="1"/>
      <c r="AE61" s="1"/>
      <c r="AF61" s="11"/>
      <c r="AG61" s="10">
        <v>1</v>
      </c>
      <c r="AH61" s="1">
        <v>3</v>
      </c>
      <c r="AI61" s="1">
        <v>0.5</v>
      </c>
      <c r="AJ61" s="1"/>
      <c r="AK61" s="1"/>
      <c r="AL61" s="11"/>
      <c r="AM61" s="1">
        <f t="shared" si="1"/>
        <v>24</v>
      </c>
    </row>
    <row r="62" spans="1:39" ht="15.75" customHeight="1">
      <c r="A62" s="10" t="s">
        <v>139</v>
      </c>
      <c r="B62" s="1">
        <v>211</v>
      </c>
      <c r="C62" s="10">
        <v>0.2</v>
      </c>
      <c r="D62" s="1"/>
      <c r="E62" s="1"/>
      <c r="F62" s="1"/>
      <c r="G62" s="1"/>
      <c r="H62" s="11"/>
      <c r="I62" s="10">
        <v>2</v>
      </c>
      <c r="J62" s="1"/>
      <c r="K62" s="1"/>
      <c r="L62" s="1">
        <v>2</v>
      </c>
      <c r="M62" s="1">
        <v>1</v>
      </c>
      <c r="N62" s="11"/>
      <c r="O62" s="10">
        <v>2.5</v>
      </c>
      <c r="P62" s="1"/>
      <c r="Q62" s="1">
        <v>2</v>
      </c>
      <c r="R62" s="1">
        <v>2</v>
      </c>
      <c r="S62" s="1"/>
      <c r="T62" s="11"/>
      <c r="U62" s="10">
        <v>1</v>
      </c>
      <c r="V62" s="1"/>
      <c r="W62" s="1">
        <v>2</v>
      </c>
      <c r="X62" s="1">
        <v>2</v>
      </c>
      <c r="Y62" s="1">
        <v>2</v>
      </c>
      <c r="Z62" s="11"/>
      <c r="AA62" s="10">
        <v>2</v>
      </c>
      <c r="AB62" s="1"/>
      <c r="AC62" s="1">
        <v>1</v>
      </c>
      <c r="AD62" s="1"/>
      <c r="AE62" s="1">
        <v>1</v>
      </c>
      <c r="AF62" s="11"/>
      <c r="AG62" s="10"/>
      <c r="AH62" s="1"/>
      <c r="AI62" s="1">
        <v>1</v>
      </c>
      <c r="AJ62" s="1"/>
      <c r="AK62" s="1">
        <v>1</v>
      </c>
      <c r="AL62" s="11"/>
      <c r="AM62" s="1">
        <f t="shared" si="1"/>
        <v>25.5</v>
      </c>
    </row>
    <row r="63" spans="1:39" ht="15.75" customHeight="1">
      <c r="A63" s="10" t="s">
        <v>140</v>
      </c>
      <c r="B63" s="12">
        <v>213</v>
      </c>
      <c r="C63" s="13"/>
      <c r="D63" s="12"/>
      <c r="E63" s="12"/>
      <c r="F63" s="12"/>
      <c r="G63" s="12"/>
      <c r="H63" s="14"/>
      <c r="I63" s="10"/>
      <c r="J63" s="1"/>
      <c r="K63" s="1">
        <v>1</v>
      </c>
      <c r="L63" s="1"/>
      <c r="M63" s="1"/>
      <c r="N63" s="11"/>
      <c r="O63" s="10"/>
      <c r="P63" s="1">
        <v>2</v>
      </c>
      <c r="Q63" s="1"/>
      <c r="R63" s="1"/>
      <c r="S63" s="1"/>
      <c r="T63" s="11"/>
      <c r="U63" s="10"/>
      <c r="V63" s="1">
        <v>2</v>
      </c>
      <c r="W63" s="1">
        <v>2</v>
      </c>
      <c r="X63" s="1"/>
      <c r="Y63" s="1"/>
      <c r="Z63" s="11"/>
      <c r="AA63" s="10"/>
      <c r="AB63" s="1"/>
      <c r="AC63" s="1">
        <v>2</v>
      </c>
      <c r="AD63" s="1"/>
      <c r="AE63" s="1"/>
      <c r="AF63" s="11"/>
      <c r="AG63" s="10"/>
      <c r="AH63" s="1">
        <v>2</v>
      </c>
      <c r="AI63" s="1">
        <v>2</v>
      </c>
      <c r="AJ63" s="1"/>
      <c r="AK63" s="1"/>
      <c r="AL63" s="11"/>
      <c r="AM63" s="1">
        <f t="shared" si="1"/>
        <v>13</v>
      </c>
    </row>
    <row r="64" spans="1:39" ht="15.75" customHeight="1">
      <c r="A64" s="8" t="s">
        <v>141</v>
      </c>
      <c r="B64" s="2">
        <v>214</v>
      </c>
      <c r="C64" s="8"/>
      <c r="D64" s="2"/>
      <c r="E64" s="2"/>
      <c r="F64" s="2"/>
      <c r="G64" s="2"/>
      <c r="H64" s="9">
        <v>0.2</v>
      </c>
      <c r="I64" s="8"/>
      <c r="J64" s="2"/>
      <c r="K64" s="2"/>
      <c r="L64" s="2">
        <v>2</v>
      </c>
      <c r="M64" s="2"/>
      <c r="N64" s="9">
        <v>2</v>
      </c>
      <c r="O64" s="8">
        <v>2</v>
      </c>
      <c r="P64" s="2"/>
      <c r="Q64" s="2"/>
      <c r="R64" s="2">
        <v>2</v>
      </c>
      <c r="S64" s="2"/>
      <c r="T64" s="9">
        <v>2.5</v>
      </c>
      <c r="U64" s="8">
        <v>2</v>
      </c>
      <c r="V64" s="2"/>
      <c r="W64" s="2"/>
      <c r="X64" s="2">
        <v>2</v>
      </c>
      <c r="Y64" s="2"/>
      <c r="Z64" s="9">
        <v>1</v>
      </c>
      <c r="AA64" s="8">
        <v>2</v>
      </c>
      <c r="AB64" s="2"/>
      <c r="AC64" s="2"/>
      <c r="AD64" s="2"/>
      <c r="AE64" s="2"/>
      <c r="AF64" s="9">
        <v>2</v>
      </c>
      <c r="AG64" s="8">
        <v>2</v>
      </c>
      <c r="AH64" s="2"/>
      <c r="AI64" s="2"/>
      <c r="AJ64" s="2">
        <v>2</v>
      </c>
      <c r="AK64" s="2"/>
      <c r="AL64" s="9">
        <v>2</v>
      </c>
      <c r="AM64" s="1">
        <f t="shared" si="1"/>
        <v>26.5</v>
      </c>
    </row>
    <row r="65" spans="1:39" ht="15.75" customHeight="1">
      <c r="A65" s="5" t="s">
        <v>142</v>
      </c>
      <c r="B65" s="6">
        <v>216</v>
      </c>
      <c r="C65" s="5"/>
      <c r="D65" s="6"/>
      <c r="E65" s="6"/>
      <c r="F65" s="6">
        <v>0.2</v>
      </c>
      <c r="G65" s="6"/>
      <c r="H65" s="7"/>
      <c r="I65" s="5"/>
      <c r="J65" s="6">
        <v>2</v>
      </c>
      <c r="K65" s="6"/>
      <c r="L65" s="6">
        <v>2</v>
      </c>
      <c r="M65" s="6"/>
      <c r="N65" s="7"/>
      <c r="O65" s="5">
        <v>2</v>
      </c>
      <c r="P65" s="6"/>
      <c r="Q65" s="6"/>
      <c r="R65" s="6">
        <v>2</v>
      </c>
      <c r="S65" s="6"/>
      <c r="T65" s="7"/>
      <c r="U65" s="5">
        <v>2</v>
      </c>
      <c r="V65" s="6">
        <v>2</v>
      </c>
      <c r="W65" s="6"/>
      <c r="X65" s="6">
        <v>2</v>
      </c>
      <c r="Y65" s="6"/>
      <c r="Z65" s="7"/>
      <c r="AA65" s="5">
        <v>2</v>
      </c>
      <c r="AB65" s="6">
        <v>2</v>
      </c>
      <c r="AC65" s="6"/>
      <c r="AD65" s="6"/>
      <c r="AE65" s="6"/>
      <c r="AF65" s="7"/>
      <c r="AG65" s="5">
        <v>2</v>
      </c>
      <c r="AH65" s="6">
        <v>2</v>
      </c>
      <c r="AI65" s="6"/>
      <c r="AJ65" s="6">
        <v>2</v>
      </c>
      <c r="AK65" s="6"/>
      <c r="AL65" s="7"/>
      <c r="AM65" s="1">
        <f t="shared" si="1"/>
        <v>25</v>
      </c>
    </row>
    <row r="66" spans="1:39" ht="15.75" customHeight="1">
      <c r="A66" s="10" t="s">
        <v>143</v>
      </c>
      <c r="B66" s="1">
        <v>217</v>
      </c>
      <c r="C66" s="10"/>
      <c r="D66" s="1"/>
      <c r="E66" s="1"/>
      <c r="F66" s="1"/>
      <c r="G66" s="1"/>
      <c r="H66" s="11"/>
      <c r="I66" s="10">
        <v>2</v>
      </c>
      <c r="J66" s="1">
        <v>2</v>
      </c>
      <c r="K66" s="1"/>
      <c r="L66" s="1"/>
      <c r="M66" s="1"/>
      <c r="N66" s="11"/>
      <c r="O66" s="10">
        <v>2</v>
      </c>
      <c r="P66" s="1"/>
      <c r="Q66" s="1"/>
      <c r="R66" s="1"/>
      <c r="S66" s="1"/>
      <c r="T66" s="11"/>
      <c r="U66" s="10"/>
      <c r="V66" s="1"/>
      <c r="W66" s="1"/>
      <c r="X66" s="1">
        <v>2</v>
      </c>
      <c r="Y66" s="1"/>
      <c r="Z66" s="11"/>
      <c r="AA66" s="10">
        <v>2</v>
      </c>
      <c r="AB66" s="1"/>
      <c r="AC66" s="1"/>
      <c r="AD66" s="1">
        <v>2</v>
      </c>
      <c r="AE66" s="1"/>
      <c r="AF66" s="11"/>
      <c r="AG66" s="10">
        <v>1</v>
      </c>
      <c r="AH66" s="1"/>
      <c r="AI66" s="1"/>
      <c r="AJ66" s="1"/>
      <c r="AK66" s="1"/>
      <c r="AL66" s="11"/>
      <c r="AM66" s="1">
        <f t="shared" si="1"/>
        <v>13</v>
      </c>
    </row>
    <row r="67" spans="1:39" ht="15.75" customHeight="1">
      <c r="A67" s="8" t="s">
        <v>144</v>
      </c>
      <c r="B67" s="2">
        <v>218</v>
      </c>
      <c r="C67" s="8"/>
      <c r="D67" s="2"/>
      <c r="E67" s="2">
        <v>0.2</v>
      </c>
      <c r="F67" s="2"/>
      <c r="G67" s="2"/>
      <c r="H67" s="9"/>
      <c r="I67" s="8">
        <v>2</v>
      </c>
      <c r="J67" s="2"/>
      <c r="K67" s="2">
        <v>1</v>
      </c>
      <c r="L67" s="2"/>
      <c r="M67" s="2"/>
      <c r="N67" s="9">
        <v>2</v>
      </c>
      <c r="O67" s="8">
        <v>1</v>
      </c>
      <c r="P67" s="2"/>
      <c r="Q67" s="2">
        <v>2</v>
      </c>
      <c r="R67" s="2">
        <v>1</v>
      </c>
      <c r="S67" s="2">
        <v>1</v>
      </c>
      <c r="T67" s="9"/>
      <c r="U67" s="8"/>
      <c r="V67" s="2"/>
      <c r="W67" s="2"/>
      <c r="X67" s="2"/>
      <c r="Y67" s="2">
        <v>2</v>
      </c>
      <c r="Z67" s="9"/>
      <c r="AA67" s="8"/>
      <c r="AB67" s="2"/>
      <c r="AC67" s="2"/>
      <c r="AD67" s="2">
        <v>2</v>
      </c>
      <c r="AE67" s="2">
        <v>1</v>
      </c>
      <c r="AF67" s="9">
        <v>2</v>
      </c>
      <c r="AG67" s="8">
        <v>1</v>
      </c>
      <c r="AH67" s="2"/>
      <c r="AI67" s="2">
        <v>2</v>
      </c>
      <c r="AJ67" s="2">
        <v>2</v>
      </c>
      <c r="AK67" s="2">
        <v>1</v>
      </c>
      <c r="AL67" s="9">
        <v>1</v>
      </c>
      <c r="AM67" s="1">
        <f t="shared" si="1"/>
        <v>25</v>
      </c>
    </row>
    <row r="68" spans="1:39" ht="15.75" customHeight="1">
      <c r="A68" s="1"/>
      <c r="B68" s="1" t="s">
        <v>459</v>
      </c>
      <c r="C68" s="1">
        <f t="shared" ref="C68:H68" si="2">SUM(C5:C67)</f>
        <v>1.5999999999999999</v>
      </c>
      <c r="D68" s="1">
        <f t="shared" si="2"/>
        <v>1.5999999999999999</v>
      </c>
      <c r="E68" s="1">
        <f t="shared" si="2"/>
        <v>1.5999999999999999</v>
      </c>
      <c r="F68" s="1">
        <f t="shared" si="2"/>
        <v>1.5999999999999999</v>
      </c>
      <c r="G68" s="1">
        <f t="shared" si="2"/>
        <v>1.5999999999999999</v>
      </c>
      <c r="H68" s="1">
        <f t="shared" si="2"/>
        <v>1.5999999999999999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>
        <f>SUM(AM5:AM67)</f>
        <v>1359.5</v>
      </c>
    </row>
    <row r="69" spans="1:3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.75" customHeight="1"/>
    <row r="270" spans="1:39" ht="15.75" customHeight="1"/>
    <row r="271" spans="1:39" ht="15.75" customHeight="1"/>
    <row r="272" spans="1:3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G2:AL2"/>
    <mergeCell ref="C2:H2"/>
    <mergeCell ref="I2:N2"/>
    <mergeCell ref="O2:T2"/>
    <mergeCell ref="U2:Z2"/>
    <mergeCell ref="AA2:AF2"/>
  </mergeCells>
  <phoneticPr fontId="65" type="noConversion"/>
  <conditionalFormatting sqref="AM56">
    <cfRule type="notContainsBlanks" dxfId="19" priority="1">
      <formula>LEN(TRIM(AM56))&gt;0</formula>
    </cfRule>
  </conditionalFormatting>
  <pageMargins left="0.69930555555555596" right="0.69930555555555596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  <pageSetUpPr fitToPage="1"/>
  </sheetPr>
  <dimension ref="A1:AM1000"/>
  <sheetViews>
    <sheetView workbookViewId="0"/>
  </sheetViews>
  <sheetFormatPr defaultColWidth="11.09765625" defaultRowHeight="15" customHeight="1"/>
  <cols>
    <col min="1" max="1" width="17.09765625" customWidth="1"/>
    <col min="2" max="2" width="6.09765625" customWidth="1"/>
    <col min="3" max="3" width="7.09765625" customWidth="1"/>
    <col min="4" max="4" width="10" customWidth="1"/>
    <col min="5" max="5" width="8.59765625" customWidth="1"/>
    <col min="6" max="6" width="10.59765625" customWidth="1"/>
    <col min="7" max="7" width="10.09765625" customWidth="1"/>
    <col min="8" max="8" width="7.09765625" customWidth="1"/>
    <col min="9" max="9" width="1.59765625" customWidth="1"/>
    <col min="10" max="10" width="7" customWidth="1"/>
    <col min="11" max="11" width="11.796875" customWidth="1"/>
    <col min="12" max="12" width="4.296875" customWidth="1"/>
    <col min="13" max="14" width="10.796875" customWidth="1"/>
    <col min="15" max="15" width="2.09765625" customWidth="1"/>
    <col min="16" max="16" width="2.59765625" customWidth="1"/>
    <col min="17" max="17" width="22.09765625" customWidth="1"/>
    <col min="18" max="18" width="6.09765625" customWidth="1"/>
    <col min="19" max="19" width="3.09765625" customWidth="1"/>
    <col min="20" max="20" width="9.59765625" customWidth="1"/>
    <col min="21" max="21" width="8.59765625" customWidth="1"/>
    <col min="22" max="28" width="3.59765625" customWidth="1"/>
    <col min="29" max="30" width="7" customWidth="1"/>
    <col min="31" max="31" width="10.09765625" customWidth="1"/>
    <col min="32" max="32" width="6.09765625" customWidth="1"/>
    <col min="33" max="33" width="5" customWidth="1"/>
    <col min="34" max="34" width="4.59765625" customWidth="1"/>
    <col min="35" max="35" width="4.296875" customWidth="1"/>
    <col min="36" max="37" width="7" customWidth="1"/>
    <col min="38" max="38" width="14.09765625" customWidth="1"/>
    <col min="39" max="39" width="7" customWidth="1"/>
  </cols>
  <sheetData>
    <row r="1" spans="1:39" ht="51" customHeight="1">
      <c r="A1" s="21"/>
      <c r="B1" s="528"/>
      <c r="C1" s="1"/>
      <c r="D1" s="1"/>
      <c r="E1" s="21"/>
      <c r="F1" s="21"/>
      <c r="G1" s="21"/>
      <c r="H1" s="21"/>
      <c r="I1" s="21"/>
      <c r="J1" s="21"/>
      <c r="K1" s="21"/>
      <c r="L1" s="21"/>
      <c r="M1" s="21"/>
      <c r="N1" s="21"/>
      <c r="O1" s="570"/>
      <c r="P1" s="571" t="s">
        <v>460</v>
      </c>
      <c r="Q1" s="590"/>
      <c r="R1" s="591" t="e">
        <f>#REF!</f>
        <v>#REF!</v>
      </c>
      <c r="S1" s="21"/>
      <c r="T1" s="21" t="s">
        <v>461</v>
      </c>
      <c r="U1" s="21"/>
      <c r="V1" s="21"/>
      <c r="W1" s="21"/>
      <c r="X1" s="1"/>
      <c r="Y1" s="1"/>
      <c r="Z1" s="1"/>
      <c r="AA1" s="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</row>
    <row r="2" spans="1:39" ht="54.75" customHeight="1">
      <c r="A2" s="405" t="s">
        <v>462</v>
      </c>
      <c r="B2" s="171" t="s">
        <v>59</v>
      </c>
      <c r="C2" s="405" t="s">
        <v>463</v>
      </c>
      <c r="D2" s="529" t="s">
        <v>464</v>
      </c>
      <c r="E2" s="530" t="s">
        <v>465</v>
      </c>
      <c r="F2" s="4" t="s">
        <v>61</v>
      </c>
      <c r="G2" s="531" t="s">
        <v>62</v>
      </c>
      <c r="H2" s="532" t="s">
        <v>48</v>
      </c>
      <c r="I2" s="532"/>
      <c r="J2" s="922" t="s">
        <v>63</v>
      </c>
      <c r="K2" s="173" t="s">
        <v>466</v>
      </c>
      <c r="L2" s="572" t="s">
        <v>467</v>
      </c>
      <c r="M2" s="572" t="s">
        <v>242</v>
      </c>
      <c r="N2" s="572" t="s">
        <v>468</v>
      </c>
      <c r="O2" s="573" t="s">
        <v>469</v>
      </c>
      <c r="P2" s="485" t="s">
        <v>470</v>
      </c>
      <c r="Q2" s="253" t="s">
        <v>68</v>
      </c>
      <c r="R2" s="592" t="s">
        <v>59</v>
      </c>
      <c r="S2" s="103"/>
      <c r="T2" s="593" t="s">
        <v>69</v>
      </c>
      <c r="U2" s="593" t="s">
        <v>70</v>
      </c>
      <c r="V2" s="228" t="s">
        <v>71</v>
      </c>
      <c r="W2" s="228" t="s">
        <v>72</v>
      </c>
      <c r="X2" s="593" t="s">
        <v>73</v>
      </c>
      <c r="Y2" s="228" t="s">
        <v>74</v>
      </c>
      <c r="Z2" s="228" t="s">
        <v>75</v>
      </c>
      <c r="AA2" s="229"/>
      <c r="AB2" s="609"/>
      <c r="AC2" s="21"/>
      <c r="AD2" s="21"/>
      <c r="AE2" s="593" t="s">
        <v>471</v>
      </c>
      <c r="AF2" s="593" t="s">
        <v>472</v>
      </c>
      <c r="AG2" s="228" t="s">
        <v>473</v>
      </c>
      <c r="AH2" s="228" t="s">
        <v>474</v>
      </c>
      <c r="AI2" s="617"/>
      <c r="AJ2" s="21"/>
      <c r="AK2" s="21"/>
      <c r="AL2" s="21"/>
      <c r="AM2" s="21"/>
    </row>
    <row r="3" spans="1:39" ht="22.5" customHeight="1">
      <c r="A3" s="405" t="s">
        <v>475</v>
      </c>
      <c r="B3" s="406">
        <v>3</v>
      </c>
      <c r="C3" s="533" t="e">
        <f>SUMIF(#REF!,B3,#REF!)</f>
        <v>#REF!</v>
      </c>
      <c r="D3" s="534"/>
      <c r="E3" s="535"/>
      <c r="F3" s="536">
        <f>'SEN invigilation'!AG11</f>
        <v>0</v>
      </c>
      <c r="G3" s="537"/>
      <c r="H3" s="538">
        <v>4</v>
      </c>
      <c r="I3" s="574"/>
      <c r="J3" s="574">
        <v>7</v>
      </c>
      <c r="K3" s="180" t="e">
        <f t="shared" ref="K3:K11" si="0">IF(J3&gt;$C$79*2/3,$C$79*1/3,$C$79-J3)</f>
        <v>#REF!</v>
      </c>
      <c r="L3" s="180" t="e">
        <f t="shared" ref="L3:L61" si="1">SUM(C3:I3)</f>
        <v>#REF!</v>
      </c>
      <c r="M3" s="575" t="e">
        <f t="shared" ref="M3:M71" si="2">C3+D3+F3+G3+H3+J3</f>
        <v>#REF!</v>
      </c>
      <c r="N3" s="180" t="e">
        <f t="shared" ref="N3:N71" si="3">C3+E3+F3+G3+H3+J3</f>
        <v>#REF!</v>
      </c>
      <c r="O3" s="576">
        <v>-1.0695773663402799</v>
      </c>
      <c r="P3" s="577" t="e">
        <f t="shared" ref="P3:P59" si="4">L3-K3+O3</f>
        <v>#REF!</v>
      </c>
      <c r="Q3" s="594" t="str">
        <f t="shared" ref="Q3:Q34" si="5">A3</f>
        <v>Lee Yuen Yung</v>
      </c>
      <c r="R3" s="592">
        <f t="shared" ref="R3:R34" si="6">B3</f>
        <v>3</v>
      </c>
      <c r="S3" s="103"/>
      <c r="T3" s="595">
        <v>76</v>
      </c>
      <c r="U3" s="595"/>
      <c r="V3" s="103"/>
      <c r="W3" s="103"/>
      <c r="X3" s="595"/>
      <c r="Y3" s="103"/>
      <c r="Z3" s="103">
        <v>1.5</v>
      </c>
      <c r="AA3" s="513"/>
      <c r="AB3" s="610">
        <f t="shared" ref="AB3:AB13" si="7">SUM(U3:Z3)</f>
        <v>1.5</v>
      </c>
      <c r="AC3" s="21"/>
      <c r="AD3" s="21"/>
      <c r="AE3" s="611">
        <v>90</v>
      </c>
      <c r="AF3" s="595"/>
      <c r="AG3" s="103"/>
      <c r="AH3" s="103"/>
      <c r="AI3" s="618">
        <f>SUM(AF3:AH3)</f>
        <v>0</v>
      </c>
      <c r="AJ3" s="21"/>
      <c r="AK3" s="21"/>
      <c r="AL3" s="21"/>
      <c r="AM3" s="21"/>
    </row>
    <row r="4" spans="1:39" ht="22.5" customHeight="1">
      <c r="A4" s="407" t="s">
        <v>476</v>
      </c>
      <c r="B4" s="220">
        <v>4</v>
      </c>
      <c r="C4" s="539" t="e">
        <f>SUMIF(#REF!,B4,#REF!)</f>
        <v>#REF!</v>
      </c>
      <c r="D4" s="540">
        <v>6.7</v>
      </c>
      <c r="E4" s="541"/>
      <c r="F4" s="542">
        <f>'SEN invigilation'!AG12</f>
        <v>0</v>
      </c>
      <c r="G4" s="543"/>
      <c r="H4" s="544"/>
      <c r="I4" s="103"/>
      <c r="J4" s="103"/>
      <c r="K4" s="187" t="e">
        <f t="shared" si="0"/>
        <v>#REF!</v>
      </c>
      <c r="L4" s="187" t="e">
        <f t="shared" si="1"/>
        <v>#REF!</v>
      </c>
      <c r="M4" s="578" t="e">
        <f t="shared" si="2"/>
        <v>#REF!</v>
      </c>
      <c r="N4" s="187" t="e">
        <f t="shared" si="3"/>
        <v>#REF!</v>
      </c>
      <c r="O4" s="579">
        <v>2.7003973090944999</v>
      </c>
      <c r="P4" s="580" t="e">
        <f t="shared" si="4"/>
        <v>#REF!</v>
      </c>
      <c r="Q4" s="596" t="str">
        <f t="shared" si="5"/>
        <v>Lam Mei Tak</v>
      </c>
      <c r="R4" s="592">
        <f t="shared" si="6"/>
        <v>4</v>
      </c>
      <c r="S4" s="103"/>
      <c r="T4" s="595">
        <v>3</v>
      </c>
      <c r="U4" s="595"/>
      <c r="V4" s="103"/>
      <c r="W4" s="103"/>
      <c r="X4" s="595"/>
      <c r="Y4" s="103"/>
      <c r="Z4" s="103">
        <v>1.5</v>
      </c>
      <c r="AA4" s="513"/>
      <c r="AB4" s="610">
        <f t="shared" si="7"/>
        <v>1.5</v>
      </c>
      <c r="AC4" s="21"/>
      <c r="AD4" s="21"/>
      <c r="AE4" s="595">
        <v>78</v>
      </c>
      <c r="AF4" s="595"/>
      <c r="AG4" s="103"/>
      <c r="AH4" s="103"/>
      <c r="AI4" s="618">
        <f>SUM(AF4:AH4)</f>
        <v>0</v>
      </c>
      <c r="AJ4" s="21"/>
      <c r="AK4" s="21"/>
      <c r="AL4" s="21"/>
      <c r="AM4" s="21"/>
    </row>
    <row r="5" spans="1:39" ht="22.5" customHeight="1">
      <c r="A5" s="407" t="s">
        <v>477</v>
      </c>
      <c r="B5" s="220">
        <v>5</v>
      </c>
      <c r="C5" s="539" t="e">
        <f>SUMIF(#REF!,B5,#REF!)</f>
        <v>#REF!</v>
      </c>
      <c r="D5" s="540">
        <v>14.7</v>
      </c>
      <c r="E5" s="541"/>
      <c r="F5" s="542">
        <f>'SEN invigilation'!AG13</f>
        <v>0</v>
      </c>
      <c r="G5" s="543"/>
      <c r="H5" s="544"/>
      <c r="I5" s="103"/>
      <c r="J5" s="103"/>
      <c r="K5" s="187" t="e">
        <f t="shared" si="0"/>
        <v>#REF!</v>
      </c>
      <c r="L5" s="187" t="e">
        <f t="shared" si="1"/>
        <v>#REF!</v>
      </c>
      <c r="M5" s="578" t="e">
        <f t="shared" si="2"/>
        <v>#REF!</v>
      </c>
      <c r="N5" s="187" t="e">
        <f t="shared" si="3"/>
        <v>#REF!</v>
      </c>
      <c r="O5" s="579">
        <v>-1.0837038249423701</v>
      </c>
      <c r="P5" s="580" t="e">
        <f t="shared" si="4"/>
        <v>#REF!</v>
      </c>
      <c r="Q5" s="596" t="str">
        <f t="shared" si="5"/>
        <v>Lam Wai Hung</v>
      </c>
      <c r="R5" s="592">
        <f t="shared" si="6"/>
        <v>5</v>
      </c>
      <c r="S5" s="103"/>
      <c r="T5" s="595">
        <v>22</v>
      </c>
      <c r="U5" s="595"/>
      <c r="V5" s="103"/>
      <c r="W5" s="103"/>
      <c r="X5" s="595"/>
      <c r="Y5" s="103"/>
      <c r="Z5" s="103">
        <v>1.5</v>
      </c>
      <c r="AA5" s="513"/>
      <c r="AB5" s="610">
        <f t="shared" si="7"/>
        <v>1.5</v>
      </c>
      <c r="AC5" s="21"/>
      <c r="AD5" s="612"/>
      <c r="AE5" s="611"/>
      <c r="AF5" s="595"/>
      <c r="AG5" s="103"/>
      <c r="AH5" s="103"/>
      <c r="AI5" s="618">
        <f>SUM(AF5:AH5)</f>
        <v>0</v>
      </c>
      <c r="AJ5" s="21"/>
      <c r="AK5" s="21"/>
      <c r="AL5" s="21"/>
      <c r="AM5" s="21"/>
    </row>
    <row r="6" spans="1:39" ht="22.5" customHeight="1">
      <c r="A6" s="407" t="s">
        <v>478</v>
      </c>
      <c r="B6" s="220">
        <v>22</v>
      </c>
      <c r="C6" s="539" t="e">
        <f>SUMIF(#REF!,B6,#REF!)</f>
        <v>#REF!</v>
      </c>
      <c r="D6" s="540">
        <v>9.3000000000000007</v>
      </c>
      <c r="E6" s="541"/>
      <c r="F6" s="542">
        <f>'SEN invigilation'!AG14</f>
        <v>0</v>
      </c>
      <c r="G6" s="543"/>
      <c r="H6" s="544"/>
      <c r="I6" s="103"/>
      <c r="J6" s="103">
        <v>7</v>
      </c>
      <c r="K6" s="187" t="e">
        <f t="shared" si="0"/>
        <v>#REF!</v>
      </c>
      <c r="L6" s="187" t="e">
        <f t="shared" si="1"/>
        <v>#REF!</v>
      </c>
      <c r="M6" s="578" t="e">
        <f t="shared" si="2"/>
        <v>#REF!</v>
      </c>
      <c r="N6" s="187" t="e">
        <f t="shared" si="3"/>
        <v>#REF!</v>
      </c>
      <c r="O6" s="579">
        <v>5.4662961750576402</v>
      </c>
      <c r="P6" s="580" t="e">
        <f t="shared" si="4"/>
        <v>#REF!</v>
      </c>
      <c r="Q6" s="596" t="str">
        <f t="shared" si="5"/>
        <v>Wong Wei Yin</v>
      </c>
      <c r="R6" s="592">
        <f t="shared" si="6"/>
        <v>22</v>
      </c>
      <c r="S6" s="103"/>
      <c r="T6" s="595">
        <v>39</v>
      </c>
      <c r="U6" s="595"/>
      <c r="V6" s="103"/>
      <c r="W6" s="103"/>
      <c r="X6" s="595"/>
      <c r="Y6" s="103"/>
      <c r="Z6" s="103">
        <v>1.5</v>
      </c>
      <c r="AA6" s="513"/>
      <c r="AB6" s="610">
        <f t="shared" si="7"/>
        <v>1.5</v>
      </c>
      <c r="AC6" s="21"/>
      <c r="AD6" s="612"/>
      <c r="AE6" s="611">
        <v>181</v>
      </c>
      <c r="AF6" s="595"/>
      <c r="AG6" s="103"/>
      <c r="AH6" s="103"/>
      <c r="AI6" s="618">
        <f>SUM(AF6:AH6)</f>
        <v>0</v>
      </c>
      <c r="AJ6" s="21"/>
      <c r="AK6" s="21"/>
      <c r="AL6" s="21"/>
      <c r="AM6" s="21"/>
    </row>
    <row r="7" spans="1:39" ht="22.5" customHeight="1">
      <c r="A7" s="412" t="s">
        <v>479</v>
      </c>
      <c r="B7" s="220">
        <v>25</v>
      </c>
      <c r="C7" s="539" t="e">
        <f>SUMIF(#REF!,B7,#REF!)</f>
        <v>#REF!</v>
      </c>
      <c r="D7" s="540"/>
      <c r="E7" s="541"/>
      <c r="F7" s="542">
        <f>'SEN invigilation'!AG15</f>
        <v>13.899999999999999</v>
      </c>
      <c r="G7" s="543"/>
      <c r="H7" s="544"/>
      <c r="I7" s="103"/>
      <c r="J7" s="103"/>
      <c r="K7" s="187" t="e">
        <f t="shared" si="0"/>
        <v>#REF!</v>
      </c>
      <c r="L7" s="187" t="e">
        <f t="shared" si="1"/>
        <v>#REF!</v>
      </c>
      <c r="M7" s="578" t="e">
        <f t="shared" si="2"/>
        <v>#REF!</v>
      </c>
      <c r="N7" s="187" t="e">
        <f t="shared" si="3"/>
        <v>#REF!</v>
      </c>
      <c r="O7" s="579">
        <v>-0.22052922176779299</v>
      </c>
      <c r="P7" s="580" t="e">
        <f t="shared" si="4"/>
        <v>#REF!</v>
      </c>
      <c r="Q7" s="596" t="str">
        <f t="shared" si="5"/>
        <v>Law Chak Sang</v>
      </c>
      <c r="R7" s="592">
        <f t="shared" si="6"/>
        <v>25</v>
      </c>
      <c r="S7" s="103"/>
      <c r="T7" s="595">
        <v>67</v>
      </c>
      <c r="U7" s="595"/>
      <c r="V7" s="103"/>
      <c r="W7" s="103"/>
      <c r="X7" s="595"/>
      <c r="Y7" s="103"/>
      <c r="Z7" s="103">
        <v>1.5</v>
      </c>
      <c r="AA7" s="513"/>
      <c r="AB7" s="610">
        <f t="shared" si="7"/>
        <v>1.5</v>
      </c>
      <c r="AC7" s="21"/>
      <c r="AD7" s="612"/>
      <c r="AE7" s="595"/>
      <c r="AF7" s="595"/>
      <c r="AG7" s="103"/>
      <c r="AH7" s="103"/>
      <c r="AI7" s="618"/>
      <c r="AJ7" s="21"/>
      <c r="AK7" s="21"/>
      <c r="AL7" s="21"/>
      <c r="AM7" s="21"/>
    </row>
    <row r="8" spans="1:39" ht="22.5" customHeight="1">
      <c r="A8" s="407" t="s">
        <v>480</v>
      </c>
      <c r="B8" s="220">
        <v>32</v>
      </c>
      <c r="C8" s="539" t="e">
        <f>SUMIF(#REF!,B8,#REF!)</f>
        <v>#REF!</v>
      </c>
      <c r="D8" s="540">
        <v>6.7</v>
      </c>
      <c r="E8" s="541"/>
      <c r="F8" s="542">
        <f>'SEN invigilation'!AG16</f>
        <v>0</v>
      </c>
      <c r="G8" s="543"/>
      <c r="H8" s="544"/>
      <c r="I8" s="103"/>
      <c r="J8" s="103"/>
      <c r="K8" s="187" t="e">
        <f t="shared" si="0"/>
        <v>#REF!</v>
      </c>
      <c r="L8" s="187" t="e">
        <f t="shared" si="1"/>
        <v>#REF!</v>
      </c>
      <c r="M8" s="578" t="e">
        <f t="shared" si="2"/>
        <v>#REF!</v>
      </c>
      <c r="N8" s="187" t="e">
        <f t="shared" si="3"/>
        <v>#REF!</v>
      </c>
      <c r="O8" s="579">
        <v>0</v>
      </c>
      <c r="P8" s="580" t="e">
        <f t="shared" si="4"/>
        <v>#REF!</v>
      </c>
      <c r="Q8" s="596" t="str">
        <f t="shared" si="5"/>
        <v>Leung Pui Kuen</v>
      </c>
      <c r="R8" s="592">
        <f t="shared" si="6"/>
        <v>32</v>
      </c>
      <c r="S8" s="103"/>
      <c r="T8" s="595">
        <v>85</v>
      </c>
      <c r="U8" s="595"/>
      <c r="V8" s="103"/>
      <c r="W8" s="103"/>
      <c r="X8" s="595"/>
      <c r="Y8" s="103"/>
      <c r="Z8" s="103">
        <v>1.5</v>
      </c>
      <c r="AA8" s="513"/>
      <c r="AB8" s="610">
        <f t="shared" si="7"/>
        <v>1.5</v>
      </c>
      <c r="AC8" s="21"/>
      <c r="AD8" s="612"/>
      <c r="AE8" s="595">
        <v>185</v>
      </c>
      <c r="AF8" s="595"/>
      <c r="AG8" s="103"/>
      <c r="AH8" s="103"/>
      <c r="AI8" s="618">
        <f>SUM(AF8:AH8)</f>
        <v>0</v>
      </c>
      <c r="AJ8" s="21"/>
      <c r="AK8" s="21"/>
      <c r="AL8" s="21"/>
      <c r="AM8" s="21"/>
    </row>
    <row r="9" spans="1:39" ht="22.5" customHeight="1">
      <c r="A9" s="407" t="s">
        <v>481</v>
      </c>
      <c r="B9" s="220">
        <v>37</v>
      </c>
      <c r="C9" s="539" t="e">
        <f>SUMIF(#REF!,B9,#REF!)</f>
        <v>#REF!</v>
      </c>
      <c r="D9" s="540">
        <v>13.3</v>
      </c>
      <c r="E9" s="541"/>
      <c r="F9" s="542">
        <f>'SEN invigilation'!AG17</f>
        <v>0</v>
      </c>
      <c r="G9" s="543"/>
      <c r="H9" s="544"/>
      <c r="I9" s="103"/>
      <c r="J9" s="103"/>
      <c r="K9" s="187" t="e">
        <f t="shared" si="0"/>
        <v>#REF!</v>
      </c>
      <c r="L9" s="187" t="e">
        <f t="shared" si="1"/>
        <v>#REF!</v>
      </c>
      <c r="M9" s="578" t="e">
        <f t="shared" si="2"/>
        <v>#REF!</v>
      </c>
      <c r="N9" s="187" t="e">
        <f t="shared" si="3"/>
        <v>#REF!</v>
      </c>
      <c r="O9" s="579">
        <v>1.60645791515509</v>
      </c>
      <c r="P9" s="580" t="e">
        <f t="shared" si="4"/>
        <v>#REF!</v>
      </c>
      <c r="Q9" s="596" t="str">
        <f t="shared" si="5"/>
        <v>Wong Lik Ping</v>
      </c>
      <c r="R9" s="592">
        <f t="shared" si="6"/>
        <v>37</v>
      </c>
      <c r="S9" s="103"/>
      <c r="T9" s="595">
        <v>128</v>
      </c>
      <c r="U9" s="595"/>
      <c r="V9" s="103"/>
      <c r="W9" s="103"/>
      <c r="X9" s="595"/>
      <c r="Y9" s="103"/>
      <c r="Z9" s="103">
        <v>1.5</v>
      </c>
      <c r="AA9" s="513"/>
      <c r="AB9" s="610">
        <f t="shared" si="7"/>
        <v>1.5</v>
      </c>
      <c r="AC9" s="21"/>
      <c r="AD9" s="612"/>
      <c r="AE9" s="595">
        <v>186</v>
      </c>
      <c r="AF9" s="595"/>
      <c r="AG9" s="103"/>
      <c r="AH9" s="103"/>
      <c r="AI9" s="618">
        <f>SUM(AF9:AH9)</f>
        <v>0</v>
      </c>
      <c r="AJ9" s="21"/>
      <c r="AK9" s="21"/>
      <c r="AL9" s="21"/>
      <c r="AM9" s="21"/>
    </row>
    <row r="10" spans="1:39" ht="22.5" customHeight="1">
      <c r="A10" s="417" t="s">
        <v>482</v>
      </c>
      <c r="B10" s="222">
        <v>39</v>
      </c>
      <c r="C10" s="545" t="e">
        <f>SUMIF(#REF!,B10,#REF!)</f>
        <v>#REF!</v>
      </c>
      <c r="D10" s="546">
        <v>9.3000000000000007</v>
      </c>
      <c r="E10" s="547"/>
      <c r="F10" s="548">
        <f>'SEN invigilation'!AG18</f>
        <v>0</v>
      </c>
      <c r="G10" s="549"/>
      <c r="H10" s="550">
        <v>4</v>
      </c>
      <c r="I10" s="581"/>
      <c r="J10" s="581">
        <v>7</v>
      </c>
      <c r="K10" s="194" t="e">
        <f t="shared" si="0"/>
        <v>#REF!</v>
      </c>
      <c r="L10" s="194" t="e">
        <f t="shared" si="1"/>
        <v>#REF!</v>
      </c>
      <c r="M10" s="582" t="e">
        <f t="shared" si="2"/>
        <v>#REF!</v>
      </c>
      <c r="N10" s="194" t="e">
        <f t="shared" si="3"/>
        <v>#REF!</v>
      </c>
      <c r="O10" s="583">
        <v>0</v>
      </c>
      <c r="P10" s="584" t="e">
        <f t="shared" si="4"/>
        <v>#REF!</v>
      </c>
      <c r="Q10" s="596" t="str">
        <f t="shared" si="5"/>
        <v>Chow Mung Lan</v>
      </c>
      <c r="R10" s="592">
        <f t="shared" si="6"/>
        <v>39</v>
      </c>
      <c r="S10" s="103"/>
      <c r="T10" s="595">
        <v>135</v>
      </c>
      <c r="U10" s="595"/>
      <c r="V10" s="103"/>
      <c r="W10" s="103"/>
      <c r="X10" s="595"/>
      <c r="Y10" s="103"/>
      <c r="Z10" s="103">
        <v>1.5</v>
      </c>
      <c r="AA10" s="513"/>
      <c r="AB10" s="610">
        <f t="shared" si="7"/>
        <v>1.5</v>
      </c>
      <c r="AC10" s="21"/>
      <c r="AD10" s="612"/>
      <c r="AE10" s="595" t="s">
        <v>147</v>
      </c>
      <c r="AF10" s="595"/>
      <c r="AG10" s="103"/>
      <c r="AH10" s="103"/>
      <c r="AI10" s="618">
        <f>SUM(AF10:AH10)</f>
        <v>0</v>
      </c>
      <c r="AJ10" s="21"/>
      <c r="AK10" s="21"/>
      <c r="AL10" s="21"/>
      <c r="AM10" s="21"/>
    </row>
    <row r="11" spans="1:39" ht="22.5" customHeight="1">
      <c r="A11" s="405" t="s">
        <v>483</v>
      </c>
      <c r="B11" s="406">
        <v>49</v>
      </c>
      <c r="C11" s="533" t="e">
        <f>SUMIF(#REF!,B11,#REF!)</f>
        <v>#REF!</v>
      </c>
      <c r="D11" s="534"/>
      <c r="E11" s="535"/>
      <c r="F11" s="536">
        <f>'SEN invigilation'!AG19</f>
        <v>3.3666666666666667</v>
      </c>
      <c r="G11" s="537"/>
      <c r="H11" s="551"/>
      <c r="I11" s="574"/>
      <c r="J11" s="574"/>
      <c r="K11" s="180" t="e">
        <f t="shared" si="0"/>
        <v>#REF!</v>
      </c>
      <c r="L11" s="180" t="e">
        <f t="shared" si="1"/>
        <v>#REF!</v>
      </c>
      <c r="M11" s="575" t="e">
        <f t="shared" si="2"/>
        <v>#REF!</v>
      </c>
      <c r="N11" s="180" t="e">
        <f t="shared" si="3"/>
        <v>#REF!</v>
      </c>
      <c r="O11" s="576">
        <v>-6.6631974621473304</v>
      </c>
      <c r="P11" s="577" t="e">
        <f t="shared" si="4"/>
        <v>#REF!</v>
      </c>
      <c r="Q11" s="594" t="str">
        <f t="shared" si="5"/>
        <v>Tsang Chiu Hap</v>
      </c>
      <c r="R11" s="592">
        <f t="shared" si="6"/>
        <v>49</v>
      </c>
      <c r="S11" s="103"/>
      <c r="T11" s="595">
        <v>147</v>
      </c>
      <c r="U11" s="595"/>
      <c r="V11" s="103"/>
      <c r="W11" s="103"/>
      <c r="X11" s="595"/>
      <c r="Y11" s="103"/>
      <c r="Z11" s="103">
        <v>1.5</v>
      </c>
      <c r="AA11" s="513"/>
      <c r="AB11" s="610">
        <f t="shared" si="7"/>
        <v>1.5</v>
      </c>
      <c r="AC11" s="21"/>
      <c r="AD11" s="612"/>
      <c r="AE11" s="595"/>
      <c r="AF11" s="595"/>
      <c r="AG11" s="103"/>
      <c r="AH11" s="103"/>
      <c r="AI11" s="618"/>
      <c r="AJ11" s="21"/>
      <c r="AK11" s="21"/>
      <c r="AL11" s="594" t="s">
        <v>484</v>
      </c>
      <c r="AM11" s="592">
        <f t="shared" ref="AM11:AM18" si="8">Z11</f>
        <v>1.5</v>
      </c>
    </row>
    <row r="12" spans="1:39" ht="22.5" customHeight="1">
      <c r="A12" s="407" t="s">
        <v>485</v>
      </c>
      <c r="B12" s="220">
        <v>67</v>
      </c>
      <c r="C12" s="539" t="e">
        <f>SUMIF(#REF!,B12,#REF!)</f>
        <v>#REF!</v>
      </c>
      <c r="D12" s="540"/>
      <c r="E12" s="541"/>
      <c r="F12" s="542">
        <f>'SEN invigilation'!AG20</f>
        <v>0</v>
      </c>
      <c r="G12" s="543"/>
      <c r="H12" s="544"/>
      <c r="I12" s="103"/>
      <c r="J12" s="103">
        <v>7</v>
      </c>
      <c r="K12" s="187" t="e">
        <f>IF(J12&gt;$C$79*4/5,$C$79*1/5,$C$79-J12)</f>
        <v>#REF!</v>
      </c>
      <c r="L12" s="187" t="e">
        <f t="shared" si="1"/>
        <v>#REF!</v>
      </c>
      <c r="M12" s="578" t="e">
        <f t="shared" si="2"/>
        <v>#REF!</v>
      </c>
      <c r="N12" s="187" t="e">
        <f t="shared" si="3"/>
        <v>#REF!</v>
      </c>
      <c r="O12" s="579">
        <v>1.49673029226402</v>
      </c>
      <c r="P12" s="580" t="e">
        <f t="shared" si="4"/>
        <v>#REF!</v>
      </c>
      <c r="Q12" s="596" t="str">
        <f t="shared" si="5"/>
        <v>Leung Tsz Ngan</v>
      </c>
      <c r="R12" s="592">
        <f t="shared" si="6"/>
        <v>67</v>
      </c>
      <c r="S12" s="103"/>
      <c r="T12" s="595">
        <v>190</v>
      </c>
      <c r="U12" s="595"/>
      <c r="V12" s="103"/>
      <c r="W12" s="103"/>
      <c r="X12" s="595"/>
      <c r="Y12" s="103"/>
      <c r="Z12" s="103">
        <v>1.5</v>
      </c>
      <c r="AA12" s="513"/>
      <c r="AB12" s="610">
        <f t="shared" si="7"/>
        <v>1.5</v>
      </c>
      <c r="AC12" s="21"/>
      <c r="AD12" s="612"/>
      <c r="AE12" s="595"/>
      <c r="AF12" s="595"/>
      <c r="AG12" s="103"/>
      <c r="AH12" s="103"/>
      <c r="AI12" s="618"/>
      <c r="AJ12" s="21"/>
      <c r="AK12" s="21"/>
      <c r="AL12" s="596" t="s">
        <v>486</v>
      </c>
      <c r="AM12" s="592">
        <f t="shared" si="8"/>
        <v>1.5</v>
      </c>
    </row>
    <row r="13" spans="1:39" ht="22.5" customHeight="1">
      <c r="A13" s="407" t="s">
        <v>487</v>
      </c>
      <c r="B13" s="220">
        <v>72</v>
      </c>
      <c r="C13" s="539" t="e">
        <f>SUMIF(#REF!,B13,#REF!)</f>
        <v>#REF!</v>
      </c>
      <c r="D13" s="540">
        <v>6.7</v>
      </c>
      <c r="E13" s="541"/>
      <c r="F13" s="542">
        <f>'SEN invigilation'!AG21</f>
        <v>3.2</v>
      </c>
      <c r="G13" s="543"/>
      <c r="H13" s="544"/>
      <c r="I13" s="103"/>
      <c r="J13" s="103">
        <v>3</v>
      </c>
      <c r="K13" s="187" t="e">
        <f t="shared" ref="K13:K19" si="9">IF(J13&gt;$C$79*2/3,$C$79*1/3,$C$79-J13)</f>
        <v>#REF!</v>
      </c>
      <c r="L13" s="187" t="e">
        <f t="shared" si="1"/>
        <v>#REF!</v>
      </c>
      <c r="M13" s="578" t="e">
        <f t="shared" si="2"/>
        <v>#REF!</v>
      </c>
      <c r="N13" s="187" t="e">
        <f t="shared" si="3"/>
        <v>#REF!</v>
      </c>
      <c r="O13" s="579">
        <v>1.09838251832968</v>
      </c>
      <c r="P13" s="580" t="e">
        <f t="shared" si="4"/>
        <v>#REF!</v>
      </c>
      <c r="Q13" s="596" t="str">
        <f t="shared" si="5"/>
        <v>Lai Po Ching</v>
      </c>
      <c r="R13" s="592">
        <f t="shared" si="6"/>
        <v>72</v>
      </c>
      <c r="S13" s="103"/>
      <c r="T13" s="595">
        <v>199</v>
      </c>
      <c r="U13" s="595"/>
      <c r="V13" s="103"/>
      <c r="W13" s="103"/>
      <c r="X13" s="595"/>
      <c r="Y13" s="103"/>
      <c r="Z13" s="103">
        <v>1.5</v>
      </c>
      <c r="AA13" s="513"/>
      <c r="AB13" s="610">
        <f t="shared" si="7"/>
        <v>1.5</v>
      </c>
      <c r="AC13" s="21"/>
      <c r="AD13" s="612"/>
      <c r="AE13" s="595"/>
      <c r="AF13" s="595"/>
      <c r="AG13" s="103"/>
      <c r="AH13" s="103"/>
      <c r="AI13" s="618"/>
      <c r="AJ13" s="21"/>
      <c r="AK13" s="21"/>
      <c r="AL13" s="596" t="s">
        <v>483</v>
      </c>
      <c r="AM13" s="592">
        <f t="shared" si="8"/>
        <v>1.5</v>
      </c>
    </row>
    <row r="14" spans="1:39" ht="22.5" customHeight="1">
      <c r="A14" s="407" t="s">
        <v>488</v>
      </c>
      <c r="B14" s="220">
        <v>73</v>
      </c>
      <c r="C14" s="539" t="e">
        <f>SUMIF(#REF!,B14,#REF!)</f>
        <v>#REF!</v>
      </c>
      <c r="D14" s="540">
        <f>6.7+5.3</f>
        <v>12</v>
      </c>
      <c r="E14" s="541"/>
      <c r="F14" s="542">
        <f>'SEN invigilation'!AG22</f>
        <v>0</v>
      </c>
      <c r="G14" s="543"/>
      <c r="H14" s="544"/>
      <c r="I14" s="103"/>
      <c r="J14" s="103"/>
      <c r="K14" s="187" t="e">
        <f t="shared" si="9"/>
        <v>#REF!</v>
      </c>
      <c r="L14" s="187" t="e">
        <f t="shared" si="1"/>
        <v>#REF!</v>
      </c>
      <c r="M14" s="578" t="e">
        <f t="shared" si="2"/>
        <v>#REF!</v>
      </c>
      <c r="N14" s="187" t="e">
        <f t="shared" si="3"/>
        <v>#REF!</v>
      </c>
      <c r="O14" s="579">
        <v>-1.7500818304899299</v>
      </c>
      <c r="P14" s="580" t="e">
        <f t="shared" si="4"/>
        <v>#REF!</v>
      </c>
      <c r="Q14" s="596" t="str">
        <f t="shared" si="5"/>
        <v>Lai Hung Kit</v>
      </c>
      <c r="R14" s="592">
        <f t="shared" si="6"/>
        <v>73</v>
      </c>
      <c r="S14" s="103"/>
      <c r="T14" s="595"/>
      <c r="U14" s="595"/>
      <c r="V14" s="103"/>
      <c r="W14" s="103"/>
      <c r="X14" s="595"/>
      <c r="Y14" s="103"/>
      <c r="Z14" s="103"/>
      <c r="AA14" s="513"/>
      <c r="AB14" s="610"/>
      <c r="AC14" s="21"/>
      <c r="AD14" s="612"/>
      <c r="AE14" s="595"/>
      <c r="AF14" s="595"/>
      <c r="AG14" s="103"/>
      <c r="AH14" s="103"/>
      <c r="AI14" s="618"/>
      <c r="AJ14" s="21"/>
      <c r="AK14" s="21"/>
      <c r="AL14" s="596" t="s">
        <v>489</v>
      </c>
      <c r="AM14" s="592">
        <f t="shared" si="8"/>
        <v>0</v>
      </c>
    </row>
    <row r="15" spans="1:39" ht="22.5" customHeight="1">
      <c r="A15" s="407" t="s">
        <v>490</v>
      </c>
      <c r="B15" s="220">
        <v>78</v>
      </c>
      <c r="C15" s="539" t="e">
        <f>SUMIF(#REF!,B15,#REF!)</f>
        <v>#REF!</v>
      </c>
      <c r="D15" s="540"/>
      <c r="E15" s="541"/>
      <c r="F15" s="542">
        <f>'SEN invigilation'!AG23</f>
        <v>0</v>
      </c>
      <c r="G15" s="543"/>
      <c r="H15" s="544"/>
      <c r="I15" s="103"/>
      <c r="J15" s="103"/>
      <c r="K15" s="187" t="e">
        <f t="shared" si="9"/>
        <v>#REF!</v>
      </c>
      <c r="L15" s="187" t="e">
        <f t="shared" si="1"/>
        <v>#REF!</v>
      </c>
      <c r="M15" s="578" t="e">
        <f t="shared" si="2"/>
        <v>#REF!</v>
      </c>
      <c r="N15" s="187" t="e">
        <f t="shared" si="3"/>
        <v>#REF!</v>
      </c>
      <c r="O15" s="579">
        <v>0.55447077823225099</v>
      </c>
      <c r="P15" s="580" t="e">
        <f t="shared" si="4"/>
        <v>#REF!</v>
      </c>
      <c r="Q15" s="596" t="str">
        <f t="shared" si="5"/>
        <v>Lon Kai Chiu</v>
      </c>
      <c r="R15" s="592">
        <f t="shared" si="6"/>
        <v>78</v>
      </c>
      <c r="S15" s="103"/>
      <c r="T15" s="595"/>
      <c r="U15" s="595"/>
      <c r="V15" s="103"/>
      <c r="W15" s="103"/>
      <c r="X15" s="595"/>
      <c r="Y15" s="103"/>
      <c r="Z15" s="103"/>
      <c r="AA15" s="513"/>
      <c r="AB15" s="610"/>
      <c r="AC15" s="21"/>
      <c r="AD15" s="612"/>
      <c r="AE15" s="595"/>
      <c r="AF15" s="595"/>
      <c r="AG15" s="103"/>
      <c r="AH15" s="103"/>
      <c r="AI15" s="618"/>
      <c r="AJ15" s="21"/>
      <c r="AK15" s="21"/>
      <c r="AL15" s="596" t="s">
        <v>491</v>
      </c>
      <c r="AM15" s="592">
        <f t="shared" si="8"/>
        <v>0</v>
      </c>
    </row>
    <row r="16" spans="1:39" ht="22.5" customHeight="1">
      <c r="A16" s="407" t="s">
        <v>492</v>
      </c>
      <c r="B16" s="220">
        <v>84</v>
      </c>
      <c r="C16" s="539" t="e">
        <f>SUMIF(#REF!,B16,#REF!)</f>
        <v>#REF!</v>
      </c>
      <c r="D16" s="540">
        <v>6.7</v>
      </c>
      <c r="E16" s="541"/>
      <c r="F16" s="542">
        <f>'SEN invigilation'!AG24</f>
        <v>0</v>
      </c>
      <c r="G16" s="543"/>
      <c r="H16" s="544"/>
      <c r="I16" s="103"/>
      <c r="J16" s="103"/>
      <c r="K16" s="187" t="e">
        <f t="shared" si="9"/>
        <v>#REF!</v>
      </c>
      <c r="L16" s="187" t="e">
        <f t="shared" si="1"/>
        <v>#REF!</v>
      </c>
      <c r="M16" s="578" t="e">
        <f t="shared" si="2"/>
        <v>#REF!</v>
      </c>
      <c r="N16" s="187" t="e">
        <f t="shared" si="3"/>
        <v>#REF!</v>
      </c>
      <c r="O16" s="579">
        <v>-7.1141800154185901</v>
      </c>
      <c r="P16" s="580" t="e">
        <f t="shared" si="4"/>
        <v>#REF!</v>
      </c>
      <c r="Q16" s="596" t="str">
        <f t="shared" si="5"/>
        <v>Keung Ka Wing</v>
      </c>
      <c r="R16" s="592">
        <f t="shared" si="6"/>
        <v>84</v>
      </c>
      <c r="S16" s="103"/>
      <c r="T16" s="595"/>
      <c r="U16" s="595"/>
      <c r="V16" s="103"/>
      <c r="W16" s="103"/>
      <c r="X16" s="595"/>
      <c r="Y16" s="103"/>
      <c r="Z16" s="103"/>
      <c r="AA16" s="513"/>
      <c r="AB16" s="610"/>
      <c r="AC16" s="21"/>
      <c r="AD16" s="612"/>
      <c r="AE16" s="595"/>
      <c r="AF16" s="595"/>
      <c r="AG16" s="103"/>
      <c r="AH16" s="103"/>
      <c r="AI16" s="618"/>
      <c r="AJ16" s="21"/>
      <c r="AK16" s="21"/>
      <c r="AL16" s="596" t="s">
        <v>493</v>
      </c>
      <c r="AM16" s="592">
        <f t="shared" si="8"/>
        <v>0</v>
      </c>
    </row>
    <row r="17" spans="1:39" ht="22.5" customHeight="1">
      <c r="A17" s="412" t="s">
        <v>494</v>
      </c>
      <c r="B17" s="220">
        <v>85</v>
      </c>
      <c r="C17" s="539" t="e">
        <f>SUMIF(#REF!,B17,#REF!)</f>
        <v>#REF!</v>
      </c>
      <c r="D17" s="540"/>
      <c r="E17" s="541"/>
      <c r="F17" s="542">
        <f>'SEN invigilation'!AG25</f>
        <v>10.649999999999999</v>
      </c>
      <c r="G17" s="543"/>
      <c r="H17" s="544"/>
      <c r="I17" s="103"/>
      <c r="J17" s="103">
        <v>3</v>
      </c>
      <c r="K17" s="187" t="e">
        <f t="shared" si="9"/>
        <v>#REF!</v>
      </c>
      <c r="L17" s="187" t="e">
        <f t="shared" si="1"/>
        <v>#REF!</v>
      </c>
      <c r="M17" s="578" t="e">
        <f t="shared" si="2"/>
        <v>#REF!</v>
      </c>
      <c r="N17" s="187" t="e">
        <f t="shared" si="3"/>
        <v>#REF!</v>
      </c>
      <c r="O17" s="579">
        <v>-4.0178870995656997</v>
      </c>
      <c r="P17" s="580" t="e">
        <f t="shared" si="4"/>
        <v>#REF!</v>
      </c>
      <c r="Q17" s="596" t="str">
        <f t="shared" si="5"/>
        <v xml:space="preserve">Annabella Tse </v>
      </c>
      <c r="R17" s="592">
        <f t="shared" si="6"/>
        <v>85</v>
      </c>
      <c r="S17" s="103"/>
      <c r="T17" s="595"/>
      <c r="U17" s="595"/>
      <c r="V17" s="103"/>
      <c r="W17" s="103"/>
      <c r="X17" s="595"/>
      <c r="Y17" s="103"/>
      <c r="Z17" s="103"/>
      <c r="AA17" s="513"/>
      <c r="AB17" s="610"/>
      <c r="AC17" s="21"/>
      <c r="AD17" s="612"/>
      <c r="AE17" s="595"/>
      <c r="AF17" s="595"/>
      <c r="AG17" s="103"/>
      <c r="AH17" s="103"/>
      <c r="AI17" s="618"/>
      <c r="AJ17" s="21"/>
      <c r="AK17" s="21"/>
      <c r="AL17" s="596" t="s">
        <v>490</v>
      </c>
      <c r="AM17" s="592">
        <f t="shared" si="8"/>
        <v>0</v>
      </c>
    </row>
    <row r="18" spans="1:39" ht="22.5" customHeight="1">
      <c r="A18" s="407" t="s">
        <v>495</v>
      </c>
      <c r="B18" s="220">
        <v>86</v>
      </c>
      <c r="C18" s="545" t="e">
        <f>SUMIF(#REF!,B18,#REF!)</f>
        <v>#REF!</v>
      </c>
      <c r="D18" s="540"/>
      <c r="E18" s="541"/>
      <c r="F18" s="542">
        <f>'SEN invigilation'!AG26</f>
        <v>0</v>
      </c>
      <c r="G18" s="543"/>
      <c r="H18" s="544"/>
      <c r="I18" s="103"/>
      <c r="J18" s="103">
        <v>3</v>
      </c>
      <c r="K18" s="187" t="e">
        <f t="shared" si="9"/>
        <v>#REF!</v>
      </c>
      <c r="L18" s="187" t="e">
        <f t="shared" si="1"/>
        <v>#REF!</v>
      </c>
      <c r="M18" s="578" t="e">
        <f t="shared" si="2"/>
        <v>#REF!</v>
      </c>
      <c r="N18" s="187" t="e">
        <f t="shared" si="3"/>
        <v>#REF!</v>
      </c>
      <c r="O18" s="579">
        <v>0</v>
      </c>
      <c r="P18" s="580" t="e">
        <f t="shared" si="4"/>
        <v>#REF!</v>
      </c>
      <c r="Q18" s="596" t="str">
        <f t="shared" si="5"/>
        <v>Ko Siu Ching</v>
      </c>
      <c r="R18" s="592">
        <f t="shared" si="6"/>
        <v>86</v>
      </c>
      <c r="S18" s="103"/>
      <c r="T18" s="595"/>
      <c r="U18" s="595"/>
      <c r="V18" s="103"/>
      <c r="W18" s="103"/>
      <c r="X18" s="595"/>
      <c r="Y18" s="103"/>
      <c r="Z18" s="103"/>
      <c r="AA18" s="513"/>
      <c r="AB18" s="610"/>
      <c r="AC18" s="21"/>
      <c r="AD18" s="612"/>
      <c r="AE18" s="595"/>
      <c r="AF18" s="595"/>
      <c r="AG18" s="103"/>
      <c r="AH18" s="103"/>
      <c r="AI18" s="618"/>
      <c r="AJ18" s="21"/>
      <c r="AK18" s="21"/>
      <c r="AL18" s="596" t="s">
        <v>496</v>
      </c>
      <c r="AM18" s="592">
        <f t="shared" si="8"/>
        <v>0</v>
      </c>
    </row>
    <row r="19" spans="1:39" ht="22.5" customHeight="1">
      <c r="A19" s="405" t="s">
        <v>497</v>
      </c>
      <c r="B19" s="406">
        <v>90</v>
      </c>
      <c r="C19" s="552" t="e">
        <f>SUMIF(#REF!,B19,#REF!)</f>
        <v>#REF!</v>
      </c>
      <c r="D19" s="552"/>
      <c r="E19" s="553"/>
      <c r="F19" s="536">
        <f>'SEN invigilation'!AG27</f>
        <v>0</v>
      </c>
      <c r="G19" s="537"/>
      <c r="H19" s="551"/>
      <c r="I19" s="574"/>
      <c r="J19" s="574">
        <v>6</v>
      </c>
      <c r="K19" s="180" t="e">
        <f t="shared" si="9"/>
        <v>#REF!</v>
      </c>
      <c r="L19" s="180" t="e">
        <f t="shared" si="1"/>
        <v>#REF!</v>
      </c>
      <c r="M19" s="575" t="e">
        <f t="shared" si="2"/>
        <v>#REF!</v>
      </c>
      <c r="N19" s="180" t="e">
        <f t="shared" si="3"/>
        <v>#REF!</v>
      </c>
      <c r="O19" s="576">
        <v>5.94962950839097</v>
      </c>
      <c r="P19" s="577" t="e">
        <f t="shared" si="4"/>
        <v>#REF!</v>
      </c>
      <c r="Q19" s="594" t="str">
        <f t="shared" si="5"/>
        <v>Li Kit Ling</v>
      </c>
      <c r="R19" s="592">
        <f t="shared" si="6"/>
        <v>90</v>
      </c>
      <c r="S19" s="103"/>
      <c r="T19" s="595"/>
      <c r="U19" s="595"/>
      <c r="V19" s="103"/>
      <c r="W19" s="103"/>
      <c r="X19" s="595"/>
      <c r="Y19" s="103"/>
      <c r="Z19" s="103"/>
      <c r="AA19" s="513"/>
      <c r="AB19" s="610"/>
      <c r="AC19" s="21"/>
      <c r="AD19" s="612"/>
      <c r="AE19" s="595"/>
      <c r="AF19" s="595"/>
      <c r="AG19" s="103"/>
      <c r="AH19" s="103"/>
      <c r="AI19" s="618"/>
      <c r="AJ19" s="21"/>
      <c r="AK19" s="225"/>
      <c r="AL19" s="21"/>
      <c r="AM19" s="21"/>
    </row>
    <row r="20" spans="1:39" ht="22.5" customHeight="1">
      <c r="A20" s="407" t="s">
        <v>498</v>
      </c>
      <c r="B20" s="220">
        <v>91</v>
      </c>
      <c r="C20" s="554" t="e">
        <f>SUMIF(#REF!,B20,#REF!)</f>
        <v>#REF!</v>
      </c>
      <c r="D20" s="554">
        <v>13.3</v>
      </c>
      <c r="E20" s="555"/>
      <c r="F20" s="542">
        <f>'SEN invigilation'!AG28</f>
        <v>0</v>
      </c>
      <c r="G20" s="543"/>
      <c r="H20" s="544"/>
      <c r="I20" s="103"/>
      <c r="J20" s="103"/>
      <c r="K20" s="187" t="e">
        <f>IF(J20&gt;$C$79*4/5,$C$79*1/5,$C$79-J20)</f>
        <v>#REF!</v>
      </c>
      <c r="L20" s="187" t="e">
        <f t="shared" si="1"/>
        <v>#REF!</v>
      </c>
      <c r="M20" s="578" t="e">
        <f t="shared" si="2"/>
        <v>#REF!</v>
      </c>
      <c r="N20" s="187" t="e">
        <f t="shared" si="3"/>
        <v>#REF!</v>
      </c>
      <c r="O20" s="579">
        <v>1.1550082135257</v>
      </c>
      <c r="P20" s="580" t="e">
        <f t="shared" si="4"/>
        <v>#REF!</v>
      </c>
      <c r="Q20" s="596" t="str">
        <f t="shared" si="5"/>
        <v>Kung Lei Heung</v>
      </c>
      <c r="R20" s="592">
        <f t="shared" si="6"/>
        <v>91</v>
      </c>
      <c r="S20" s="103"/>
      <c r="T20" s="597"/>
      <c r="U20" s="597"/>
      <c r="V20" s="581"/>
      <c r="W20" s="581"/>
      <c r="X20" s="597"/>
      <c r="Y20" s="581"/>
      <c r="Z20" s="581"/>
      <c r="AA20" s="514"/>
      <c r="AB20" s="613"/>
      <c r="AC20" s="21"/>
      <c r="AD20" s="612"/>
      <c r="AE20" s="597"/>
      <c r="AF20" s="597"/>
      <c r="AG20" s="581"/>
      <c r="AH20" s="581"/>
      <c r="AI20" s="619"/>
      <c r="AJ20" s="21"/>
      <c r="AK20" s="225"/>
      <c r="AL20" s="21"/>
      <c r="AM20" s="21"/>
    </row>
    <row r="21" spans="1:39" ht="22.5" customHeight="1">
      <c r="A21" s="407" t="s">
        <v>489</v>
      </c>
      <c r="B21" s="220">
        <v>92</v>
      </c>
      <c r="C21" s="554" t="e">
        <f>SUMIF(#REF!,B21,#REF!)</f>
        <v>#REF!</v>
      </c>
      <c r="D21" s="554"/>
      <c r="E21" s="555"/>
      <c r="F21" s="542">
        <f>'SEN invigilation'!AG29</f>
        <v>3.2</v>
      </c>
      <c r="G21" s="543"/>
      <c r="H21" s="544"/>
      <c r="I21" s="103"/>
      <c r="J21" s="103"/>
      <c r="K21" s="187" t="e">
        <f t="shared" ref="K21:K52" si="10">IF(J21&gt;$C$79*2/3,$C$79*1/3,$C$79-J21)</f>
        <v>#REF!</v>
      </c>
      <c r="L21" s="187" t="e">
        <f t="shared" si="1"/>
        <v>#REF!</v>
      </c>
      <c r="M21" s="578" t="e">
        <f t="shared" si="2"/>
        <v>#REF!</v>
      </c>
      <c r="N21" s="187" t="e">
        <f t="shared" si="3"/>
        <v>#REF!</v>
      </c>
      <c r="O21" s="579">
        <v>-0.83370382494235595</v>
      </c>
      <c r="P21" s="580" t="e">
        <f t="shared" si="4"/>
        <v>#REF!</v>
      </c>
      <c r="Q21" s="596" t="str">
        <f t="shared" si="5"/>
        <v>Cheung Kit Shan</v>
      </c>
      <c r="R21" s="592">
        <f t="shared" si="6"/>
        <v>92</v>
      </c>
      <c r="S21" s="103"/>
      <c r="T21" s="593" t="s">
        <v>96</v>
      </c>
      <c r="U21" s="593"/>
      <c r="V21" s="228"/>
      <c r="W21" s="229"/>
      <c r="X21" s="228"/>
      <c r="Y21" s="228"/>
      <c r="Z21" s="228"/>
      <c r="AA21" s="228"/>
      <c r="AB21" s="614">
        <f>SUM(AB3:AB20)</f>
        <v>16.5</v>
      </c>
      <c r="AC21" s="21"/>
      <c r="AD21" s="612"/>
      <c r="AE21" s="593" t="s">
        <v>96</v>
      </c>
      <c r="AF21" s="593"/>
      <c r="AG21" s="228"/>
      <c r="AH21" s="228"/>
      <c r="AI21" s="614">
        <f>SUM(AI3:AI20)</f>
        <v>0</v>
      </c>
      <c r="AJ21" s="21"/>
      <c r="AK21" s="225"/>
      <c r="AL21" s="21"/>
      <c r="AM21" s="21"/>
    </row>
    <row r="22" spans="1:39" ht="22.5" customHeight="1">
      <c r="A22" s="407" t="s">
        <v>499</v>
      </c>
      <c r="B22" s="220">
        <v>102</v>
      </c>
      <c r="C22" s="554" t="e">
        <f>SUMIF(#REF!,B22,#REF!)</f>
        <v>#REF!</v>
      </c>
      <c r="D22" s="554">
        <v>8</v>
      </c>
      <c r="E22" s="555"/>
      <c r="F22" s="542">
        <f>'SEN invigilation'!AG30</f>
        <v>0</v>
      </c>
      <c r="G22" s="543"/>
      <c r="H22" s="544"/>
      <c r="I22" s="103"/>
      <c r="J22" s="103">
        <v>3</v>
      </c>
      <c r="K22" s="187" t="e">
        <f t="shared" si="10"/>
        <v>#REF!</v>
      </c>
      <c r="L22" s="187" t="e">
        <f t="shared" si="1"/>
        <v>#REF!</v>
      </c>
      <c r="M22" s="578" t="e">
        <f t="shared" si="2"/>
        <v>#REF!</v>
      </c>
      <c r="N22" s="187" t="e">
        <f t="shared" si="3"/>
        <v>#REF!</v>
      </c>
      <c r="O22" s="579">
        <v>0.28805061400965698</v>
      </c>
      <c r="P22" s="580" t="e">
        <f t="shared" si="4"/>
        <v>#REF!</v>
      </c>
      <c r="Q22" s="596" t="str">
        <f t="shared" si="5"/>
        <v>Chan Ka Man</v>
      </c>
      <c r="R22" s="592">
        <f t="shared" si="6"/>
        <v>102</v>
      </c>
      <c r="S22" s="103"/>
      <c r="T22" s="103"/>
      <c r="U22" s="103"/>
      <c r="V22" s="103"/>
      <c r="W22" s="103"/>
      <c r="X22" s="103"/>
      <c r="Y22" s="103"/>
      <c r="Z22" s="103"/>
      <c r="AA22" s="103"/>
      <c r="AB22" s="21"/>
      <c r="AC22" s="21"/>
      <c r="AD22" s="21"/>
      <c r="AE22" s="21"/>
      <c r="AF22" s="21"/>
      <c r="AG22" s="21"/>
      <c r="AH22" s="21"/>
      <c r="AI22" s="21"/>
      <c r="AJ22" s="21"/>
      <c r="AK22" s="225"/>
      <c r="AL22" s="21"/>
      <c r="AM22" s="21"/>
    </row>
    <row r="23" spans="1:39" ht="22.5" customHeight="1">
      <c r="A23" s="407" t="s">
        <v>500</v>
      </c>
      <c r="B23" s="220">
        <v>103</v>
      </c>
      <c r="C23" s="554" t="e">
        <f>SUMIF(#REF!,B23,#REF!)</f>
        <v>#REF!</v>
      </c>
      <c r="D23" s="554">
        <v>6.7</v>
      </c>
      <c r="E23" s="555"/>
      <c r="F23" s="542">
        <f>'SEN invigilation'!AG31</f>
        <v>0</v>
      </c>
      <c r="G23" s="543"/>
      <c r="H23" s="544"/>
      <c r="I23" s="103"/>
      <c r="J23" s="103"/>
      <c r="K23" s="187" t="e">
        <f t="shared" si="10"/>
        <v>#REF!</v>
      </c>
      <c r="L23" s="187" t="e">
        <f t="shared" si="1"/>
        <v>#REF!</v>
      </c>
      <c r="M23" s="578" t="e">
        <f t="shared" si="2"/>
        <v>#REF!</v>
      </c>
      <c r="N23" s="187" t="e">
        <f t="shared" si="3"/>
        <v>#REF!</v>
      </c>
      <c r="O23" s="579">
        <v>1.18780411156558</v>
      </c>
      <c r="P23" s="580" t="e">
        <f t="shared" si="4"/>
        <v>#REF!</v>
      </c>
      <c r="Q23" s="596" t="str">
        <f t="shared" si="5"/>
        <v>Leung Kwok Fai</v>
      </c>
      <c r="R23" s="592">
        <f t="shared" si="6"/>
        <v>103</v>
      </c>
      <c r="S23" s="103"/>
      <c r="T23" s="103"/>
      <c r="U23" s="103"/>
      <c r="V23" s="103"/>
      <c r="W23" s="103"/>
      <c r="X23" s="103"/>
      <c r="Y23" s="103"/>
      <c r="Z23" s="103"/>
      <c r="AA23" s="103"/>
      <c r="AB23" s="21"/>
      <c r="AC23" s="21"/>
      <c r="AD23" s="21"/>
      <c r="AE23" s="21"/>
      <c r="AF23" s="21"/>
      <c r="AG23" s="21"/>
      <c r="AH23" s="21"/>
      <c r="AI23" s="21"/>
      <c r="AJ23" s="21"/>
      <c r="AK23" s="225"/>
      <c r="AL23" s="21"/>
      <c r="AM23" s="21"/>
    </row>
    <row r="24" spans="1:39" ht="22.5" customHeight="1">
      <c r="A24" s="407" t="s">
        <v>501</v>
      </c>
      <c r="B24" s="220">
        <v>112</v>
      </c>
      <c r="C24" s="554" t="e">
        <f>SUMIF(#REF!,B24,#REF!)</f>
        <v>#REF!</v>
      </c>
      <c r="D24" s="554">
        <v>5.3</v>
      </c>
      <c r="E24" s="555"/>
      <c r="F24" s="542">
        <f>'SEN invigilation'!AG32</f>
        <v>0</v>
      </c>
      <c r="G24" s="543"/>
      <c r="H24" s="556">
        <v>4</v>
      </c>
      <c r="I24" s="103"/>
      <c r="J24" s="103"/>
      <c r="K24" s="187" t="e">
        <f t="shared" si="10"/>
        <v>#REF!</v>
      </c>
      <c r="L24" s="187" t="e">
        <f t="shared" si="1"/>
        <v>#REF!</v>
      </c>
      <c r="M24" s="578" t="e">
        <f t="shared" si="2"/>
        <v>#REF!</v>
      </c>
      <c r="N24" s="187" t="e">
        <f t="shared" si="3"/>
        <v>#REF!</v>
      </c>
      <c r="O24" s="579">
        <v>0.91280411156558705</v>
      </c>
      <c r="P24" s="580" t="e">
        <f t="shared" si="4"/>
        <v>#REF!</v>
      </c>
      <c r="Q24" s="596" t="str">
        <f t="shared" si="5"/>
        <v>Chan Ka Wah</v>
      </c>
      <c r="R24" s="592">
        <f t="shared" si="6"/>
        <v>112</v>
      </c>
      <c r="S24" s="103"/>
      <c r="T24" s="593" t="s">
        <v>100</v>
      </c>
      <c r="U24" s="593" t="s">
        <v>101</v>
      </c>
      <c r="V24" s="228" t="s">
        <v>102</v>
      </c>
      <c r="W24" s="228" t="s">
        <v>103</v>
      </c>
      <c r="X24" s="228"/>
      <c r="Y24" s="228"/>
      <c r="Z24" s="229"/>
      <c r="AA24" s="229"/>
      <c r="AB24" s="103"/>
      <c r="AC24" s="103"/>
      <c r="AD24" s="21"/>
      <c r="AE24" s="21"/>
      <c r="AF24" s="21"/>
      <c r="AG24" s="21"/>
      <c r="AH24" s="21"/>
      <c r="AI24" s="21"/>
      <c r="AJ24" s="21"/>
      <c r="AK24" s="225"/>
      <c r="AL24" s="21"/>
      <c r="AM24" s="21"/>
    </row>
    <row r="25" spans="1:39" ht="22.5" customHeight="1">
      <c r="A25" s="407" t="s">
        <v>502</v>
      </c>
      <c r="B25" s="220">
        <v>113</v>
      </c>
      <c r="C25" s="554" t="e">
        <f>SUMIF(#REF!,B25,#REF!)</f>
        <v>#REF!</v>
      </c>
      <c r="D25" s="554">
        <f>6.7+2.6</f>
        <v>9.3000000000000007</v>
      </c>
      <c r="E25" s="555"/>
      <c r="F25" s="542">
        <f>'SEN invigilation'!AG33</f>
        <v>0</v>
      </c>
      <c r="G25" s="543"/>
      <c r="H25" s="544"/>
      <c r="I25" s="103"/>
      <c r="J25" s="103"/>
      <c r="K25" s="187" t="e">
        <f t="shared" si="10"/>
        <v>#REF!</v>
      </c>
      <c r="L25" s="187" t="e">
        <f t="shared" si="1"/>
        <v>#REF!</v>
      </c>
      <c r="M25" s="578" t="e">
        <f t="shared" si="2"/>
        <v>#REF!</v>
      </c>
      <c r="N25" s="187" t="e">
        <f t="shared" si="3"/>
        <v>#REF!</v>
      </c>
      <c r="O25" s="579">
        <v>2.2794674448989101</v>
      </c>
      <c r="P25" s="580" t="e">
        <f t="shared" si="4"/>
        <v>#REF!</v>
      </c>
      <c r="Q25" s="596" t="str">
        <f t="shared" si="5"/>
        <v>Liu Wai Keung</v>
      </c>
      <c r="R25" s="592">
        <f t="shared" si="6"/>
        <v>113</v>
      </c>
      <c r="S25" s="103"/>
      <c r="T25" s="595">
        <v>23</v>
      </c>
      <c r="U25" s="595"/>
      <c r="V25" s="103"/>
      <c r="W25" s="103">
        <v>1.5</v>
      </c>
      <c r="X25" s="103"/>
      <c r="Y25" s="103"/>
      <c r="Z25" s="513"/>
      <c r="AA25" s="526">
        <f t="shared" ref="AA25:AA36" si="11">SUM(U25:Z25)</f>
        <v>1.5</v>
      </c>
      <c r="AB25" s="103"/>
      <c r="AC25" s="103"/>
      <c r="AD25" s="21"/>
      <c r="AE25" s="21"/>
      <c r="AF25" s="21"/>
      <c r="AG25" s="21"/>
      <c r="AH25" s="21"/>
      <c r="AI25" s="21"/>
      <c r="AJ25" s="21"/>
      <c r="AK25" s="225"/>
      <c r="AL25" s="21"/>
      <c r="AM25" s="21"/>
    </row>
    <row r="26" spans="1:39" ht="22.5" customHeight="1">
      <c r="A26" s="417" t="s">
        <v>503</v>
      </c>
      <c r="B26" s="222">
        <v>114</v>
      </c>
      <c r="C26" s="557" t="e">
        <f>SUMIF(#REF!,B26,#REF!)</f>
        <v>#REF!</v>
      </c>
      <c r="D26" s="557">
        <v>6.7</v>
      </c>
      <c r="E26" s="558"/>
      <c r="F26" s="548">
        <f>'SEN invigilation'!AG34</f>
        <v>2.25</v>
      </c>
      <c r="G26" s="549"/>
      <c r="H26" s="559"/>
      <c r="I26" s="581"/>
      <c r="J26" s="581"/>
      <c r="K26" s="194" t="e">
        <f t="shared" si="10"/>
        <v>#REF!</v>
      </c>
      <c r="L26" s="194" t="e">
        <f t="shared" si="1"/>
        <v>#REF!</v>
      </c>
      <c r="M26" s="582" t="e">
        <f t="shared" si="2"/>
        <v>#REF!</v>
      </c>
      <c r="N26" s="194" t="e">
        <f t="shared" si="3"/>
        <v>#REF!</v>
      </c>
      <c r="O26" s="583">
        <v>-2.88487035352611</v>
      </c>
      <c r="P26" s="584" t="e">
        <f t="shared" si="4"/>
        <v>#REF!</v>
      </c>
      <c r="Q26" s="598" t="str">
        <f t="shared" si="5"/>
        <v>Chan Yat Ping</v>
      </c>
      <c r="R26" s="592">
        <f t="shared" si="6"/>
        <v>114</v>
      </c>
      <c r="S26" s="103"/>
      <c r="T26" s="595">
        <v>72</v>
      </c>
      <c r="U26" s="595"/>
      <c r="V26" s="103"/>
      <c r="W26" s="103">
        <v>1.5</v>
      </c>
      <c r="X26" s="103"/>
      <c r="Y26" s="103"/>
      <c r="Z26" s="513"/>
      <c r="AA26" s="526">
        <f t="shared" si="11"/>
        <v>1.5</v>
      </c>
      <c r="AB26" s="103"/>
      <c r="AC26" s="103"/>
      <c r="AD26" s="591"/>
      <c r="AE26" s="21"/>
      <c r="AF26" s="21"/>
      <c r="AG26" s="21"/>
      <c r="AH26" s="21"/>
      <c r="AI26" s="21"/>
      <c r="AJ26" s="21"/>
      <c r="AK26" s="225"/>
      <c r="AL26" s="21"/>
      <c r="AM26" s="21"/>
    </row>
    <row r="27" spans="1:39" ht="22.5" customHeight="1">
      <c r="A27" s="435" t="s">
        <v>504</v>
      </c>
      <c r="B27" s="220">
        <v>118</v>
      </c>
      <c r="C27" s="533" t="e">
        <f>SUMIF(#REF!,B27,#REF!)</f>
        <v>#REF!</v>
      </c>
      <c r="D27" s="554">
        <v>6.7</v>
      </c>
      <c r="E27" s="555"/>
      <c r="F27" s="542">
        <f>'SEN invigilation'!AG35</f>
        <v>0</v>
      </c>
      <c r="G27" s="543"/>
      <c r="H27" s="544"/>
      <c r="I27" s="103"/>
      <c r="J27" s="103"/>
      <c r="K27" s="187" t="e">
        <f t="shared" si="10"/>
        <v>#REF!</v>
      </c>
      <c r="L27" s="187" t="e">
        <f t="shared" si="1"/>
        <v>#REF!</v>
      </c>
      <c r="M27" s="578" t="e">
        <f t="shared" si="2"/>
        <v>#REF!</v>
      </c>
      <c r="N27" s="187" t="e">
        <f t="shared" si="3"/>
        <v>#REF!</v>
      </c>
      <c r="O27" s="579">
        <v>19.587979127028699</v>
      </c>
      <c r="P27" s="580" t="e">
        <f t="shared" si="4"/>
        <v>#REF!</v>
      </c>
      <c r="Q27" s="599" t="str">
        <f t="shared" si="5"/>
        <v>Kwok Kin Pong</v>
      </c>
      <c r="R27" s="592">
        <f t="shared" si="6"/>
        <v>118</v>
      </c>
      <c r="S27" s="103"/>
      <c r="T27" s="595">
        <v>86</v>
      </c>
      <c r="U27" s="595"/>
      <c r="V27" s="103"/>
      <c r="W27" s="103">
        <v>1.5</v>
      </c>
      <c r="X27" s="103"/>
      <c r="Y27" s="103"/>
      <c r="Z27" s="513"/>
      <c r="AA27" s="526">
        <f t="shared" si="11"/>
        <v>1.5</v>
      </c>
      <c r="AB27" s="103"/>
      <c r="AC27" s="103"/>
      <c r="AD27" s="591"/>
      <c r="AE27" s="21"/>
      <c r="AF27" s="21"/>
      <c r="AG27" s="21"/>
      <c r="AH27" s="21"/>
      <c r="AI27" s="21"/>
      <c r="AJ27" s="21"/>
      <c r="AK27" s="21"/>
      <c r="AL27" s="21"/>
      <c r="AM27" s="21"/>
    </row>
    <row r="28" spans="1:39" ht="22.5" customHeight="1">
      <c r="A28" s="435" t="s">
        <v>505</v>
      </c>
      <c r="B28" s="220">
        <v>120</v>
      </c>
      <c r="C28" s="560" t="e">
        <f>SUMIF(#REF!,B28,#REF!)</f>
        <v>#REF!</v>
      </c>
      <c r="D28" s="561">
        <v>6.7</v>
      </c>
      <c r="E28" s="541"/>
      <c r="F28" s="542">
        <f>'SEN invigilation'!AG36</f>
        <v>0</v>
      </c>
      <c r="G28" s="543"/>
      <c r="H28" s="556">
        <v>4</v>
      </c>
      <c r="I28" s="103"/>
      <c r="J28" s="103"/>
      <c r="K28" s="187" t="e">
        <f t="shared" si="10"/>
        <v>#REF!</v>
      </c>
      <c r="L28" s="187" t="e">
        <f t="shared" si="1"/>
        <v>#REF!</v>
      </c>
      <c r="M28" s="578" t="e">
        <f t="shared" si="2"/>
        <v>#REF!</v>
      </c>
      <c r="N28" s="187" t="e">
        <f t="shared" si="3"/>
        <v>#REF!</v>
      </c>
      <c r="O28" s="579">
        <v>0</v>
      </c>
      <c r="P28" s="580" t="e">
        <f t="shared" si="4"/>
        <v>#REF!</v>
      </c>
      <c r="Q28" s="600" t="str">
        <f t="shared" si="5"/>
        <v>Wong Yiu Cheong</v>
      </c>
      <c r="R28" s="592">
        <f t="shared" si="6"/>
        <v>120</v>
      </c>
      <c r="S28" s="103"/>
      <c r="T28" s="595">
        <v>90</v>
      </c>
      <c r="U28" s="595"/>
      <c r="V28" s="103"/>
      <c r="W28" s="103">
        <v>1.5</v>
      </c>
      <c r="X28" s="103"/>
      <c r="Y28" s="103"/>
      <c r="Z28" s="513"/>
      <c r="AA28" s="526">
        <f t="shared" si="11"/>
        <v>1.5</v>
      </c>
      <c r="AB28" s="103"/>
      <c r="AC28" s="103"/>
      <c r="AD28" s="591"/>
      <c r="AE28" s="21"/>
      <c r="AF28" s="21"/>
      <c r="AG28" s="21"/>
      <c r="AH28" s="21"/>
      <c r="AI28" s="21"/>
      <c r="AJ28" s="21"/>
      <c r="AK28" s="21"/>
      <c r="AL28" s="21"/>
      <c r="AM28" s="21"/>
    </row>
    <row r="29" spans="1:39" ht="22.5" customHeight="1">
      <c r="A29" s="435" t="s">
        <v>506</v>
      </c>
      <c r="B29" s="220">
        <v>128</v>
      </c>
      <c r="C29" s="539" t="e">
        <f>SUMIF(#REF!,B29,#REF!)</f>
        <v>#REF!</v>
      </c>
      <c r="D29" s="540"/>
      <c r="E29" s="541"/>
      <c r="F29" s="542">
        <f>'SEN invigilation'!AG37</f>
        <v>0</v>
      </c>
      <c r="G29" s="543"/>
      <c r="H29" s="544"/>
      <c r="I29" s="103"/>
      <c r="J29" s="103">
        <v>7</v>
      </c>
      <c r="K29" s="187" t="e">
        <f t="shared" si="10"/>
        <v>#REF!</v>
      </c>
      <c r="L29" s="187" t="e">
        <f t="shared" si="1"/>
        <v>#REF!</v>
      </c>
      <c r="M29" s="578" t="e">
        <f t="shared" si="2"/>
        <v>#REF!</v>
      </c>
      <c r="N29" s="187" t="e">
        <f t="shared" si="3"/>
        <v>#REF!</v>
      </c>
      <c r="O29" s="579">
        <v>13.139023447784901</v>
      </c>
      <c r="P29" s="580" t="e">
        <f t="shared" si="4"/>
        <v>#REF!</v>
      </c>
      <c r="Q29" s="600" t="str">
        <f t="shared" si="5"/>
        <v>Leung Hoi Ying</v>
      </c>
      <c r="R29" s="592">
        <f t="shared" si="6"/>
        <v>128</v>
      </c>
      <c r="S29" s="103"/>
      <c r="T29" s="595">
        <v>102</v>
      </c>
      <c r="U29" s="595"/>
      <c r="V29" s="103"/>
      <c r="W29" s="103">
        <v>1.5</v>
      </c>
      <c r="X29" s="103"/>
      <c r="Y29" s="103"/>
      <c r="Z29" s="513"/>
      <c r="AA29" s="526">
        <f t="shared" si="11"/>
        <v>1.5</v>
      </c>
      <c r="AB29" s="103"/>
      <c r="AC29" s="103"/>
      <c r="AD29" s="591"/>
      <c r="AE29" s="21"/>
      <c r="AF29" s="21"/>
      <c r="AG29" s="21"/>
      <c r="AH29" s="21"/>
      <c r="AI29" s="21"/>
      <c r="AJ29" s="21"/>
      <c r="AK29" s="21"/>
      <c r="AL29" s="21"/>
      <c r="AM29" s="21"/>
    </row>
    <row r="30" spans="1:39" ht="22.5" customHeight="1">
      <c r="A30" s="435" t="s">
        <v>491</v>
      </c>
      <c r="B30" s="220">
        <v>129</v>
      </c>
      <c r="C30" s="539" t="e">
        <f>SUMIF(#REF!,B30,#REF!)</f>
        <v>#REF!</v>
      </c>
      <c r="D30" s="540">
        <v>6.7</v>
      </c>
      <c r="E30" s="541"/>
      <c r="F30" s="542">
        <f>'SEN invigilation'!AG38</f>
        <v>0</v>
      </c>
      <c r="G30" s="543"/>
      <c r="H30" s="544"/>
      <c r="I30" s="103"/>
      <c r="J30" s="103"/>
      <c r="K30" s="187" t="e">
        <f t="shared" si="10"/>
        <v>#REF!</v>
      </c>
      <c r="L30" s="187" t="e">
        <f t="shared" si="1"/>
        <v>#REF!</v>
      </c>
      <c r="M30" s="578" t="e">
        <f t="shared" si="2"/>
        <v>#REF!</v>
      </c>
      <c r="N30" s="187" t="e">
        <f t="shared" si="3"/>
        <v>#REF!</v>
      </c>
      <c r="O30" s="579">
        <v>0.32113744489891799</v>
      </c>
      <c r="P30" s="580" t="e">
        <f t="shared" si="4"/>
        <v>#REF!</v>
      </c>
      <c r="Q30" s="600" t="str">
        <f t="shared" si="5"/>
        <v>Ho Nga Yan</v>
      </c>
      <c r="R30" s="592">
        <f t="shared" si="6"/>
        <v>129</v>
      </c>
      <c r="S30" s="103"/>
      <c r="T30" s="595">
        <v>122</v>
      </c>
      <c r="U30" s="595"/>
      <c r="V30" s="103"/>
      <c r="W30" s="103">
        <v>1.5</v>
      </c>
      <c r="X30" s="103"/>
      <c r="Y30" s="103"/>
      <c r="Z30" s="513"/>
      <c r="AA30" s="526">
        <f t="shared" si="11"/>
        <v>1.5</v>
      </c>
      <c r="AB30" s="103"/>
      <c r="AC30" s="103"/>
      <c r="AD30" s="591"/>
      <c r="AE30" s="21"/>
      <c r="AF30" s="21"/>
      <c r="AG30" s="21"/>
      <c r="AH30" s="21"/>
      <c r="AI30" s="21"/>
      <c r="AJ30" s="21"/>
      <c r="AK30" s="21"/>
      <c r="AL30" s="21"/>
      <c r="AM30" s="21"/>
    </row>
    <row r="31" spans="1:39" ht="22.5" customHeight="1">
      <c r="A31" s="435" t="s">
        <v>484</v>
      </c>
      <c r="B31" s="220">
        <v>134</v>
      </c>
      <c r="C31" s="539" t="e">
        <f>SUMIF(#REF!,B31,#REF!)</f>
        <v>#REF!</v>
      </c>
      <c r="D31" s="540">
        <v>8</v>
      </c>
      <c r="E31" s="541"/>
      <c r="F31" s="542">
        <f>'SEN invigilation'!AG39</f>
        <v>0</v>
      </c>
      <c r="G31" s="562">
        <v>8</v>
      </c>
      <c r="H31" s="544"/>
      <c r="I31" s="103"/>
      <c r="J31" s="103"/>
      <c r="K31" s="187" t="e">
        <f t="shared" si="10"/>
        <v>#REF!</v>
      </c>
      <c r="L31" s="187" t="e">
        <f t="shared" si="1"/>
        <v>#REF!</v>
      </c>
      <c r="M31" s="578" t="e">
        <f t="shared" si="2"/>
        <v>#REF!</v>
      </c>
      <c r="N31" s="187" t="e">
        <f t="shared" si="3"/>
        <v>#REF!</v>
      </c>
      <c r="O31" s="579">
        <v>0</v>
      </c>
      <c r="P31" s="580" t="e">
        <f t="shared" si="4"/>
        <v>#REF!</v>
      </c>
      <c r="Q31" s="600" t="str">
        <f t="shared" si="5"/>
        <v>Har Boon Lap</v>
      </c>
      <c r="R31" s="592">
        <f t="shared" si="6"/>
        <v>134</v>
      </c>
      <c r="S31" s="103"/>
      <c r="T31" s="595">
        <v>137</v>
      </c>
      <c r="U31" s="595"/>
      <c r="V31" s="103"/>
      <c r="W31" s="103">
        <v>1.5</v>
      </c>
      <c r="X31" s="103"/>
      <c r="Y31" s="103"/>
      <c r="Z31" s="513"/>
      <c r="AA31" s="526">
        <f t="shared" si="11"/>
        <v>1.5</v>
      </c>
      <c r="AB31" s="103"/>
      <c r="AC31" s="103"/>
      <c r="AD31" s="591"/>
      <c r="AE31" s="21"/>
      <c r="AF31" s="21"/>
      <c r="AG31" s="21"/>
      <c r="AH31" s="21"/>
      <c r="AI31" s="21"/>
      <c r="AJ31" s="21"/>
      <c r="AK31" s="21"/>
      <c r="AL31" s="21"/>
      <c r="AM31" s="21"/>
    </row>
    <row r="32" spans="1:39" ht="22.5" customHeight="1">
      <c r="A32" s="435" t="s">
        <v>486</v>
      </c>
      <c r="B32" s="220">
        <v>135</v>
      </c>
      <c r="C32" s="539" t="e">
        <f>SUMIF(#REF!,B32,#REF!)</f>
        <v>#REF!</v>
      </c>
      <c r="D32" s="540">
        <v>9.3000000000000007</v>
      </c>
      <c r="E32" s="541"/>
      <c r="F32" s="542">
        <f>'SEN invigilation'!AG40</f>
        <v>0</v>
      </c>
      <c r="G32" s="543"/>
      <c r="H32" s="544"/>
      <c r="I32" s="103"/>
      <c r="J32" s="103">
        <v>7</v>
      </c>
      <c r="K32" s="187" t="e">
        <f t="shared" si="10"/>
        <v>#REF!</v>
      </c>
      <c r="L32" s="187" t="e">
        <f t="shared" si="1"/>
        <v>#REF!</v>
      </c>
      <c r="M32" s="578" t="e">
        <f t="shared" si="2"/>
        <v>#REF!</v>
      </c>
      <c r="N32" s="187" t="e">
        <f t="shared" si="3"/>
        <v>#REF!</v>
      </c>
      <c r="O32" s="579">
        <v>-4.5522464688929398</v>
      </c>
      <c r="P32" s="580" t="e">
        <f t="shared" si="4"/>
        <v>#REF!</v>
      </c>
      <c r="Q32" s="600" t="str">
        <f t="shared" si="5"/>
        <v>Wong Wing Shan</v>
      </c>
      <c r="R32" s="592">
        <f t="shared" si="6"/>
        <v>135</v>
      </c>
      <c r="S32" s="103"/>
      <c r="T32" s="595">
        <v>138</v>
      </c>
      <c r="U32" s="595"/>
      <c r="V32" s="103"/>
      <c r="W32" s="103">
        <v>1.5</v>
      </c>
      <c r="X32" s="103"/>
      <c r="Y32" s="103"/>
      <c r="Z32" s="513"/>
      <c r="AA32" s="526">
        <f t="shared" si="11"/>
        <v>1.5</v>
      </c>
      <c r="AB32" s="103"/>
      <c r="AC32" s="103"/>
      <c r="AD32" s="591"/>
      <c r="AE32" s="21"/>
      <c r="AF32" s="21"/>
      <c r="AG32" s="21"/>
      <c r="AH32" s="21"/>
      <c r="AI32" s="21"/>
      <c r="AJ32" s="21"/>
      <c r="AK32" s="21"/>
      <c r="AL32" s="21"/>
      <c r="AM32" s="21"/>
    </row>
    <row r="33" spans="1:39" ht="22.5" customHeight="1">
      <c r="A33" s="435" t="s">
        <v>493</v>
      </c>
      <c r="B33" s="220">
        <v>137</v>
      </c>
      <c r="C33" s="539" t="e">
        <f>SUMIF(#REF!,B33,#REF!)</f>
        <v>#REF!</v>
      </c>
      <c r="D33" s="540"/>
      <c r="E33" s="563"/>
      <c r="F33" s="548">
        <f>'SEN invigilation'!AG41</f>
        <v>0</v>
      </c>
      <c r="G33" s="549"/>
      <c r="H33" s="550">
        <v>4</v>
      </c>
      <c r="I33" s="581"/>
      <c r="J33" s="581">
        <v>3</v>
      </c>
      <c r="K33" s="194" t="e">
        <f t="shared" si="10"/>
        <v>#REF!</v>
      </c>
      <c r="L33" s="194" t="e">
        <f t="shared" si="1"/>
        <v>#REF!</v>
      </c>
      <c r="M33" s="582" t="e">
        <f t="shared" si="2"/>
        <v>#REF!</v>
      </c>
      <c r="N33" s="194" t="e">
        <f t="shared" si="3"/>
        <v>#REF!</v>
      </c>
      <c r="O33" s="583">
        <v>0</v>
      </c>
      <c r="P33" s="580" t="e">
        <f t="shared" si="4"/>
        <v>#REF!</v>
      </c>
      <c r="Q33" s="601" t="str">
        <f t="shared" si="5"/>
        <v>Cheng Hoi Bun</v>
      </c>
      <c r="R33" s="592">
        <f t="shared" si="6"/>
        <v>137</v>
      </c>
      <c r="S33" s="103"/>
      <c r="T33" s="595">
        <v>141</v>
      </c>
      <c r="U33" s="595"/>
      <c r="V33" s="103"/>
      <c r="W33" s="103">
        <v>1.5</v>
      </c>
      <c r="X33" s="103"/>
      <c r="Y33" s="103"/>
      <c r="Z33" s="513"/>
      <c r="AA33" s="526">
        <f t="shared" si="11"/>
        <v>1.5</v>
      </c>
      <c r="AB33" s="103"/>
      <c r="AC33" s="103"/>
      <c r="AD33" s="591"/>
      <c r="AE33" s="21"/>
      <c r="AF33" s="21"/>
      <c r="AG33" s="21"/>
      <c r="AH33" s="21"/>
      <c r="AI33" s="21"/>
      <c r="AJ33" s="21"/>
      <c r="AK33" s="21"/>
      <c r="AL33" s="21"/>
      <c r="AM33" s="21"/>
    </row>
    <row r="34" spans="1:39" ht="22.5" customHeight="1">
      <c r="A34" s="437" t="s">
        <v>507</v>
      </c>
      <c r="B34" s="406">
        <v>138</v>
      </c>
      <c r="C34" s="533" t="e">
        <f>SUMIF(#REF!,B34,#REF!)</f>
        <v>#REF!</v>
      </c>
      <c r="D34" s="534">
        <v>13.3</v>
      </c>
      <c r="E34" s="535"/>
      <c r="F34" s="536">
        <f>'SEN invigilation'!AG42</f>
        <v>0</v>
      </c>
      <c r="G34" s="537"/>
      <c r="H34" s="551"/>
      <c r="I34" s="574"/>
      <c r="J34" s="574">
        <v>3</v>
      </c>
      <c r="K34" s="180" t="e">
        <f t="shared" si="10"/>
        <v>#REF!</v>
      </c>
      <c r="L34" s="180" t="e">
        <f t="shared" si="1"/>
        <v>#REF!</v>
      </c>
      <c r="M34" s="575" t="e">
        <f t="shared" si="2"/>
        <v>#REF!</v>
      </c>
      <c r="N34" s="180" t="e">
        <f t="shared" si="3"/>
        <v>#REF!</v>
      </c>
      <c r="O34" s="576">
        <v>1.0378041115655601</v>
      </c>
      <c r="P34" s="577" t="e">
        <f t="shared" si="4"/>
        <v>#REF!</v>
      </c>
      <c r="Q34" s="602" t="str">
        <f t="shared" si="5"/>
        <v>Li Wai Yiu</v>
      </c>
      <c r="R34" s="592">
        <f t="shared" si="6"/>
        <v>138</v>
      </c>
      <c r="S34" s="103"/>
      <c r="T34" s="595">
        <v>152</v>
      </c>
      <c r="U34" s="595"/>
      <c r="V34" s="103"/>
      <c r="W34" s="103">
        <v>1.5</v>
      </c>
      <c r="X34" s="103"/>
      <c r="Y34" s="103"/>
      <c r="Z34" s="513"/>
      <c r="AA34" s="526">
        <f t="shared" si="11"/>
        <v>1.5</v>
      </c>
      <c r="AB34" s="103"/>
      <c r="AC34" s="103"/>
      <c r="AD34" s="591"/>
      <c r="AE34" s="21"/>
      <c r="AF34" s="21"/>
      <c r="AG34" s="21"/>
      <c r="AH34" s="21"/>
      <c r="AI34" s="21"/>
      <c r="AJ34" s="21"/>
      <c r="AK34" s="21"/>
      <c r="AL34" s="21"/>
      <c r="AM34" s="21"/>
    </row>
    <row r="35" spans="1:39" ht="22.5" customHeight="1">
      <c r="A35" s="412" t="s">
        <v>508</v>
      </c>
      <c r="B35" s="220">
        <v>140</v>
      </c>
      <c r="C35" s="539" t="e">
        <f>SUMIF(#REF!,B35,#REF!)</f>
        <v>#REF!</v>
      </c>
      <c r="D35" s="540"/>
      <c r="E35" s="541"/>
      <c r="F35" s="542">
        <f>'SEN invigilation'!AG43</f>
        <v>18.5</v>
      </c>
      <c r="G35" s="543"/>
      <c r="H35" s="544"/>
      <c r="I35" s="103"/>
      <c r="J35" s="103"/>
      <c r="K35" s="187" t="e">
        <f t="shared" si="10"/>
        <v>#REF!</v>
      </c>
      <c r="L35" s="187" t="e">
        <f t="shared" si="1"/>
        <v>#REF!</v>
      </c>
      <c r="M35" s="578" t="e">
        <f t="shared" si="2"/>
        <v>#REF!</v>
      </c>
      <c r="N35" s="187" t="e">
        <f t="shared" si="3"/>
        <v>#REF!</v>
      </c>
      <c r="O35" s="579">
        <v>7.70044262502834</v>
      </c>
      <c r="P35" s="580" t="e">
        <f t="shared" si="4"/>
        <v>#REF!</v>
      </c>
      <c r="Q35" s="600" t="str">
        <f t="shared" ref="Q35:Q66" si="12">A35</f>
        <v>Lam Chun Man</v>
      </c>
      <c r="R35" s="592">
        <f t="shared" ref="R35:R66" si="13">B35</f>
        <v>140</v>
      </c>
      <c r="S35" s="103"/>
      <c r="T35" s="595">
        <v>181</v>
      </c>
      <c r="U35" s="595"/>
      <c r="V35" s="103"/>
      <c r="W35" s="103">
        <v>1.5</v>
      </c>
      <c r="X35" s="103"/>
      <c r="Y35" s="103"/>
      <c r="Z35" s="513"/>
      <c r="AA35" s="526">
        <f t="shared" si="11"/>
        <v>1.5</v>
      </c>
      <c r="AB35" s="103"/>
      <c r="AC35" s="103"/>
      <c r="AD35" s="591"/>
      <c r="AE35" s="21"/>
      <c r="AF35" s="21"/>
      <c r="AG35" s="21"/>
      <c r="AH35" s="21"/>
      <c r="AI35" s="21"/>
      <c r="AJ35" s="21"/>
      <c r="AK35" s="21"/>
      <c r="AL35" s="21"/>
      <c r="AM35" s="21"/>
    </row>
    <row r="36" spans="1:39" ht="22.5" customHeight="1">
      <c r="A36" s="435" t="s">
        <v>509</v>
      </c>
      <c r="B36" s="220">
        <v>141</v>
      </c>
      <c r="C36" s="539" t="e">
        <f>SUMIF(#REF!,B36,#REF!)</f>
        <v>#REF!</v>
      </c>
      <c r="D36" s="540">
        <v>8</v>
      </c>
      <c r="E36" s="541"/>
      <c r="F36" s="564">
        <f>'SEN invigilation'!AG44</f>
        <v>0</v>
      </c>
      <c r="G36" s="565"/>
      <c r="H36" s="544"/>
      <c r="I36" s="103"/>
      <c r="J36" s="103">
        <v>3</v>
      </c>
      <c r="K36" s="187" t="e">
        <f t="shared" si="10"/>
        <v>#REF!</v>
      </c>
      <c r="L36" s="187" t="e">
        <f t="shared" si="1"/>
        <v>#REF!</v>
      </c>
      <c r="M36" s="578" t="e">
        <f t="shared" si="2"/>
        <v>#REF!</v>
      </c>
      <c r="N36" s="187" t="e">
        <f t="shared" si="3"/>
        <v>#REF!</v>
      </c>
      <c r="O36" s="579">
        <v>-3.7061412009344199</v>
      </c>
      <c r="P36" s="580" t="e">
        <f t="shared" si="4"/>
        <v>#REF!</v>
      </c>
      <c r="Q36" s="600" t="str">
        <f t="shared" si="12"/>
        <v>Leung So Yam</v>
      </c>
      <c r="R36" s="592">
        <f t="shared" si="13"/>
        <v>141</v>
      </c>
      <c r="S36" s="103"/>
      <c r="T36" s="595">
        <v>200</v>
      </c>
      <c r="U36" s="595"/>
      <c r="V36" s="103"/>
      <c r="W36" s="103">
        <v>1.5</v>
      </c>
      <c r="X36" s="103"/>
      <c r="Y36" s="103"/>
      <c r="Z36" s="513"/>
      <c r="AA36" s="526">
        <f t="shared" si="11"/>
        <v>1.5</v>
      </c>
      <c r="AB36" s="103"/>
      <c r="AC36" s="103"/>
      <c r="AD36" s="21"/>
      <c r="AE36" s="21"/>
      <c r="AF36" s="21"/>
      <c r="AG36" s="21"/>
      <c r="AH36" s="21"/>
      <c r="AI36" s="21"/>
      <c r="AJ36" s="21"/>
      <c r="AK36" s="21"/>
      <c r="AL36" s="21"/>
      <c r="AM36" s="21"/>
    </row>
    <row r="37" spans="1:39" ht="22.5" customHeight="1">
      <c r="A37" s="435" t="s">
        <v>510</v>
      </c>
      <c r="B37" s="220">
        <v>147</v>
      </c>
      <c r="C37" s="539" t="e">
        <f>SUMIF(#REF!,B37,#REF!)</f>
        <v>#REF!</v>
      </c>
      <c r="D37" s="540">
        <v>9.3000000000000007</v>
      </c>
      <c r="E37" s="541"/>
      <c r="F37" s="542">
        <f>'SEN invigilation'!AG45</f>
        <v>0</v>
      </c>
      <c r="G37" s="543"/>
      <c r="H37" s="544"/>
      <c r="I37" s="103"/>
      <c r="J37" s="103">
        <v>6</v>
      </c>
      <c r="K37" s="187" t="e">
        <f t="shared" si="10"/>
        <v>#REF!</v>
      </c>
      <c r="L37" s="187" t="e">
        <f t="shared" si="1"/>
        <v>#REF!</v>
      </c>
      <c r="M37" s="578" t="e">
        <f t="shared" si="2"/>
        <v>#REF!</v>
      </c>
      <c r="N37" s="187" t="e">
        <f t="shared" si="3"/>
        <v>#REF!</v>
      </c>
      <c r="O37" s="579">
        <v>0.99332108687421306</v>
      </c>
      <c r="P37" s="580" t="e">
        <f t="shared" si="4"/>
        <v>#REF!</v>
      </c>
      <c r="Q37" s="600" t="str">
        <f t="shared" si="12"/>
        <v>Wong Kar Wing</v>
      </c>
      <c r="R37" s="592">
        <f t="shared" si="13"/>
        <v>147</v>
      </c>
      <c r="S37" s="103"/>
      <c r="T37" s="597"/>
      <c r="U37" s="597"/>
      <c r="V37" s="581"/>
      <c r="W37" s="581"/>
      <c r="X37" s="581"/>
      <c r="Y37" s="581"/>
      <c r="Z37" s="514"/>
      <c r="AA37" s="526"/>
      <c r="AB37" s="103"/>
      <c r="AC37" s="103"/>
      <c r="AD37" s="21"/>
      <c r="AE37" s="21"/>
      <c r="AF37" s="21"/>
      <c r="AG37" s="21"/>
      <c r="AH37" s="21"/>
      <c r="AI37" s="21"/>
      <c r="AJ37" s="21"/>
      <c r="AK37" s="21"/>
      <c r="AL37" s="21"/>
      <c r="AM37" s="21"/>
    </row>
    <row r="38" spans="1:39" ht="22.5" customHeight="1">
      <c r="A38" s="435" t="s">
        <v>511</v>
      </c>
      <c r="B38" s="220">
        <v>152</v>
      </c>
      <c r="C38" s="539" t="e">
        <f>SUMIF(#REF!,B38,#REF!)</f>
        <v>#REF!</v>
      </c>
      <c r="D38" s="540"/>
      <c r="E38" s="541"/>
      <c r="F38" s="542">
        <f>'SEN invigilation'!AG46</f>
        <v>2</v>
      </c>
      <c r="G38" s="543"/>
      <c r="H38" s="556">
        <v>4</v>
      </c>
      <c r="I38" s="103"/>
      <c r="J38" s="103">
        <v>3</v>
      </c>
      <c r="K38" s="187" t="e">
        <f t="shared" si="10"/>
        <v>#REF!</v>
      </c>
      <c r="L38" s="187" t="e">
        <f t="shared" si="1"/>
        <v>#REF!</v>
      </c>
      <c r="M38" s="578" t="e">
        <f t="shared" si="2"/>
        <v>#REF!</v>
      </c>
      <c r="N38" s="187" t="e">
        <f t="shared" si="3"/>
        <v>#REF!</v>
      </c>
      <c r="O38" s="579">
        <v>-1.35037049160902</v>
      </c>
      <c r="P38" s="580" t="e">
        <f t="shared" si="4"/>
        <v>#REF!</v>
      </c>
      <c r="Q38" s="600" t="str">
        <f t="shared" si="12"/>
        <v>Chung Tsz Yuen</v>
      </c>
      <c r="R38" s="592">
        <f t="shared" si="13"/>
        <v>152</v>
      </c>
      <c r="S38" s="103"/>
      <c r="T38" s="21"/>
      <c r="U38" s="593"/>
      <c r="V38" s="228"/>
      <c r="W38" s="228"/>
      <c r="X38" s="228"/>
      <c r="Y38" s="228"/>
      <c r="Z38" s="229"/>
      <c r="AA38" s="615">
        <f>SUM(AA25:AA37)</f>
        <v>18</v>
      </c>
      <c r="AB38" s="103"/>
      <c r="AC38" s="103"/>
      <c r="AD38" s="21"/>
      <c r="AE38" s="21"/>
      <c r="AF38" s="21"/>
      <c r="AG38" s="21"/>
      <c r="AH38" s="21"/>
      <c r="AI38" s="21"/>
      <c r="AJ38" s="21"/>
      <c r="AK38" s="21"/>
      <c r="AL38" s="21"/>
      <c r="AM38" s="21"/>
    </row>
    <row r="39" spans="1:39" ht="22.5" customHeight="1">
      <c r="A39" s="435" t="s">
        <v>512</v>
      </c>
      <c r="B39" s="220">
        <v>153</v>
      </c>
      <c r="C39" s="539" t="e">
        <f>SUMIF(#REF!,B39,#REF!)</f>
        <v>#REF!</v>
      </c>
      <c r="D39" s="540">
        <v>6.7</v>
      </c>
      <c r="E39" s="541"/>
      <c r="F39" s="542">
        <f>'SEN invigilation'!AG47</f>
        <v>0</v>
      </c>
      <c r="G39" s="543"/>
      <c r="H39" s="544"/>
      <c r="I39" s="103"/>
      <c r="J39" s="103"/>
      <c r="K39" s="187" t="e">
        <f t="shared" si="10"/>
        <v>#REF!</v>
      </c>
      <c r="L39" s="187" t="e">
        <f t="shared" si="1"/>
        <v>#REF!</v>
      </c>
      <c r="M39" s="578" t="e">
        <f t="shared" si="2"/>
        <v>#REF!</v>
      </c>
      <c r="N39" s="187" t="e">
        <f t="shared" si="3"/>
        <v>#REF!</v>
      </c>
      <c r="O39" s="579">
        <v>1.4319227703534101</v>
      </c>
      <c r="P39" s="580" t="e">
        <f t="shared" si="4"/>
        <v>#REF!</v>
      </c>
      <c r="Q39" s="600" t="str">
        <f t="shared" si="12"/>
        <v>Chan Ka Yu</v>
      </c>
      <c r="R39" s="592">
        <f t="shared" si="13"/>
        <v>153</v>
      </c>
      <c r="S39" s="103"/>
      <c r="T39" s="103"/>
      <c r="U39" s="103"/>
      <c r="V39" s="103"/>
      <c r="W39" s="103"/>
      <c r="X39" s="103"/>
      <c r="Y39" s="103"/>
      <c r="Z39" s="103"/>
      <c r="AA39" s="103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</row>
    <row r="40" spans="1:39" ht="22.5" customHeight="1">
      <c r="A40" s="435" t="s">
        <v>513</v>
      </c>
      <c r="B40" s="245">
        <v>161</v>
      </c>
      <c r="C40" s="539" t="e">
        <f>SUMIF(#REF!,B40,#REF!)</f>
        <v>#REF!</v>
      </c>
      <c r="D40" s="540">
        <v>6.7</v>
      </c>
      <c r="E40" s="541"/>
      <c r="F40" s="542">
        <f>'SEN invigilation'!AG48</f>
        <v>0</v>
      </c>
      <c r="G40" s="543"/>
      <c r="H40" s="556">
        <v>4</v>
      </c>
      <c r="I40" s="103"/>
      <c r="J40" s="103"/>
      <c r="K40" s="187" t="e">
        <f t="shared" si="10"/>
        <v>#REF!</v>
      </c>
      <c r="L40" s="187" t="e">
        <f t="shared" si="1"/>
        <v>#REF!</v>
      </c>
      <c r="M40" s="578" t="e">
        <f t="shared" si="2"/>
        <v>#REF!</v>
      </c>
      <c r="N40" s="187" t="e">
        <f t="shared" si="3"/>
        <v>#REF!</v>
      </c>
      <c r="O40" s="579">
        <v>0.33296284172431101</v>
      </c>
      <c r="P40" s="580" t="e">
        <f t="shared" si="4"/>
        <v>#REF!</v>
      </c>
      <c r="Q40" s="600" t="str">
        <f t="shared" si="12"/>
        <v>Ng Wai Yee</v>
      </c>
      <c r="R40" s="592">
        <f t="shared" si="13"/>
        <v>161</v>
      </c>
      <c r="S40" s="103"/>
      <c r="T40" s="487" t="s">
        <v>48</v>
      </c>
      <c r="U40" s="487"/>
      <c r="V40" s="103"/>
      <c r="W40" s="103"/>
      <c r="X40" s="103"/>
      <c r="Y40" s="103"/>
      <c r="Z40" s="103"/>
      <c r="AA40" s="103"/>
      <c r="AB40" s="21"/>
      <c r="AC40" s="21"/>
      <c r="AD40" s="591"/>
      <c r="AE40" s="21"/>
      <c r="AF40" s="21"/>
      <c r="AG40" s="21"/>
      <c r="AH40" s="21"/>
      <c r="AI40" s="21"/>
      <c r="AJ40" s="21"/>
      <c r="AK40" s="21"/>
      <c r="AL40" s="21"/>
      <c r="AM40" s="21"/>
    </row>
    <row r="41" spans="1:39" ht="22.5" customHeight="1">
      <c r="A41" s="438" t="s">
        <v>514</v>
      </c>
      <c r="B41" s="222">
        <v>178</v>
      </c>
      <c r="C41" s="545" t="e">
        <f>SUMIF(#REF!,B41,#REF!)</f>
        <v>#REF!</v>
      </c>
      <c r="D41" s="546">
        <v>6.7</v>
      </c>
      <c r="E41" s="547"/>
      <c r="F41" s="548">
        <f>'SEN invigilation'!AG49</f>
        <v>0</v>
      </c>
      <c r="G41" s="549"/>
      <c r="H41" s="559"/>
      <c r="I41" s="581"/>
      <c r="J41" s="581"/>
      <c r="K41" s="194" t="e">
        <f t="shared" si="10"/>
        <v>#REF!</v>
      </c>
      <c r="L41" s="194" t="e">
        <f t="shared" si="1"/>
        <v>#REF!</v>
      </c>
      <c r="M41" s="582" t="e">
        <f t="shared" si="2"/>
        <v>#REF!</v>
      </c>
      <c r="N41" s="194" t="e">
        <f t="shared" si="3"/>
        <v>#REF!</v>
      </c>
      <c r="O41" s="583">
        <v>-2.7654562409348</v>
      </c>
      <c r="P41" s="584" t="e">
        <f t="shared" si="4"/>
        <v>#REF!</v>
      </c>
      <c r="Q41" s="601" t="str">
        <f t="shared" si="12"/>
        <v>Ho Pui Yi</v>
      </c>
      <c r="R41" s="592">
        <f t="shared" si="13"/>
        <v>178</v>
      </c>
      <c r="S41" s="103"/>
      <c r="T41" s="603">
        <v>39</v>
      </c>
      <c r="U41" s="603">
        <v>3.5</v>
      </c>
      <c r="V41" s="103"/>
      <c r="W41" s="103"/>
      <c r="X41" s="103"/>
      <c r="Y41" s="103"/>
      <c r="Z41" s="103"/>
      <c r="AA41" s="103"/>
      <c r="AB41" s="21"/>
      <c r="AC41" s="21"/>
      <c r="AD41" s="591"/>
      <c r="AE41" s="21"/>
      <c r="AF41" s="21"/>
      <c r="AG41" s="21"/>
      <c r="AH41" s="21"/>
      <c r="AI41" s="21"/>
      <c r="AJ41" s="21"/>
      <c r="AK41" s="21"/>
      <c r="AL41" s="21"/>
      <c r="AM41" s="21"/>
    </row>
    <row r="42" spans="1:39" ht="22.5" customHeight="1">
      <c r="A42" s="435" t="s">
        <v>515</v>
      </c>
      <c r="B42" s="220">
        <v>181</v>
      </c>
      <c r="C42" s="554" t="e">
        <f>SUMIF(#REF!,B42,#REF!)</f>
        <v>#REF!</v>
      </c>
      <c r="D42" s="554"/>
      <c r="E42" s="555"/>
      <c r="F42" s="542">
        <f>'SEN invigilation'!AG50</f>
        <v>0</v>
      </c>
      <c r="G42" s="543"/>
      <c r="H42" s="544"/>
      <c r="I42" s="103"/>
      <c r="J42" s="103">
        <v>6</v>
      </c>
      <c r="K42" s="187" t="e">
        <f t="shared" si="10"/>
        <v>#REF!</v>
      </c>
      <c r="L42" s="187" t="e">
        <f t="shared" si="1"/>
        <v>#REF!</v>
      </c>
      <c r="M42" s="578" t="e">
        <f t="shared" si="2"/>
        <v>#REF!</v>
      </c>
      <c r="N42" s="187" t="e">
        <f t="shared" si="3"/>
        <v>#REF!</v>
      </c>
      <c r="O42" s="579">
        <v>4.4009254149719998</v>
      </c>
      <c r="P42" s="580" t="e">
        <f t="shared" si="4"/>
        <v>#REF!</v>
      </c>
      <c r="Q42" s="602" t="str">
        <f t="shared" si="12"/>
        <v>Deng Wenli, Lily</v>
      </c>
      <c r="R42" s="592">
        <f t="shared" si="13"/>
        <v>181</v>
      </c>
      <c r="S42" s="103"/>
      <c r="T42" s="603">
        <v>73</v>
      </c>
      <c r="U42" s="603">
        <v>3.5</v>
      </c>
      <c r="V42" s="103"/>
      <c r="W42" s="103"/>
      <c r="X42" s="103"/>
      <c r="Y42" s="103"/>
      <c r="Z42" s="103"/>
      <c r="AA42" s="103"/>
      <c r="AB42" s="21"/>
      <c r="AC42" s="21"/>
      <c r="AD42" s="591"/>
      <c r="AE42" s="21"/>
      <c r="AF42" s="21"/>
      <c r="AG42" s="21"/>
      <c r="AH42" s="21"/>
      <c r="AI42" s="21"/>
      <c r="AJ42" s="21"/>
      <c r="AK42" s="21"/>
      <c r="AL42" s="21"/>
      <c r="AM42" s="21"/>
    </row>
    <row r="43" spans="1:39" ht="22.5" customHeight="1">
      <c r="A43" s="435" t="s">
        <v>516</v>
      </c>
      <c r="B43" s="220">
        <v>186</v>
      </c>
      <c r="C43" s="554" t="e">
        <f>SUMIF(#REF!,B43,#REF!)</f>
        <v>#REF!</v>
      </c>
      <c r="D43" s="554">
        <v>8</v>
      </c>
      <c r="E43" s="555"/>
      <c r="F43" s="542">
        <f>'SEN invigilation'!AG51</f>
        <v>0</v>
      </c>
      <c r="G43" s="543"/>
      <c r="H43" s="556">
        <v>4</v>
      </c>
      <c r="I43" s="103"/>
      <c r="J43" s="103"/>
      <c r="K43" s="187" t="e">
        <f t="shared" si="10"/>
        <v>#REF!</v>
      </c>
      <c r="L43" s="187" t="e">
        <f t="shared" si="1"/>
        <v>#REF!</v>
      </c>
      <c r="M43" s="578" t="e">
        <f t="shared" si="2"/>
        <v>#REF!</v>
      </c>
      <c r="N43" s="187" t="e">
        <f t="shared" si="3"/>
        <v>#REF!</v>
      </c>
      <c r="O43" s="579">
        <v>9.0948955760685202</v>
      </c>
      <c r="P43" s="580" t="e">
        <f t="shared" si="4"/>
        <v>#REF!</v>
      </c>
      <c r="Q43" s="600" t="str">
        <f t="shared" si="12"/>
        <v>Tsang Chun Hung</v>
      </c>
      <c r="R43" s="592">
        <f t="shared" si="13"/>
        <v>186</v>
      </c>
      <c r="S43" s="103"/>
      <c r="T43" s="603"/>
      <c r="U43" s="603"/>
      <c r="V43" s="103"/>
      <c r="W43" s="103"/>
      <c r="X43" s="103"/>
      <c r="Y43" s="103"/>
      <c r="Z43" s="103"/>
      <c r="AA43" s="103"/>
      <c r="AB43" s="21"/>
      <c r="AC43" s="21"/>
      <c r="AD43" s="591"/>
      <c r="AE43" s="21"/>
      <c r="AF43" s="21"/>
      <c r="AG43" s="21"/>
      <c r="AH43" s="21"/>
      <c r="AI43" s="21"/>
      <c r="AJ43" s="21"/>
      <c r="AK43" s="21"/>
      <c r="AL43" s="21"/>
      <c r="AM43" s="21"/>
    </row>
    <row r="44" spans="1:39" ht="22.5" customHeight="1">
      <c r="A44" s="435" t="s">
        <v>517</v>
      </c>
      <c r="B44" s="220">
        <v>190</v>
      </c>
      <c r="C44" s="554" t="e">
        <f>SUMIF(#REF!,B44,#REF!)</f>
        <v>#REF!</v>
      </c>
      <c r="D44" s="554"/>
      <c r="E44" s="555"/>
      <c r="F44" s="542">
        <f>'SEN invigilation'!AG52</f>
        <v>0</v>
      </c>
      <c r="G44" s="543"/>
      <c r="H44" s="544"/>
      <c r="I44" s="103"/>
      <c r="J44" s="103">
        <v>7</v>
      </c>
      <c r="K44" s="187" t="e">
        <f t="shared" si="10"/>
        <v>#REF!</v>
      </c>
      <c r="L44" s="187" t="e">
        <f t="shared" si="1"/>
        <v>#REF!</v>
      </c>
      <c r="M44" s="578" t="e">
        <f t="shared" si="2"/>
        <v>#REF!</v>
      </c>
      <c r="N44" s="187" t="e">
        <f t="shared" si="3"/>
        <v>#REF!</v>
      </c>
      <c r="O44" s="579">
        <v>9.2170639757611603</v>
      </c>
      <c r="P44" s="580" t="e">
        <f t="shared" si="4"/>
        <v>#REF!</v>
      </c>
      <c r="Q44" s="600" t="str">
        <f t="shared" si="12"/>
        <v>Rory Dallas</v>
      </c>
      <c r="R44" s="592">
        <f t="shared" si="13"/>
        <v>190</v>
      </c>
      <c r="S44" s="103"/>
      <c r="T44" s="603"/>
      <c r="U44" s="603"/>
      <c r="V44" s="103"/>
      <c r="W44" s="103"/>
      <c r="X44" s="103"/>
      <c r="Y44" s="103"/>
      <c r="Z44" s="103"/>
      <c r="AA44" s="103"/>
      <c r="AB44" s="21"/>
      <c r="AC44" s="21"/>
      <c r="AD44" s="591"/>
      <c r="AE44" s="21"/>
      <c r="AF44" s="21"/>
      <c r="AG44" s="21"/>
      <c r="AH44" s="21"/>
      <c r="AI44" s="21"/>
      <c r="AJ44" s="21"/>
      <c r="AK44" s="21"/>
      <c r="AL44" s="21"/>
      <c r="AM44" s="21"/>
    </row>
    <row r="45" spans="1:39" ht="22.5" customHeight="1">
      <c r="A45" s="435" t="s">
        <v>518</v>
      </c>
      <c r="B45" s="220">
        <v>196</v>
      </c>
      <c r="C45" s="554" t="e">
        <f>SUMIF(#REF!,B45,#REF!)</f>
        <v>#REF!</v>
      </c>
      <c r="D45" s="554">
        <v>6.7</v>
      </c>
      <c r="E45" s="555"/>
      <c r="F45" s="542">
        <f>'SEN invigilation'!AG53</f>
        <v>0</v>
      </c>
      <c r="G45" s="543"/>
      <c r="H45" s="544"/>
      <c r="I45" s="103"/>
      <c r="J45" s="103"/>
      <c r="K45" s="187" t="e">
        <f t="shared" si="10"/>
        <v>#REF!</v>
      </c>
      <c r="L45" s="187" t="e">
        <f t="shared" si="1"/>
        <v>#REF!</v>
      </c>
      <c r="M45" s="578" t="e">
        <f t="shared" si="2"/>
        <v>#REF!</v>
      </c>
      <c r="N45" s="187" t="e">
        <f t="shared" si="3"/>
        <v>#REF!</v>
      </c>
      <c r="O45" s="579">
        <v>0.67113744489891203</v>
      </c>
      <c r="P45" s="580" t="e">
        <f t="shared" si="4"/>
        <v>#REF!</v>
      </c>
      <c r="Q45" s="600" t="str">
        <f t="shared" si="12"/>
        <v>Lee Hoi Yi</v>
      </c>
      <c r="R45" s="592">
        <f t="shared" si="13"/>
        <v>196</v>
      </c>
      <c r="S45" s="103"/>
      <c r="T45" s="603">
        <v>111</v>
      </c>
      <c r="U45" s="603">
        <v>3.5</v>
      </c>
      <c r="V45" s="103"/>
      <c r="W45" s="103"/>
      <c r="X45" s="103"/>
      <c r="Y45" s="103"/>
      <c r="Z45" s="103"/>
      <c r="AA45" s="103"/>
      <c r="AB45" s="21"/>
      <c r="AC45" s="21"/>
      <c r="AD45" s="591"/>
      <c r="AE45" s="21"/>
      <c r="AF45" s="21"/>
      <c r="AG45" s="21"/>
      <c r="AH45" s="21"/>
      <c r="AI45" s="21"/>
      <c r="AJ45" s="21"/>
      <c r="AK45" s="21"/>
      <c r="AL45" s="21"/>
      <c r="AM45" s="21"/>
    </row>
    <row r="46" spans="1:39" ht="22.5" customHeight="1">
      <c r="A46" s="435" t="s">
        <v>519</v>
      </c>
      <c r="B46" s="220">
        <v>197</v>
      </c>
      <c r="C46" s="554" t="e">
        <f>SUMIF(#REF!,B46,#REF!)</f>
        <v>#REF!</v>
      </c>
      <c r="D46" s="554"/>
      <c r="E46" s="555"/>
      <c r="F46" s="542">
        <f>'SEN invigilation'!AG54</f>
        <v>0</v>
      </c>
      <c r="G46" s="543"/>
      <c r="H46" s="544"/>
      <c r="I46" s="103"/>
      <c r="J46" s="103"/>
      <c r="K46" s="187" t="e">
        <f t="shared" si="10"/>
        <v>#REF!</v>
      </c>
      <c r="L46" s="187" t="e">
        <f t="shared" si="1"/>
        <v>#REF!</v>
      </c>
      <c r="M46" s="578" t="e">
        <f t="shared" si="2"/>
        <v>#REF!</v>
      </c>
      <c r="N46" s="187" t="e">
        <f t="shared" si="3"/>
        <v>#REF!</v>
      </c>
      <c r="O46" s="579">
        <v>1.6003210868742299</v>
      </c>
      <c r="P46" s="580" t="e">
        <f t="shared" si="4"/>
        <v>#REF!</v>
      </c>
      <c r="Q46" s="600" t="str">
        <f t="shared" si="12"/>
        <v>Hui Long Wai</v>
      </c>
      <c r="R46" s="592">
        <f t="shared" si="13"/>
        <v>197</v>
      </c>
      <c r="S46" s="103"/>
      <c r="T46" s="603">
        <v>112</v>
      </c>
      <c r="U46" s="603">
        <v>3.5</v>
      </c>
      <c r="V46" s="103"/>
      <c r="W46" s="103"/>
      <c r="X46" s="103"/>
      <c r="Y46" s="103"/>
      <c r="Z46" s="103"/>
      <c r="AA46" s="103"/>
      <c r="AB46" s="21"/>
      <c r="AC46" s="21"/>
      <c r="AD46" s="591"/>
      <c r="AE46" s="21"/>
      <c r="AF46" s="21"/>
      <c r="AG46" s="21"/>
      <c r="AH46" s="21"/>
      <c r="AI46" s="21"/>
      <c r="AJ46" s="21"/>
      <c r="AK46" s="21"/>
      <c r="AL46" s="21"/>
      <c r="AM46" s="21"/>
    </row>
    <row r="47" spans="1:39" ht="22.5" customHeight="1">
      <c r="A47" s="435" t="s">
        <v>520</v>
      </c>
      <c r="B47" s="220">
        <v>198</v>
      </c>
      <c r="C47" s="554" t="e">
        <f>SUMIF(#REF!,B47,#REF!)</f>
        <v>#REF!</v>
      </c>
      <c r="D47" s="554"/>
      <c r="E47" s="555"/>
      <c r="F47" s="542">
        <f>'SEN invigilation'!AG55</f>
        <v>0</v>
      </c>
      <c r="G47" s="562">
        <v>8</v>
      </c>
      <c r="H47" s="544"/>
      <c r="I47" s="103"/>
      <c r="J47" s="103"/>
      <c r="K47" s="187" t="e">
        <f t="shared" si="10"/>
        <v>#REF!</v>
      </c>
      <c r="L47" s="187" t="e">
        <f t="shared" si="1"/>
        <v>#REF!</v>
      </c>
      <c r="M47" s="578" t="e">
        <f t="shared" si="2"/>
        <v>#REF!</v>
      </c>
      <c r="N47" s="187" t="e">
        <f t="shared" si="3"/>
        <v>#REF!</v>
      </c>
      <c r="O47" s="579">
        <v>1.1481799238863899</v>
      </c>
      <c r="P47" s="580" t="e">
        <f t="shared" si="4"/>
        <v>#REF!</v>
      </c>
      <c r="Q47" s="600" t="str">
        <f t="shared" si="12"/>
        <v>Yu Li Shan</v>
      </c>
      <c r="R47" s="592">
        <f t="shared" si="13"/>
        <v>198</v>
      </c>
      <c r="S47" s="103"/>
      <c r="T47" s="603"/>
      <c r="U47" s="603"/>
      <c r="V47" s="103"/>
      <c r="W47" s="103"/>
      <c r="X47" s="103"/>
      <c r="Y47" s="103"/>
      <c r="Z47" s="103"/>
      <c r="AA47" s="103"/>
      <c r="AB47" s="21"/>
      <c r="AC47" s="21"/>
      <c r="AD47" s="591"/>
      <c r="AE47" s="21"/>
      <c r="AF47" s="21"/>
      <c r="AG47" s="21"/>
      <c r="AH47" s="21"/>
      <c r="AI47" s="21"/>
      <c r="AJ47" s="21"/>
      <c r="AK47" s="21"/>
      <c r="AL47" s="21"/>
      <c r="AM47" s="21"/>
    </row>
    <row r="48" spans="1:39" ht="22.5" customHeight="1">
      <c r="A48" s="435" t="s">
        <v>521</v>
      </c>
      <c r="B48" s="220">
        <v>199</v>
      </c>
      <c r="C48" s="554" t="e">
        <f>SUMIF(#REF!,B48,#REF!)</f>
        <v>#REF!</v>
      </c>
      <c r="D48" s="554"/>
      <c r="E48" s="555"/>
      <c r="F48" s="542">
        <f>'SEN invigilation'!AG56</f>
        <v>0</v>
      </c>
      <c r="G48" s="543"/>
      <c r="H48" s="544"/>
      <c r="I48" s="103"/>
      <c r="J48" s="103">
        <v>7</v>
      </c>
      <c r="K48" s="187" t="e">
        <f t="shared" si="10"/>
        <v>#REF!</v>
      </c>
      <c r="L48" s="187" t="e">
        <f t="shared" si="1"/>
        <v>#REF!</v>
      </c>
      <c r="M48" s="578" t="e">
        <f t="shared" si="2"/>
        <v>#REF!</v>
      </c>
      <c r="N48" s="187" t="e">
        <f t="shared" si="3"/>
        <v>#REF!</v>
      </c>
      <c r="O48" s="579">
        <v>-0.170529221767758</v>
      </c>
      <c r="P48" s="580" t="e">
        <f t="shared" si="4"/>
        <v>#REF!</v>
      </c>
      <c r="Q48" s="600" t="str">
        <f t="shared" si="12"/>
        <v>Au Wing Ka</v>
      </c>
      <c r="R48" s="592">
        <f t="shared" si="13"/>
        <v>199</v>
      </c>
      <c r="S48" s="103"/>
      <c r="T48" s="603">
        <v>120</v>
      </c>
      <c r="U48" s="603">
        <v>3.5</v>
      </c>
      <c r="V48" s="103"/>
      <c r="W48" s="103"/>
      <c r="X48" s="103"/>
      <c r="Y48" s="103"/>
      <c r="Z48" s="103"/>
      <c r="AA48" s="616"/>
      <c r="AB48" s="21"/>
      <c r="AC48" s="21"/>
      <c r="AD48" s="591"/>
      <c r="AE48" s="21"/>
      <c r="AF48" s="21"/>
      <c r="AG48" s="21"/>
      <c r="AH48" s="21"/>
      <c r="AI48" s="21"/>
      <c r="AJ48" s="21"/>
      <c r="AK48" s="21"/>
      <c r="AL48" s="21"/>
      <c r="AM48" s="21"/>
    </row>
    <row r="49" spans="1:39" ht="22.5" customHeight="1">
      <c r="A49" s="438" t="s">
        <v>522</v>
      </c>
      <c r="B49" s="222">
        <v>200</v>
      </c>
      <c r="C49" s="557" t="e">
        <f>SUMIF(#REF!,B49,#REF!)</f>
        <v>#REF!</v>
      </c>
      <c r="D49" s="557"/>
      <c r="E49" s="558"/>
      <c r="F49" s="548">
        <f>'SEN invigilation'!AG57</f>
        <v>2.9</v>
      </c>
      <c r="G49" s="549"/>
      <c r="H49" s="559"/>
      <c r="I49" s="581"/>
      <c r="J49" s="581">
        <v>3</v>
      </c>
      <c r="K49" s="194" t="e">
        <f t="shared" si="10"/>
        <v>#REF!</v>
      </c>
      <c r="L49" s="585" t="e">
        <f t="shared" si="1"/>
        <v>#REF!</v>
      </c>
      <c r="M49" s="582" t="e">
        <f t="shared" si="2"/>
        <v>#REF!</v>
      </c>
      <c r="N49" s="585" t="e">
        <f t="shared" si="3"/>
        <v>#REF!</v>
      </c>
      <c r="O49" s="583">
        <v>-2.0955292217677601</v>
      </c>
      <c r="P49" s="584" t="e">
        <f t="shared" si="4"/>
        <v>#REF!</v>
      </c>
      <c r="Q49" s="601" t="str">
        <f t="shared" si="12"/>
        <v>Li Chun Yin</v>
      </c>
      <c r="R49" s="592">
        <f t="shared" si="13"/>
        <v>200</v>
      </c>
      <c r="S49" s="103"/>
      <c r="T49" s="603">
        <v>161</v>
      </c>
      <c r="U49" s="603">
        <v>3.5</v>
      </c>
      <c r="V49" s="103"/>
      <c r="W49" s="103"/>
      <c r="X49" s="103"/>
      <c r="Y49" s="103"/>
      <c r="Z49" s="103"/>
      <c r="AA49" s="103"/>
      <c r="AB49" s="21"/>
      <c r="AC49" s="21"/>
      <c r="AD49" s="591"/>
      <c r="AE49" s="21"/>
      <c r="AF49" s="21"/>
      <c r="AG49" s="21"/>
      <c r="AH49" s="21"/>
      <c r="AI49" s="21"/>
      <c r="AJ49" s="21"/>
      <c r="AK49" s="21"/>
      <c r="AL49" s="21"/>
      <c r="AM49" s="21"/>
    </row>
    <row r="50" spans="1:39" ht="22.5" customHeight="1">
      <c r="A50" s="412" t="s">
        <v>523</v>
      </c>
      <c r="B50" s="220">
        <v>201</v>
      </c>
      <c r="C50" s="554" t="e">
        <f>SUMIF(#REF!,B50,#REF!)</f>
        <v>#REF!</v>
      </c>
      <c r="D50" s="554"/>
      <c r="E50" s="555"/>
      <c r="F50" s="542">
        <f>'SEN invigilation'!AG58</f>
        <v>14.75</v>
      </c>
      <c r="G50" s="543"/>
      <c r="H50" s="544"/>
      <c r="I50" s="103"/>
      <c r="J50" s="103"/>
      <c r="K50" s="187" t="e">
        <f t="shared" si="10"/>
        <v>#REF!</v>
      </c>
      <c r="L50" s="187" t="e">
        <f t="shared" si="1"/>
        <v>#REF!</v>
      </c>
      <c r="M50" s="578" t="e">
        <f t="shared" si="2"/>
        <v>#REF!</v>
      </c>
      <c r="N50" s="187" t="e">
        <f t="shared" si="3"/>
        <v>#REF!</v>
      </c>
      <c r="O50" s="579">
        <v>0.20296868881272201</v>
      </c>
      <c r="P50" s="580" t="e">
        <f t="shared" si="4"/>
        <v>#REF!</v>
      </c>
      <c r="Q50" s="245" t="str">
        <f t="shared" si="12"/>
        <v>Wei Kwan Yim</v>
      </c>
      <c r="R50" s="592">
        <f t="shared" si="13"/>
        <v>201</v>
      </c>
      <c r="S50" s="103"/>
      <c r="T50" s="517">
        <v>196</v>
      </c>
      <c r="U50" s="517">
        <v>3.5</v>
      </c>
      <c r="V50" s="103"/>
      <c r="W50" s="103"/>
      <c r="X50" s="103"/>
      <c r="Y50" s="103"/>
      <c r="Z50" s="103"/>
      <c r="AA50" s="103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</row>
    <row r="51" spans="1:39" ht="22.5" customHeight="1">
      <c r="A51" s="439"/>
      <c r="B51" s="220">
        <v>202</v>
      </c>
      <c r="C51" s="554" t="e">
        <f>SUMIF(#REF!,B51,#REF!)</f>
        <v>#REF!</v>
      </c>
      <c r="D51" s="554"/>
      <c r="E51" s="555"/>
      <c r="F51" s="542">
        <f>'SEN invigilation'!AG59</f>
        <v>0</v>
      </c>
      <c r="G51" s="543"/>
      <c r="H51" s="544"/>
      <c r="I51" s="103"/>
      <c r="J51" s="103"/>
      <c r="K51" s="187" t="e">
        <f t="shared" si="10"/>
        <v>#REF!</v>
      </c>
      <c r="L51" s="187" t="e">
        <f t="shared" si="1"/>
        <v>#REF!</v>
      </c>
      <c r="M51" s="578" t="e">
        <f t="shared" si="2"/>
        <v>#REF!</v>
      </c>
      <c r="N51" s="187" t="e">
        <f t="shared" si="3"/>
        <v>#REF!</v>
      </c>
      <c r="O51" s="579">
        <v>-2.8233455797924498</v>
      </c>
      <c r="P51" s="580" t="e">
        <f t="shared" si="4"/>
        <v>#REF!</v>
      </c>
      <c r="Q51" s="245">
        <f t="shared" si="12"/>
        <v>0</v>
      </c>
      <c r="R51" s="592">
        <f t="shared" si="13"/>
        <v>202</v>
      </c>
      <c r="S51" s="103"/>
      <c r="T51" s="103" t="s">
        <v>49</v>
      </c>
      <c r="U51" s="604">
        <f>SUM(U41:U50)</f>
        <v>24.5</v>
      </c>
      <c r="V51" s="103"/>
      <c r="W51" s="103"/>
      <c r="X51" s="103"/>
      <c r="Y51" s="103"/>
      <c r="Z51" s="103"/>
      <c r="AA51" s="103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</row>
    <row r="52" spans="1:39" ht="22.5" customHeight="1">
      <c r="A52" s="439"/>
      <c r="B52" s="220">
        <v>203</v>
      </c>
      <c r="C52" s="554" t="e">
        <f>SUMIF(#REF!,B52,#REF!)</f>
        <v>#REF!</v>
      </c>
      <c r="D52" s="554"/>
      <c r="E52" s="555"/>
      <c r="F52" s="542">
        <f>'SEN invigilation'!AG60</f>
        <v>0</v>
      </c>
      <c r="G52" s="543"/>
      <c r="H52" s="544"/>
      <c r="I52" s="103"/>
      <c r="J52" s="103"/>
      <c r="K52" s="187" t="e">
        <f t="shared" si="10"/>
        <v>#REF!</v>
      </c>
      <c r="L52" s="187" t="e">
        <f t="shared" si="1"/>
        <v>#REF!</v>
      </c>
      <c r="M52" s="578" t="e">
        <f t="shared" si="2"/>
        <v>#REF!</v>
      </c>
      <c r="N52" s="187" t="e">
        <f t="shared" si="3"/>
        <v>#REF!</v>
      </c>
      <c r="O52" s="579">
        <v>-4.2219379519264804</v>
      </c>
      <c r="P52" s="580" t="e">
        <f t="shared" si="4"/>
        <v>#REF!</v>
      </c>
      <c r="Q52" s="245">
        <f t="shared" si="12"/>
        <v>0</v>
      </c>
      <c r="R52" s="592">
        <f t="shared" si="13"/>
        <v>203</v>
      </c>
      <c r="S52" s="103"/>
      <c r="T52" s="605"/>
      <c r="U52" s="103"/>
      <c r="V52" s="103"/>
      <c r="W52" s="103"/>
      <c r="X52" s="606"/>
      <c r="Y52" s="103"/>
      <c r="Z52" s="103"/>
      <c r="AA52" s="103"/>
      <c r="AB52" s="21"/>
      <c r="AC52" s="21"/>
      <c r="AD52" s="591"/>
      <c r="AE52" s="21"/>
      <c r="AF52" s="21"/>
      <c r="AG52" s="21"/>
      <c r="AH52" s="21"/>
      <c r="AI52" s="21"/>
      <c r="AJ52" s="21"/>
      <c r="AK52" s="21"/>
      <c r="AL52" s="21"/>
      <c r="AM52" s="21"/>
    </row>
    <row r="53" spans="1:39" ht="22.5" customHeight="1">
      <c r="A53" s="439" t="s">
        <v>524</v>
      </c>
      <c r="B53" s="220">
        <v>204</v>
      </c>
      <c r="C53" s="554" t="e">
        <f>SUMIF(#REF!,B53,#REF!)</f>
        <v>#REF!</v>
      </c>
      <c r="D53" s="554">
        <v>8</v>
      </c>
      <c r="E53" s="555"/>
      <c r="F53" s="542">
        <f>'SEN invigilation'!AG61</f>
        <v>0</v>
      </c>
      <c r="G53" s="543"/>
      <c r="H53" s="544"/>
      <c r="I53" s="103"/>
      <c r="J53" s="103"/>
      <c r="K53" s="187" t="e">
        <f>IF(J53&gt;$C$79*4/5,$C$79*1/5,$C$79-J53)</f>
        <v>#REF!</v>
      </c>
      <c r="L53" s="187" t="e">
        <f t="shared" si="1"/>
        <v>#REF!</v>
      </c>
      <c r="M53" s="578" t="e">
        <f t="shared" si="2"/>
        <v>#REF!</v>
      </c>
      <c r="N53" s="187" t="e">
        <f t="shared" si="3"/>
        <v>#REF!</v>
      </c>
      <c r="O53" s="579">
        <v>-10.3805312157758</v>
      </c>
      <c r="P53" s="580" t="e">
        <f t="shared" si="4"/>
        <v>#REF!</v>
      </c>
      <c r="Q53" s="245" t="str">
        <f t="shared" si="12"/>
        <v>Wong Wing Man</v>
      </c>
      <c r="R53" s="592">
        <f t="shared" si="13"/>
        <v>204</v>
      </c>
      <c r="S53" s="103"/>
      <c r="T53" s="103"/>
      <c r="U53" s="103"/>
      <c r="V53" s="103"/>
      <c r="W53" s="103"/>
      <c r="X53" s="606"/>
      <c r="Y53" s="103"/>
      <c r="Z53" s="103"/>
      <c r="AA53" s="103"/>
      <c r="AB53" s="21"/>
      <c r="AC53" s="21"/>
      <c r="AD53" s="591"/>
      <c r="AE53" s="21"/>
      <c r="AF53" s="21"/>
      <c r="AG53" s="21"/>
      <c r="AH53" s="21"/>
      <c r="AI53" s="21"/>
      <c r="AJ53" s="21"/>
      <c r="AK53" s="21"/>
      <c r="AL53" s="21"/>
      <c r="AM53" s="21"/>
    </row>
    <row r="54" spans="1:39" ht="22.5" customHeight="1">
      <c r="A54" s="2" t="s">
        <v>525</v>
      </c>
      <c r="B54" s="222">
        <v>205</v>
      </c>
      <c r="C54" s="554" t="e">
        <f>SUMIF(#REF!,B54,#REF!)</f>
        <v>#REF!</v>
      </c>
      <c r="D54" s="554">
        <v>6.7</v>
      </c>
      <c r="E54" s="558"/>
      <c r="F54" s="548">
        <f>'SEN invigilation'!AG62</f>
        <v>0</v>
      </c>
      <c r="G54" s="549"/>
      <c r="H54" s="559"/>
      <c r="I54" s="581"/>
      <c r="J54" s="581"/>
      <c r="K54" s="194" t="e">
        <f t="shared" ref="K54:K59" si="14">IF(J54&gt;$C$79*2/3,$C$79*1/3,$C$79-J54)</f>
        <v>#REF!</v>
      </c>
      <c r="L54" s="194" t="e">
        <f t="shared" si="1"/>
        <v>#REF!</v>
      </c>
      <c r="M54" s="582" t="e">
        <f t="shared" si="2"/>
        <v>#REF!</v>
      </c>
      <c r="N54" s="194" t="e">
        <f t="shared" si="3"/>
        <v>#REF!</v>
      </c>
      <c r="O54" s="583">
        <v>1.34175352136836</v>
      </c>
      <c r="P54" s="584" t="e">
        <f t="shared" si="4"/>
        <v>#REF!</v>
      </c>
      <c r="Q54" s="266" t="str">
        <f t="shared" si="12"/>
        <v>Cheung Siu Chung</v>
      </c>
      <c r="R54" s="592">
        <f t="shared" si="13"/>
        <v>205</v>
      </c>
      <c r="S54" s="103"/>
      <c r="T54" s="103"/>
      <c r="U54" s="103"/>
      <c r="V54" s="103"/>
      <c r="W54" s="103"/>
      <c r="X54" s="606"/>
      <c r="Y54" s="103"/>
      <c r="Z54" s="103"/>
      <c r="AA54" s="103"/>
      <c r="AB54" s="21"/>
      <c r="AC54" s="21"/>
      <c r="AD54" s="591"/>
      <c r="AE54" s="21"/>
      <c r="AF54" s="21"/>
      <c r="AG54" s="21"/>
      <c r="AH54" s="21"/>
      <c r="AI54" s="21"/>
      <c r="AJ54" s="21"/>
      <c r="AK54" s="21"/>
      <c r="AL54" s="21"/>
      <c r="AM54" s="21"/>
    </row>
    <row r="55" spans="1:39" ht="22.5" customHeight="1">
      <c r="A55" s="5" t="s">
        <v>526</v>
      </c>
      <c r="B55" s="406">
        <v>206</v>
      </c>
      <c r="C55" s="533" t="e">
        <f>SUMIF(#REF!,B55,#REF!)</f>
        <v>#REF!</v>
      </c>
      <c r="D55" s="534">
        <v>8</v>
      </c>
      <c r="E55" s="535"/>
      <c r="F55" s="536">
        <f>'SEN invigilation'!AG63</f>
        <v>0</v>
      </c>
      <c r="G55" s="537"/>
      <c r="H55" s="551"/>
      <c r="I55" s="574"/>
      <c r="J55" s="574"/>
      <c r="K55" s="180" t="e">
        <f t="shared" si="14"/>
        <v>#REF!</v>
      </c>
      <c r="L55" s="180" t="e">
        <f t="shared" si="1"/>
        <v>#REF!</v>
      </c>
      <c r="M55" s="575" t="e">
        <f t="shared" si="2"/>
        <v>#REF!</v>
      </c>
      <c r="N55" s="180" t="e">
        <f t="shared" si="3"/>
        <v>#REF!</v>
      </c>
      <c r="O55" s="576">
        <v>-1.74499951630232</v>
      </c>
      <c r="P55" s="577" t="e">
        <f t="shared" si="4"/>
        <v>#REF!</v>
      </c>
      <c r="Q55" s="241" t="str">
        <f t="shared" si="12"/>
        <v>Tong Fung Cheung</v>
      </c>
      <c r="R55" s="592">
        <f t="shared" si="13"/>
        <v>206</v>
      </c>
      <c r="S55" s="103"/>
      <c r="T55" s="103"/>
      <c r="U55" s="103"/>
      <c r="V55" s="103"/>
      <c r="W55" s="103"/>
      <c r="X55" s="606"/>
      <c r="Y55" s="103"/>
      <c r="Z55" s="103"/>
      <c r="AA55" s="103"/>
      <c r="AB55" s="21"/>
      <c r="AC55" s="21"/>
      <c r="AD55" s="591"/>
      <c r="AE55" s="21"/>
      <c r="AF55" s="21"/>
      <c r="AG55" s="21"/>
      <c r="AH55" s="21"/>
      <c r="AI55" s="21"/>
      <c r="AJ55" s="21"/>
      <c r="AK55" s="21"/>
      <c r="AL55" s="21"/>
      <c r="AM55" s="21"/>
    </row>
    <row r="56" spans="1:39" ht="22.5" customHeight="1">
      <c r="A56" s="8" t="s">
        <v>527</v>
      </c>
      <c r="B56" s="222">
        <v>207</v>
      </c>
      <c r="C56" s="545" t="e">
        <f>SUMIF(#REF!,B56,#REF!)</f>
        <v>#REF!</v>
      </c>
      <c r="D56" s="546"/>
      <c r="E56" s="566"/>
      <c r="F56" s="548">
        <f>'SEN invigilation'!AG64</f>
        <v>0</v>
      </c>
      <c r="G56" s="549"/>
      <c r="H56" s="559"/>
      <c r="I56" s="581"/>
      <c r="J56" s="581"/>
      <c r="K56" s="194" t="e">
        <f t="shared" si="14"/>
        <v>#REF!</v>
      </c>
      <c r="L56" s="194" t="e">
        <f t="shared" si="1"/>
        <v>#REF!</v>
      </c>
      <c r="M56" s="582" t="e">
        <f t="shared" si="2"/>
        <v>#REF!</v>
      </c>
      <c r="N56" s="194" t="e">
        <f t="shared" si="3"/>
        <v>#REF!</v>
      </c>
      <c r="O56" s="583">
        <v>-1.2751698214565801</v>
      </c>
      <c r="P56" s="584" t="e">
        <f t="shared" si="4"/>
        <v>#REF!</v>
      </c>
      <c r="Q56" s="266" t="str">
        <f t="shared" si="12"/>
        <v>Chan Sze Ting</v>
      </c>
      <c r="R56" s="592">
        <f t="shared" si="13"/>
        <v>207</v>
      </c>
      <c r="S56" s="103"/>
      <c r="T56" s="103"/>
      <c r="U56" s="103"/>
      <c r="V56" s="21"/>
      <c r="W56" s="103"/>
      <c r="X56" s="103"/>
      <c r="Y56" s="103"/>
      <c r="Z56" s="103"/>
      <c r="AA56" s="103"/>
      <c r="AB56" s="21"/>
      <c r="AC56" s="21"/>
      <c r="AD56" s="591"/>
      <c r="AE56" s="21"/>
      <c r="AF56" s="21"/>
      <c r="AG56" s="21"/>
      <c r="AH56" s="21"/>
      <c r="AI56" s="21"/>
      <c r="AJ56" s="21"/>
      <c r="AK56" s="21"/>
      <c r="AL56" s="21"/>
      <c r="AM56" s="21"/>
    </row>
    <row r="57" spans="1:39" ht="22.5" customHeight="1">
      <c r="A57" s="446"/>
      <c r="B57" s="447">
        <v>208</v>
      </c>
      <c r="C57" s="554" t="e">
        <f>SUMIF(#REF!,B57,#REF!)</f>
        <v>#REF!</v>
      </c>
      <c r="D57" s="554"/>
      <c r="E57" s="567"/>
      <c r="F57" s="542">
        <f>'SEN invigilation'!AG65</f>
        <v>0</v>
      </c>
      <c r="G57" s="543"/>
      <c r="H57" s="556">
        <v>4</v>
      </c>
      <c r="I57" s="103"/>
      <c r="J57" s="103"/>
      <c r="K57" s="187" t="e">
        <f t="shared" si="14"/>
        <v>#REF!</v>
      </c>
      <c r="L57" s="187" t="e">
        <f t="shared" si="1"/>
        <v>#REF!</v>
      </c>
      <c r="M57" s="578" t="e">
        <f t="shared" si="2"/>
        <v>#REF!</v>
      </c>
      <c r="N57" s="187" t="e">
        <f t="shared" si="3"/>
        <v>#REF!</v>
      </c>
      <c r="O57" s="579">
        <v>-1.0293808353043701</v>
      </c>
      <c r="P57" s="580" t="e">
        <f t="shared" si="4"/>
        <v>#REF!</v>
      </c>
      <c r="Q57" s="607">
        <f t="shared" si="12"/>
        <v>0</v>
      </c>
      <c r="R57" s="592">
        <f t="shared" si="13"/>
        <v>208</v>
      </c>
      <c r="S57" s="103"/>
      <c r="T57" s="103"/>
      <c r="U57" s="103"/>
      <c r="V57" s="21"/>
      <c r="W57" s="103"/>
      <c r="X57" s="103"/>
      <c r="Y57" s="103"/>
      <c r="Z57" s="103"/>
      <c r="AA57" s="103"/>
      <c r="AB57" s="21"/>
      <c r="AC57" s="21"/>
      <c r="AD57" s="591"/>
      <c r="AE57" s="21"/>
      <c r="AF57" s="21"/>
      <c r="AG57" s="21"/>
      <c r="AH57" s="21"/>
      <c r="AI57" s="21"/>
      <c r="AJ57" s="21"/>
      <c r="AK57" s="21"/>
      <c r="AL57" s="21"/>
      <c r="AM57" s="21"/>
    </row>
    <row r="58" spans="1:39" ht="22.5" customHeight="1">
      <c r="A58" s="446"/>
      <c r="B58" s="448">
        <v>209</v>
      </c>
      <c r="C58" s="568" t="e">
        <f>SUMIF(#REF!,B58,#REF!)</f>
        <v>#REF!</v>
      </c>
      <c r="D58" s="568"/>
      <c r="E58" s="567"/>
      <c r="F58" s="542">
        <f>'SEN invigilation'!AG66</f>
        <v>0</v>
      </c>
      <c r="G58" s="543"/>
      <c r="H58" s="556">
        <v>4</v>
      </c>
      <c r="I58" s="103"/>
      <c r="J58" s="103"/>
      <c r="K58" s="187" t="e">
        <f t="shared" si="14"/>
        <v>#REF!</v>
      </c>
      <c r="L58" s="187" t="e">
        <f t="shared" si="1"/>
        <v>#REF!</v>
      </c>
      <c r="M58" s="578" t="e">
        <f t="shared" si="2"/>
        <v>#REF!</v>
      </c>
      <c r="N58" s="187" t="e">
        <f t="shared" si="3"/>
        <v>#REF!</v>
      </c>
      <c r="O58" s="579">
        <v>2.6785040999881802</v>
      </c>
      <c r="P58" s="580" t="e">
        <f t="shared" si="4"/>
        <v>#REF!</v>
      </c>
      <c r="Q58" s="607">
        <f t="shared" si="12"/>
        <v>0</v>
      </c>
      <c r="R58" s="592">
        <f t="shared" si="13"/>
        <v>209</v>
      </c>
      <c r="S58" s="103"/>
      <c r="T58" s="103"/>
      <c r="U58" s="103"/>
      <c r="V58" s="21"/>
      <c r="W58" s="103"/>
      <c r="X58" s="591"/>
      <c r="Y58" s="103"/>
      <c r="Z58" s="103"/>
      <c r="AA58" s="103"/>
      <c r="AB58" s="21"/>
      <c r="AC58" s="21"/>
      <c r="AD58" s="591"/>
      <c r="AE58" s="21"/>
      <c r="AF58" s="21"/>
      <c r="AG58" s="21"/>
      <c r="AH58" s="21"/>
      <c r="AI58" s="21"/>
      <c r="AJ58" s="21"/>
      <c r="AK58" s="21"/>
      <c r="AL58" s="21"/>
      <c r="AM58" s="21"/>
    </row>
    <row r="59" spans="1:39" ht="22.5" customHeight="1">
      <c r="A59" s="449"/>
      <c r="B59" s="450">
        <v>210</v>
      </c>
      <c r="C59" s="557" t="e">
        <f>SUMIF(#REF!,B59,#REF!)</f>
        <v>#REF!</v>
      </c>
      <c r="D59" s="557"/>
      <c r="E59" s="569"/>
      <c r="F59" s="548">
        <f>'SEN invigilation'!AG67</f>
        <v>0</v>
      </c>
      <c r="G59" s="549"/>
      <c r="H59" s="559"/>
      <c r="I59" s="581"/>
      <c r="J59" s="581"/>
      <c r="K59" s="194" t="e">
        <f t="shared" si="14"/>
        <v>#REF!</v>
      </c>
      <c r="L59" s="194" t="e">
        <f t="shared" si="1"/>
        <v>#REF!</v>
      </c>
      <c r="M59" s="582" t="e">
        <f t="shared" si="2"/>
        <v>#REF!</v>
      </c>
      <c r="N59" s="194" t="e">
        <f t="shared" si="3"/>
        <v>#REF!</v>
      </c>
      <c r="O59" s="583">
        <v>-3.1620617326416198</v>
      </c>
      <c r="P59" s="584" t="e">
        <f t="shared" si="4"/>
        <v>#REF!</v>
      </c>
      <c r="Q59" s="608">
        <f t="shared" si="12"/>
        <v>0</v>
      </c>
      <c r="R59" s="592">
        <f t="shared" si="13"/>
        <v>210</v>
      </c>
      <c r="S59" s="103"/>
      <c r="T59" s="103"/>
      <c r="U59" s="103"/>
      <c r="V59" s="21"/>
      <c r="W59" s="103"/>
      <c r="X59" s="591"/>
      <c r="Y59" s="103"/>
      <c r="Z59" s="103"/>
      <c r="AA59" s="103"/>
      <c r="AB59" s="21"/>
      <c r="AC59" s="21"/>
      <c r="AD59" s="591"/>
      <c r="AE59" s="21"/>
      <c r="AF59" s="21"/>
      <c r="AG59" s="21"/>
      <c r="AH59" s="21"/>
      <c r="AI59" s="21"/>
      <c r="AJ59" s="21"/>
      <c r="AK59" s="21"/>
      <c r="AL59" s="21"/>
      <c r="AM59" s="21"/>
    </row>
    <row r="60" spans="1:39" ht="22.5" customHeight="1">
      <c r="A60" s="1" t="s">
        <v>528</v>
      </c>
      <c r="B60" s="241">
        <v>211</v>
      </c>
      <c r="C60" s="540" t="e">
        <f>SUMIF(#REF!,B60,#REF!)</f>
        <v>#REF!</v>
      </c>
      <c r="D60" s="540"/>
      <c r="E60" s="553"/>
      <c r="F60" s="536">
        <f>'SEN invigilation'!AG68</f>
        <v>0</v>
      </c>
      <c r="G60" s="537"/>
      <c r="H60" s="551"/>
      <c r="I60" s="574"/>
      <c r="J60" s="574"/>
      <c r="K60" s="586">
        <v>0</v>
      </c>
      <c r="L60" s="180" t="e">
        <f t="shared" si="1"/>
        <v>#REF!</v>
      </c>
      <c r="M60" s="575" t="e">
        <f t="shared" si="2"/>
        <v>#REF!</v>
      </c>
      <c r="N60" s="180" t="e">
        <f t="shared" si="3"/>
        <v>#REF!</v>
      </c>
      <c r="O60" s="923" t="s">
        <v>146</v>
      </c>
      <c r="P60" s="924" t="s">
        <v>146</v>
      </c>
      <c r="Q60" s="241" t="str">
        <f t="shared" si="12"/>
        <v>Cheng Pak Kiu</v>
      </c>
      <c r="R60" s="592">
        <f t="shared" si="13"/>
        <v>211</v>
      </c>
      <c r="S60" s="103"/>
      <c r="T60" s="103"/>
      <c r="U60" s="103"/>
      <c r="V60" s="21"/>
      <c r="W60" s="103"/>
      <c r="X60" s="591"/>
      <c r="Y60" s="103"/>
      <c r="Z60" s="103"/>
      <c r="AA60" s="103"/>
      <c r="AB60" s="21"/>
      <c r="AC60" s="21"/>
      <c r="AD60" s="591"/>
      <c r="AE60" s="21"/>
      <c r="AF60" s="21"/>
      <c r="AG60" s="21"/>
      <c r="AH60" s="21"/>
      <c r="AI60" s="21"/>
      <c r="AJ60" s="21"/>
      <c r="AK60" s="21"/>
      <c r="AL60" s="21"/>
      <c r="AM60" s="21"/>
    </row>
    <row r="61" spans="1:39" ht="22.5" customHeight="1">
      <c r="A61" s="1" t="s">
        <v>529</v>
      </c>
      <c r="B61" s="245">
        <v>212</v>
      </c>
      <c r="C61" s="540" t="e">
        <f>SUMIF(#REF!,B61,#REF!)</f>
        <v>#REF!</v>
      </c>
      <c r="D61" s="540"/>
      <c r="E61" s="555"/>
      <c r="F61" s="542">
        <f>'SEN invigilation'!AG69</f>
        <v>0</v>
      </c>
      <c r="G61" s="543"/>
      <c r="H61" s="556">
        <v>4</v>
      </c>
      <c r="I61" s="103"/>
      <c r="J61" s="103">
        <v>3</v>
      </c>
      <c r="K61" s="588">
        <v>0</v>
      </c>
      <c r="L61" s="187" t="e">
        <f t="shared" si="1"/>
        <v>#REF!</v>
      </c>
      <c r="M61" s="578" t="e">
        <f t="shared" si="2"/>
        <v>#REF!</v>
      </c>
      <c r="N61" s="187" t="e">
        <f t="shared" si="3"/>
        <v>#REF!</v>
      </c>
      <c r="O61" s="579" t="s">
        <v>146</v>
      </c>
      <c r="P61" s="924" t="s">
        <v>146</v>
      </c>
      <c r="Q61" s="245" t="str">
        <f t="shared" si="12"/>
        <v>Chung Lai Kwok</v>
      </c>
      <c r="R61" s="592">
        <f t="shared" si="13"/>
        <v>212</v>
      </c>
      <c r="S61" s="103"/>
      <c r="T61" s="103"/>
      <c r="U61" s="103"/>
      <c r="V61" s="21"/>
      <c r="W61" s="103"/>
      <c r="X61" s="591"/>
      <c r="Y61" s="103"/>
      <c r="Z61" s="103"/>
      <c r="AA61" s="103"/>
      <c r="AB61" s="21"/>
      <c r="AC61" s="21"/>
      <c r="AD61" s="591"/>
      <c r="AE61" s="21"/>
      <c r="AF61" s="21"/>
      <c r="AG61" s="21"/>
      <c r="AH61" s="21"/>
      <c r="AI61" s="21"/>
      <c r="AJ61" s="21"/>
      <c r="AK61" s="21"/>
      <c r="AL61" s="21"/>
      <c r="AM61" s="21"/>
    </row>
    <row r="62" spans="1:39" ht="22.5" customHeight="1">
      <c r="A62" s="476" t="s">
        <v>530</v>
      </c>
      <c r="B62" s="266">
        <v>213</v>
      </c>
      <c r="C62" s="540" t="e">
        <f>SUMIF(#REF!,B62,#REF!)</f>
        <v>#REF!</v>
      </c>
      <c r="D62" s="540"/>
      <c r="E62" s="558"/>
      <c r="F62" s="548">
        <f>'SEN invigilation'!AG70</f>
        <v>10.083333333333332</v>
      </c>
      <c r="G62" s="549"/>
      <c r="H62" s="559"/>
      <c r="I62" s="581"/>
      <c r="J62" s="581">
        <v>3</v>
      </c>
      <c r="K62" s="589"/>
      <c r="L62" s="194"/>
      <c r="M62" s="582" t="e">
        <f t="shared" si="2"/>
        <v>#REF!</v>
      </c>
      <c r="N62" s="194" t="e">
        <f t="shared" si="3"/>
        <v>#REF!</v>
      </c>
      <c r="O62" s="583"/>
      <c r="P62" s="587"/>
      <c r="Q62" s="266" t="str">
        <f t="shared" si="12"/>
        <v>Lam Chi Kin</v>
      </c>
      <c r="R62" s="592">
        <f t="shared" si="13"/>
        <v>213</v>
      </c>
      <c r="S62" s="103"/>
      <c r="T62" s="103"/>
      <c r="U62" s="103"/>
      <c r="V62" s="21"/>
      <c r="W62" s="103"/>
      <c r="X62" s="591"/>
      <c r="Y62" s="103"/>
      <c r="Z62" s="103"/>
      <c r="AA62" s="103"/>
      <c r="AB62" s="21"/>
      <c r="AC62" s="21"/>
      <c r="AD62" s="591"/>
      <c r="AE62" s="21"/>
      <c r="AF62" s="21"/>
      <c r="AG62" s="21"/>
      <c r="AH62" s="21"/>
      <c r="AI62" s="21"/>
      <c r="AJ62" s="21"/>
      <c r="AK62" s="21"/>
      <c r="AL62" s="21"/>
      <c r="AM62" s="21"/>
    </row>
    <row r="63" spans="1:39" ht="22.5" customHeight="1">
      <c r="A63" s="1" t="s">
        <v>531</v>
      </c>
      <c r="B63" s="406">
        <v>214</v>
      </c>
      <c r="C63" s="552" t="e">
        <f>SUMIF(#REF!,B63,#REF!)</f>
        <v>#REF!</v>
      </c>
      <c r="D63" s="552"/>
      <c r="E63" s="553"/>
      <c r="F63" s="536">
        <f>'SEN invigilation'!AG71</f>
        <v>0</v>
      </c>
      <c r="G63" s="537"/>
      <c r="H63" s="551"/>
      <c r="I63" s="574"/>
      <c r="J63" s="103">
        <v>7</v>
      </c>
      <c r="K63" s="180" t="e">
        <f>$C$79*1.5</f>
        <v>#REF!</v>
      </c>
      <c r="L63" s="180" t="e">
        <f t="shared" ref="L63:L71" si="15">SUM(C63:I63)</f>
        <v>#REF!</v>
      </c>
      <c r="M63" s="575" t="e">
        <f t="shared" si="2"/>
        <v>#REF!</v>
      </c>
      <c r="N63" s="180" t="e">
        <f t="shared" si="3"/>
        <v>#REF!</v>
      </c>
      <c r="O63" s="576"/>
      <c r="P63" s="925" t="s">
        <v>146</v>
      </c>
      <c r="Q63" s="241" t="str">
        <f t="shared" si="12"/>
        <v>Chan Kwan Ho</v>
      </c>
      <c r="R63" s="592">
        <f t="shared" si="13"/>
        <v>214</v>
      </c>
      <c r="S63" s="103"/>
      <c r="T63" s="103"/>
      <c r="U63" s="103"/>
      <c r="V63" s="21"/>
      <c r="W63" s="103"/>
      <c r="X63" s="591"/>
      <c r="Y63" s="103"/>
      <c r="Z63" s="103"/>
      <c r="AA63" s="10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</row>
    <row r="64" spans="1:39" ht="22.5" customHeight="1">
      <c r="A64" s="1" t="s">
        <v>532</v>
      </c>
      <c r="B64" s="220">
        <v>20</v>
      </c>
      <c r="C64" s="554" t="e">
        <f>SUMIF(#REF!,B64,#REF!)</f>
        <v>#REF!</v>
      </c>
      <c r="D64" s="554">
        <v>6.7</v>
      </c>
      <c r="E64" s="555"/>
      <c r="F64" s="542">
        <f>'SEN invigilation'!AG72</f>
        <v>0</v>
      </c>
      <c r="G64" s="543"/>
      <c r="H64" s="544"/>
      <c r="I64" s="103"/>
      <c r="J64" s="103"/>
      <c r="K64" s="187" t="e">
        <f>$C$79*1.5</f>
        <v>#REF!</v>
      </c>
      <c r="L64" s="187" t="e">
        <f t="shared" si="15"/>
        <v>#REF!</v>
      </c>
      <c r="M64" s="578" t="e">
        <f t="shared" si="2"/>
        <v>#REF!</v>
      </c>
      <c r="N64" s="187" t="e">
        <f t="shared" si="3"/>
        <v>#REF!</v>
      </c>
      <c r="O64" s="579"/>
      <c r="P64" s="926" t="s">
        <v>146</v>
      </c>
      <c r="Q64" s="245" t="str">
        <f t="shared" si="12"/>
        <v>Leung Wai Tat</v>
      </c>
      <c r="R64" s="592">
        <f t="shared" si="13"/>
        <v>20</v>
      </c>
      <c r="S64" s="103"/>
      <c r="T64" s="103"/>
      <c r="U64" s="103"/>
      <c r="V64" s="21"/>
      <c r="W64" s="103"/>
      <c r="X64" s="591"/>
      <c r="Y64" s="103"/>
      <c r="Z64" s="103"/>
      <c r="AA64" s="103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</row>
    <row r="65" spans="1:39" ht="22.5" customHeight="1">
      <c r="A65" s="1" t="s">
        <v>533</v>
      </c>
      <c r="B65" s="220">
        <v>76</v>
      </c>
      <c r="C65" s="554" t="e">
        <f>SUMIF(#REF!,B65,#REF!)</f>
        <v>#REF!</v>
      </c>
      <c r="D65" s="554">
        <v>5.3</v>
      </c>
      <c r="E65" s="555"/>
      <c r="F65" s="542">
        <f>'SEN invigilation'!AG73</f>
        <v>0</v>
      </c>
      <c r="G65" s="543"/>
      <c r="H65" s="544"/>
      <c r="I65" s="103"/>
      <c r="J65" s="103">
        <v>7</v>
      </c>
      <c r="K65" s="187" t="e">
        <f>$C$79*1.5</f>
        <v>#REF!</v>
      </c>
      <c r="L65" s="187" t="e">
        <f t="shared" si="15"/>
        <v>#REF!</v>
      </c>
      <c r="M65" s="578" t="e">
        <f t="shared" si="2"/>
        <v>#REF!</v>
      </c>
      <c r="N65" s="187" t="e">
        <f t="shared" si="3"/>
        <v>#REF!</v>
      </c>
      <c r="O65" s="579"/>
      <c r="P65" s="926" t="s">
        <v>146</v>
      </c>
      <c r="Q65" s="245" t="str">
        <f t="shared" si="12"/>
        <v>Wai Wai Yeung(V.P.)</v>
      </c>
      <c r="R65" s="592">
        <f t="shared" si="13"/>
        <v>76</v>
      </c>
      <c r="S65" s="103"/>
      <c r="T65" s="103"/>
      <c r="U65" s="103"/>
      <c r="V65" s="21"/>
      <c r="W65" s="103"/>
      <c r="X65" s="591"/>
      <c r="Y65" s="103"/>
      <c r="Z65" s="103"/>
      <c r="AA65" s="103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</row>
    <row r="66" spans="1:39" ht="22.5" customHeight="1">
      <c r="A66" s="1" t="s">
        <v>534</v>
      </c>
      <c r="B66" s="222">
        <v>117</v>
      </c>
      <c r="C66" s="557" t="e">
        <f>SUMIF(#REF!,B66,#REF!)</f>
        <v>#REF!</v>
      </c>
      <c r="D66" s="557">
        <v>6.7</v>
      </c>
      <c r="E66" s="558"/>
      <c r="F66" s="548">
        <f>'SEN invigilation'!AG74</f>
        <v>0</v>
      </c>
      <c r="G66" s="549"/>
      <c r="H66" s="559"/>
      <c r="I66" s="581"/>
      <c r="J66" s="581"/>
      <c r="K66" s="194" t="e">
        <f>$C$79*1.5*2/3</f>
        <v>#REF!</v>
      </c>
      <c r="L66" s="194" t="e">
        <f t="shared" si="15"/>
        <v>#REF!</v>
      </c>
      <c r="M66" s="582" t="e">
        <f t="shared" si="2"/>
        <v>#REF!</v>
      </c>
      <c r="N66" s="194" t="e">
        <f t="shared" si="3"/>
        <v>#REF!</v>
      </c>
      <c r="O66" s="583"/>
      <c r="P66" s="911" t="s">
        <v>146</v>
      </c>
      <c r="Q66" s="266" t="str">
        <f t="shared" si="12"/>
        <v>Lam Wing Chor</v>
      </c>
      <c r="R66" s="592">
        <f t="shared" si="13"/>
        <v>117</v>
      </c>
      <c r="S66" s="103"/>
      <c r="T66" s="103"/>
      <c r="U66" s="103"/>
      <c r="V66" s="21"/>
      <c r="W66" s="103"/>
      <c r="X66" s="591"/>
      <c r="Y66" s="103"/>
      <c r="Z66" s="103"/>
      <c r="AA66" s="103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</row>
    <row r="67" spans="1:39" ht="22.5" customHeight="1">
      <c r="A67" s="21"/>
      <c r="B67" s="239" t="s">
        <v>147</v>
      </c>
      <c r="C67" s="620" t="e">
        <f>SUMIF(#REF!,B67,#REF!)</f>
        <v>#REF!</v>
      </c>
      <c r="D67" s="621"/>
      <c r="E67" s="622"/>
      <c r="F67" s="623">
        <f>'SEN invigilation'!AG75</f>
        <v>0</v>
      </c>
      <c r="G67" s="624"/>
      <c r="H67" s="625"/>
      <c r="I67" s="228"/>
      <c r="J67" s="228"/>
      <c r="K67" s="629" t="e">
        <f>$C$79*1.5</f>
        <v>#REF!</v>
      </c>
      <c r="L67" s="629" t="e">
        <f t="shared" si="15"/>
        <v>#REF!</v>
      </c>
      <c r="M67" s="630" t="e">
        <f t="shared" si="2"/>
        <v>#REF!</v>
      </c>
      <c r="N67" s="629" t="e">
        <f t="shared" si="3"/>
        <v>#REF!</v>
      </c>
      <c r="O67" s="631"/>
      <c r="P67" s="632" t="e">
        <f>L67-K67</f>
        <v>#REF!</v>
      </c>
      <c r="Q67" s="252">
        <f t="shared" ref="Q67:Q77" si="16">A67</f>
        <v>0</v>
      </c>
      <c r="R67" s="592" t="str">
        <f t="shared" ref="R67:R77" si="17">B67</f>
        <v>TAP</v>
      </c>
      <c r="S67" s="103"/>
      <c r="T67" s="103"/>
      <c r="U67" s="103"/>
      <c r="V67" s="21"/>
      <c r="W67" s="103"/>
      <c r="X67" s="591"/>
      <c r="Y67" s="103"/>
      <c r="Z67" s="103"/>
      <c r="AA67" s="103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</row>
    <row r="68" spans="1:39" ht="22.5" customHeight="1">
      <c r="A68" s="21"/>
      <c r="B68" s="452"/>
      <c r="C68" s="554" t="e">
        <f>SUMIF(#REF!,B68,#REF!)</f>
        <v>#REF!</v>
      </c>
      <c r="D68" s="554"/>
      <c r="E68" s="555"/>
      <c r="F68" s="542">
        <f>'SEN invigilation'!AG76</f>
        <v>0</v>
      </c>
      <c r="G68" s="543"/>
      <c r="H68" s="103"/>
      <c r="I68" s="103"/>
      <c r="J68" s="103"/>
      <c r="K68" s="187" t="e">
        <f>IF(J68&gt;$C$79*2/3,$C$79*1/3,$C$79-J68)</f>
        <v>#REF!</v>
      </c>
      <c r="L68" s="187" t="e">
        <f t="shared" si="15"/>
        <v>#REF!</v>
      </c>
      <c r="M68" s="578" t="e">
        <f t="shared" si="2"/>
        <v>#REF!</v>
      </c>
      <c r="N68" s="187" t="e">
        <f t="shared" si="3"/>
        <v>#REF!</v>
      </c>
      <c r="O68" s="633">
        <v>3.16551236236461</v>
      </c>
      <c r="P68" s="580" t="e">
        <f>L68-K68+O68</f>
        <v>#REF!</v>
      </c>
      <c r="Q68" s="637">
        <f t="shared" si="16"/>
        <v>0</v>
      </c>
      <c r="R68" s="592">
        <f t="shared" si="17"/>
        <v>0</v>
      </c>
      <c r="S68" s="103"/>
      <c r="T68" s="103"/>
      <c r="U68" s="103"/>
      <c r="V68" s="21"/>
      <c r="W68" s="103"/>
      <c r="X68" s="591"/>
      <c r="Y68" s="103"/>
      <c r="Z68" s="103"/>
      <c r="AA68" s="103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</row>
    <row r="69" spans="1:39" ht="22.5" customHeight="1">
      <c r="A69" s="21"/>
      <c r="B69" s="245" t="s">
        <v>148</v>
      </c>
      <c r="C69" s="540" t="e">
        <f>SUMIF(#REF!,B69,#REF!)</f>
        <v>#REF!</v>
      </c>
      <c r="D69" s="540"/>
      <c r="E69" s="555"/>
      <c r="F69" s="542">
        <f>'SEN invigilation'!AG77</f>
        <v>0</v>
      </c>
      <c r="G69" s="543"/>
      <c r="H69" s="103"/>
      <c r="I69" s="103"/>
      <c r="J69" s="103"/>
      <c r="K69" s="187" t="e">
        <f>IF(J69&gt;$C$79*2/3,$C$79*1/3,$C$79*1.5-J69)</f>
        <v>#REF!</v>
      </c>
      <c r="L69" s="187" t="e">
        <f t="shared" si="15"/>
        <v>#REF!</v>
      </c>
      <c r="M69" s="578" t="e">
        <f t="shared" si="2"/>
        <v>#REF!</v>
      </c>
      <c r="N69" s="187" t="e">
        <f t="shared" si="3"/>
        <v>#REF!</v>
      </c>
      <c r="O69" s="633"/>
      <c r="P69" s="580" t="e">
        <f>L69-K69</f>
        <v>#REF!</v>
      </c>
      <c r="Q69" s="638">
        <f t="shared" si="16"/>
        <v>0</v>
      </c>
      <c r="R69" s="592" t="str">
        <f t="shared" si="17"/>
        <v>IEC3</v>
      </c>
      <c r="S69" s="103"/>
      <c r="T69" s="103"/>
      <c r="U69" s="103"/>
      <c r="V69" s="21"/>
      <c r="W69" s="103"/>
      <c r="X69" s="591"/>
      <c r="Y69" s="103"/>
      <c r="Z69" s="103"/>
      <c r="AA69" s="103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</row>
    <row r="70" spans="1:39" ht="22.5" customHeight="1">
      <c r="A70" s="21"/>
      <c r="B70" s="245" t="s">
        <v>50</v>
      </c>
      <c r="C70" s="540" t="e">
        <f>SUMIF(#REF!,B70,#REF!)</f>
        <v>#REF!</v>
      </c>
      <c r="D70" s="540"/>
      <c r="E70" s="555"/>
      <c r="F70" s="542">
        <f>'SEN invigilation'!AG78</f>
        <v>0</v>
      </c>
      <c r="G70" s="543"/>
      <c r="H70" s="103"/>
      <c r="I70" s="103"/>
      <c r="J70" s="103"/>
      <c r="K70" s="187" t="e">
        <f>IF(J70&gt;$C$79*2/3,$C$79*1/3,$C$79*1.5-J70)</f>
        <v>#REF!</v>
      </c>
      <c r="L70" s="187" t="e">
        <f t="shared" si="15"/>
        <v>#REF!</v>
      </c>
      <c r="M70" s="578" t="e">
        <f t="shared" si="2"/>
        <v>#REF!</v>
      </c>
      <c r="N70" s="187" t="e">
        <f t="shared" si="3"/>
        <v>#REF!</v>
      </c>
      <c r="O70" s="633"/>
      <c r="P70" s="580" t="e">
        <f>L70-K70</f>
        <v>#REF!</v>
      </c>
      <c r="Q70" s="638">
        <f t="shared" si="16"/>
        <v>0</v>
      </c>
      <c r="R70" s="592" t="str">
        <f t="shared" si="17"/>
        <v>IES2</v>
      </c>
      <c r="S70" s="103"/>
      <c r="T70" s="103"/>
      <c r="U70" s="103"/>
      <c r="V70" s="21"/>
      <c r="W70" s="103"/>
      <c r="X70" s="591"/>
      <c r="Y70" s="103"/>
      <c r="Z70" s="103"/>
      <c r="AA70" s="103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</row>
    <row r="71" spans="1:39" ht="22.5" customHeight="1">
      <c r="A71" s="21"/>
      <c r="B71" s="245" t="s">
        <v>149</v>
      </c>
      <c r="C71" s="540" t="e">
        <f>SUMIF(#REF!,B71,#REF!)</f>
        <v>#REF!</v>
      </c>
      <c r="D71" s="540"/>
      <c r="E71" s="555"/>
      <c r="F71" s="542">
        <f>'SEN invigilation'!AG79</f>
        <v>0</v>
      </c>
      <c r="G71" s="543"/>
      <c r="H71" s="103"/>
      <c r="I71" s="103"/>
      <c r="J71" s="103"/>
      <c r="K71" s="187" t="e">
        <f>IF(J71&gt;$C$79*2/3,$C$79*1/3,$C$79*1.5*1/2-J71)</f>
        <v>#REF!</v>
      </c>
      <c r="L71" s="187" t="e">
        <f t="shared" si="15"/>
        <v>#REF!</v>
      </c>
      <c r="M71" s="578" t="e">
        <f t="shared" si="2"/>
        <v>#REF!</v>
      </c>
      <c r="N71" s="187" t="e">
        <f t="shared" si="3"/>
        <v>#REF!</v>
      </c>
      <c r="O71" s="633"/>
      <c r="P71" s="580" t="e">
        <f>L71-K71</f>
        <v>#REF!</v>
      </c>
      <c r="Q71" s="638">
        <f t="shared" si="16"/>
        <v>0</v>
      </c>
      <c r="R71" s="592" t="str">
        <f t="shared" si="17"/>
        <v>PTC</v>
      </c>
      <c r="S71" s="103"/>
      <c r="T71" s="103"/>
      <c r="U71" s="103"/>
      <c r="V71" s="21"/>
      <c r="W71" s="103"/>
      <c r="X71" s="591"/>
      <c r="Y71" s="103"/>
      <c r="Z71" s="103"/>
      <c r="AA71" s="103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</row>
    <row r="72" spans="1:39" ht="22.5" customHeight="1">
      <c r="A72" s="21"/>
      <c r="B72" s="266"/>
      <c r="C72" s="546" t="e">
        <f>SUMIF(#REF!,B72,#REF!)</f>
        <v>#REF!</v>
      </c>
      <c r="D72" s="546"/>
      <c r="E72" s="558"/>
      <c r="F72" s="548"/>
      <c r="G72" s="549"/>
      <c r="H72" s="581"/>
      <c r="I72" s="581"/>
      <c r="J72" s="581"/>
      <c r="K72" s="194"/>
      <c r="L72" s="194"/>
      <c r="M72" s="582"/>
      <c r="N72" s="194"/>
      <c r="O72" s="634"/>
      <c r="P72" s="584"/>
      <c r="Q72" s="639">
        <f t="shared" si="16"/>
        <v>0</v>
      </c>
      <c r="R72" s="592">
        <f t="shared" si="17"/>
        <v>0</v>
      </c>
      <c r="S72" s="103"/>
      <c r="T72" s="103"/>
      <c r="U72" s="103"/>
      <c r="V72" s="21"/>
      <c r="W72" s="103"/>
      <c r="X72" s="591"/>
      <c r="Y72" s="103"/>
      <c r="Z72" s="103"/>
      <c r="AA72" s="103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</row>
    <row r="73" spans="1:39" ht="22.5" customHeight="1">
      <c r="A73" s="21"/>
      <c r="B73" s="406"/>
      <c r="C73" s="533" t="e">
        <f>SUMIF(#REF!,B73,#REF!)</f>
        <v>#REF!</v>
      </c>
      <c r="D73" s="540"/>
      <c r="E73" s="616"/>
      <c r="F73" s="542"/>
      <c r="G73" s="543"/>
      <c r="H73" s="103"/>
      <c r="I73" s="103"/>
      <c r="J73" s="103"/>
      <c r="K73" s="187" t="e">
        <f>IF(J73&gt;$C$79*2/3,$C$79*1/3,$C$79*1.5-J73)</f>
        <v>#REF!</v>
      </c>
      <c r="L73" s="187" t="e">
        <f>SUM(C73:I73)</f>
        <v>#REF!</v>
      </c>
      <c r="M73" s="578"/>
      <c r="N73" s="187"/>
      <c r="O73" s="633"/>
      <c r="P73" s="231"/>
      <c r="Q73" s="640">
        <f t="shared" si="16"/>
        <v>0</v>
      </c>
      <c r="R73" s="592">
        <f t="shared" si="17"/>
        <v>0</v>
      </c>
      <c r="S73" s="103"/>
      <c r="T73" s="103"/>
      <c r="U73" s="103"/>
      <c r="V73" s="21"/>
      <c r="W73" s="103"/>
      <c r="X73" s="591"/>
      <c r="Y73" s="103"/>
      <c r="Z73" s="103"/>
      <c r="AA73" s="103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</row>
    <row r="74" spans="1:39" ht="22.5" customHeight="1">
      <c r="A74" s="21"/>
      <c r="B74" s="220"/>
      <c r="C74" s="539" t="e">
        <f>SUMIF(#REF!,B74,#REF!)</f>
        <v>#REF!</v>
      </c>
      <c r="D74" s="540"/>
      <c r="E74" s="616"/>
      <c r="F74" s="542"/>
      <c r="G74" s="543"/>
      <c r="H74" s="103"/>
      <c r="I74" s="103"/>
      <c r="J74" s="103"/>
      <c r="K74" s="187" t="e">
        <f>IF(J74&gt;$C$79*2/3,$C$79*1/3,$C$79*1.5-J74)</f>
        <v>#REF!</v>
      </c>
      <c r="L74" s="187" t="e">
        <f>SUM(C74:I74)</f>
        <v>#REF!</v>
      </c>
      <c r="M74" s="578"/>
      <c r="N74" s="187"/>
      <c r="O74" s="633"/>
      <c r="P74" s="231"/>
      <c r="Q74" s="637">
        <f t="shared" si="16"/>
        <v>0</v>
      </c>
      <c r="R74" s="592">
        <f t="shared" si="17"/>
        <v>0</v>
      </c>
      <c r="S74" s="103"/>
      <c r="T74" s="103"/>
      <c r="U74" s="103"/>
      <c r="V74" s="21"/>
      <c r="W74" s="103"/>
      <c r="X74" s="103"/>
      <c r="Y74" s="103"/>
      <c r="Z74" s="103"/>
      <c r="AA74" s="103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</row>
    <row r="75" spans="1:39" ht="22.5" customHeight="1">
      <c r="A75" s="21"/>
      <c r="B75" s="220"/>
      <c r="C75" s="539" t="e">
        <f>SUMIF(#REF!,B75,#REF!)</f>
        <v>#REF!</v>
      </c>
      <c r="D75" s="540"/>
      <c r="E75" s="616"/>
      <c r="F75" s="542"/>
      <c r="G75" s="543"/>
      <c r="H75" s="103"/>
      <c r="I75" s="103"/>
      <c r="J75" s="103"/>
      <c r="K75" s="187" t="e">
        <f>IF(J75&gt;$C$79*2/3,$C$79*1/3,$C$79*1.5-J75)</f>
        <v>#REF!</v>
      </c>
      <c r="L75" s="187" t="e">
        <f>SUM(C75:I75)</f>
        <v>#REF!</v>
      </c>
      <c r="M75" s="578"/>
      <c r="N75" s="187"/>
      <c r="O75" s="633"/>
      <c r="P75" s="231"/>
      <c r="Q75" s="637">
        <f t="shared" si="16"/>
        <v>0</v>
      </c>
      <c r="R75" s="592">
        <f t="shared" si="17"/>
        <v>0</v>
      </c>
      <c r="S75" s="103"/>
      <c r="T75" s="103"/>
      <c r="U75" s="103"/>
      <c r="V75" s="21"/>
      <c r="W75" s="103"/>
      <c r="X75" s="103"/>
      <c r="Y75" s="103"/>
      <c r="Z75" s="103"/>
      <c r="AA75" s="103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</row>
    <row r="76" spans="1:39" ht="22.5" customHeight="1">
      <c r="A76" s="21"/>
      <c r="B76" s="220"/>
      <c r="C76" s="539" t="e">
        <f>SUMIF(#REF!,B76,#REF!)</f>
        <v>#REF!</v>
      </c>
      <c r="D76" s="540"/>
      <c r="E76" s="616"/>
      <c r="F76" s="542"/>
      <c r="G76" s="543"/>
      <c r="H76" s="103"/>
      <c r="I76" s="103"/>
      <c r="J76" s="103"/>
      <c r="K76" s="187"/>
      <c r="L76" s="187"/>
      <c r="M76" s="578"/>
      <c r="N76" s="187"/>
      <c r="O76" s="633"/>
      <c r="P76" s="231"/>
      <c r="Q76" s="637">
        <f t="shared" si="16"/>
        <v>0</v>
      </c>
      <c r="R76" s="592">
        <f t="shared" si="17"/>
        <v>0</v>
      </c>
      <c r="S76" s="103"/>
      <c r="T76" s="103"/>
      <c r="U76" s="103"/>
      <c r="V76" s="21"/>
      <c r="W76" s="103"/>
      <c r="X76" s="103"/>
      <c r="Y76" s="103"/>
      <c r="Z76" s="103"/>
      <c r="AA76" s="103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</row>
    <row r="77" spans="1:39" ht="22.5" customHeight="1">
      <c r="A77" s="21"/>
      <c r="B77" s="222"/>
      <c r="C77" s="545" t="e">
        <f>SUMIF(#REF!,B77,#REF!)</f>
        <v>#REF!</v>
      </c>
      <c r="D77" s="546"/>
      <c r="E77" s="566"/>
      <c r="F77" s="548"/>
      <c r="G77" s="549"/>
      <c r="H77" s="581"/>
      <c r="I77" s="581"/>
      <c r="J77" s="581"/>
      <c r="K77" s="194"/>
      <c r="L77" s="194"/>
      <c r="M77" s="582"/>
      <c r="N77" s="194"/>
      <c r="O77" s="634"/>
      <c r="P77" s="232"/>
      <c r="Q77" s="639">
        <f t="shared" si="16"/>
        <v>0</v>
      </c>
      <c r="R77" s="592">
        <f t="shared" si="17"/>
        <v>0</v>
      </c>
      <c r="S77" s="103"/>
      <c r="T77" s="103"/>
      <c r="U77" s="103"/>
      <c r="V77" s="21"/>
      <c r="W77" s="103"/>
      <c r="X77" s="103"/>
      <c r="Y77" s="103"/>
      <c r="Z77" s="103"/>
      <c r="AA77" s="103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</row>
    <row r="78" spans="1:39" ht="22.5" customHeight="1">
      <c r="A78" s="21"/>
      <c r="B78" s="225"/>
      <c r="C78" s="626"/>
      <c r="D78" s="626">
        <f>SUM(D3:D77)</f>
        <v>278.89999999999992</v>
      </c>
      <c r="E78" s="103"/>
      <c r="F78" s="626">
        <f>SUM(F3:F77)</f>
        <v>84.8</v>
      </c>
      <c r="G78" s="626">
        <f>SUM(G3:G77)</f>
        <v>16</v>
      </c>
      <c r="H78" s="626">
        <f>SUM(H3:H77)</f>
        <v>44</v>
      </c>
      <c r="I78" s="626"/>
      <c r="J78" s="626">
        <f>SUM(J3:J77)</f>
        <v>121</v>
      </c>
      <c r="K78" s="103"/>
      <c r="L78" s="103"/>
      <c r="M78" s="103"/>
      <c r="N78" s="103"/>
      <c r="O78" s="635"/>
      <c r="P78" s="103"/>
      <c r="Q78" s="1"/>
      <c r="R78" s="592"/>
      <c r="S78" s="103"/>
      <c r="T78" s="103"/>
      <c r="U78" s="103"/>
      <c r="V78" s="103"/>
      <c r="W78" s="103"/>
      <c r="X78" s="103"/>
      <c r="Y78" s="103"/>
      <c r="Z78" s="103"/>
      <c r="AA78" s="103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</row>
    <row r="79" spans="1:39" ht="22.5" customHeight="1">
      <c r="A79" s="21"/>
      <c r="B79" s="239"/>
      <c r="C79" s="627" t="e">
        <f>AVERAGE(L3,L5,L6,L7,L8,L10,L12,L15,L16,L18,L19,L21,L23,L24,L25,L28,L29,#REF!,L30,L34,L35,L36,L37,L38,L40,L42,L43,L45,L48,L49,L50,L51,L52,L56,L58)</f>
        <v>#REF!</v>
      </c>
      <c r="D79" s="627"/>
      <c r="E79" s="628" t="s">
        <v>154</v>
      </c>
      <c r="F79" s="228"/>
      <c r="G79" s="228"/>
      <c r="H79" s="228"/>
      <c r="I79" s="228"/>
      <c r="J79" s="228"/>
      <c r="K79" s="228"/>
      <c r="L79" s="228"/>
      <c r="M79" s="228"/>
      <c r="N79" s="228"/>
      <c r="O79" s="636"/>
      <c r="P79" s="229"/>
      <c r="Q79" s="1"/>
      <c r="R79" s="592"/>
      <c r="S79" s="103"/>
      <c r="T79" s="103"/>
      <c r="U79" s="592"/>
      <c r="V79" s="103"/>
      <c r="W79" s="103"/>
      <c r="X79" s="103"/>
      <c r="Y79" s="103"/>
      <c r="Z79" s="103"/>
      <c r="AA79" s="103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</row>
    <row r="80" spans="1:39" ht="22.5" customHeight="1">
      <c r="A80" s="21"/>
      <c r="B80" s="21"/>
      <c r="C80" s="1"/>
      <c r="D80" s="1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635"/>
      <c r="P80" s="103"/>
      <c r="Q80" s="1"/>
      <c r="R80" s="592"/>
      <c r="S80" s="103"/>
      <c r="T80" s="103"/>
      <c r="U80" s="103"/>
      <c r="V80" s="103"/>
      <c r="W80" s="103"/>
      <c r="X80" s="103"/>
      <c r="Y80" s="103"/>
      <c r="Z80" s="103"/>
      <c r="AA80" s="103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</row>
    <row r="81" spans="1:39" ht="22.5" customHeight="1">
      <c r="A81" s="21"/>
      <c r="B81" s="617"/>
      <c r="C81" s="1"/>
      <c r="D81" s="1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635"/>
      <c r="P81" s="103"/>
      <c r="Q81" s="1"/>
      <c r="R81" s="592"/>
      <c r="S81" s="103"/>
      <c r="T81" s="103"/>
      <c r="U81" s="103"/>
      <c r="V81" s="103"/>
      <c r="W81" s="103"/>
      <c r="X81" s="103"/>
      <c r="Y81" s="103"/>
      <c r="Z81" s="103"/>
      <c r="AA81" s="103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</row>
    <row r="82" spans="1:39" ht="22.5" customHeight="1">
      <c r="A82" s="21"/>
      <c r="B82" s="21"/>
      <c r="C82" s="1"/>
      <c r="D82" s="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570"/>
      <c r="P82" s="21"/>
      <c r="Q82" s="1"/>
      <c r="R82" s="592"/>
      <c r="S82" s="103"/>
      <c r="T82" s="103"/>
      <c r="U82" s="103"/>
      <c r="V82" s="103"/>
      <c r="W82" s="103"/>
      <c r="X82" s="103"/>
      <c r="Y82" s="103"/>
      <c r="Z82" s="103"/>
      <c r="AA82" s="103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</row>
    <row r="83" spans="1:39" ht="22.5" customHeight="1">
      <c r="A83" s="21"/>
      <c r="B83" s="21"/>
      <c r="C83" s="1"/>
      <c r="D83" s="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570"/>
      <c r="P83" s="21"/>
      <c r="Q83" s="1"/>
      <c r="R83" s="591"/>
      <c r="S83" s="103"/>
      <c r="T83" s="103"/>
      <c r="U83" s="103"/>
      <c r="V83" s="103"/>
      <c r="W83" s="103"/>
      <c r="X83" s="103"/>
      <c r="Y83" s="103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</row>
    <row r="84" spans="1:39" ht="22.5" customHeight="1">
      <c r="A84" s="239"/>
      <c r="B84" s="21"/>
      <c r="C84" s="1"/>
      <c r="D84" s="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570"/>
      <c r="P84" s="21"/>
      <c r="Q84" s="1"/>
      <c r="R84" s="591"/>
      <c r="S84" s="103"/>
      <c r="T84" s="103"/>
      <c r="U84" s="103"/>
      <c r="V84" s="103"/>
      <c r="W84" s="103"/>
      <c r="X84" s="103"/>
      <c r="Y84" s="103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</row>
    <row r="85" spans="1:39" ht="22.5" customHeight="1">
      <c r="A85" s="21"/>
      <c r="B85" s="21"/>
      <c r="C85" s="1"/>
      <c r="D85" s="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570"/>
      <c r="P85" s="21"/>
      <c r="Q85" s="1"/>
      <c r="R85" s="591"/>
      <c r="S85" s="103"/>
      <c r="T85" s="103"/>
      <c r="U85" s="103"/>
      <c r="V85" s="103"/>
      <c r="W85" s="103"/>
      <c r="X85" s="103"/>
      <c r="Y85" s="103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</row>
    <row r="86" spans="1:39" ht="22.5" customHeight="1">
      <c r="A86" s="21"/>
      <c r="B86" s="21"/>
      <c r="C86" s="1"/>
      <c r="D86" s="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570"/>
      <c r="P86" s="21"/>
      <c r="Q86" s="1"/>
      <c r="R86" s="591"/>
      <c r="S86" s="103"/>
      <c r="T86" s="103"/>
      <c r="U86" s="103"/>
      <c r="V86" s="103"/>
      <c r="W86" s="103"/>
      <c r="X86" s="103"/>
      <c r="Y86" s="103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</row>
    <row r="87" spans="1:39" ht="22.5" customHeight="1">
      <c r="A87" s="21"/>
      <c r="B87" s="21"/>
      <c r="C87" s="1"/>
      <c r="D87" s="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570"/>
      <c r="P87" s="21"/>
      <c r="Q87" s="1"/>
      <c r="R87" s="591"/>
      <c r="S87" s="103"/>
      <c r="T87" s="103"/>
      <c r="U87" s="103"/>
      <c r="V87" s="103"/>
      <c r="W87" s="103"/>
      <c r="X87" s="103"/>
      <c r="Y87" s="103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</row>
    <row r="88" spans="1:39" ht="22.5" customHeight="1">
      <c r="A88" s="21"/>
      <c r="B88" s="21"/>
      <c r="C88" s="1"/>
      <c r="D88" s="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570"/>
      <c r="P88" s="21"/>
      <c r="Q88" s="1"/>
      <c r="R88" s="591"/>
      <c r="S88" s="103"/>
      <c r="T88" s="103"/>
      <c r="U88" s="103"/>
      <c r="V88" s="103"/>
      <c r="W88" s="103"/>
      <c r="X88" s="103"/>
      <c r="Y88" s="103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</row>
    <row r="89" spans="1:39" ht="22.5" customHeight="1">
      <c r="A89" s="21"/>
      <c r="B89" s="21"/>
      <c r="C89" s="1"/>
      <c r="D89" s="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570"/>
      <c r="P89" s="21"/>
      <c r="Q89" s="1"/>
      <c r="R89" s="591"/>
      <c r="S89" s="103"/>
      <c r="T89" s="103"/>
      <c r="U89" s="103"/>
      <c r="V89" s="103"/>
      <c r="W89" s="103"/>
      <c r="X89" s="103"/>
      <c r="Y89" s="103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</row>
    <row r="90" spans="1:39" ht="22.5" customHeight="1">
      <c r="A90" s="21"/>
      <c r="B90" s="21"/>
      <c r="C90" s="1"/>
      <c r="D90" s="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570"/>
      <c r="P90" s="21"/>
      <c r="Q90" s="1"/>
      <c r="R90" s="591"/>
      <c r="S90" s="103"/>
      <c r="T90" s="103"/>
      <c r="U90" s="103"/>
      <c r="V90" s="103"/>
      <c r="W90" s="103"/>
      <c r="X90" s="103"/>
      <c r="Y90" s="103"/>
      <c r="Z90" s="103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</row>
    <row r="91" spans="1:39" ht="22.5" customHeight="1">
      <c r="A91" s="21"/>
      <c r="B91" s="21"/>
      <c r="C91" s="1"/>
      <c r="D91" s="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570"/>
      <c r="P91" s="21"/>
      <c r="Q91" s="1"/>
      <c r="R91" s="591"/>
      <c r="S91" s="103"/>
      <c r="T91" s="103"/>
      <c r="U91" s="103"/>
      <c r="V91" s="103"/>
      <c r="W91" s="103"/>
      <c r="X91" s="103"/>
      <c r="Y91" s="103"/>
      <c r="Z91" s="103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</row>
    <row r="92" spans="1:39" ht="22.5" customHeight="1">
      <c r="A92" s="21"/>
      <c r="B92" s="21"/>
      <c r="C92" s="1"/>
      <c r="D92" s="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570"/>
      <c r="P92" s="21"/>
      <c r="Q92" s="1"/>
      <c r="R92" s="591"/>
      <c r="S92" s="103"/>
      <c r="T92" s="103"/>
      <c r="U92" s="103"/>
      <c r="V92" s="103"/>
      <c r="W92" s="103"/>
      <c r="X92" s="103"/>
      <c r="Y92" s="103"/>
      <c r="Z92" s="103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</row>
    <row r="93" spans="1:39" ht="22.5" customHeight="1">
      <c r="A93" s="21"/>
      <c r="B93" s="21"/>
      <c r="C93" s="1"/>
      <c r="D93" s="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570"/>
      <c r="P93" s="21"/>
      <c r="Q93" s="1"/>
      <c r="R93" s="591"/>
      <c r="S93" s="103"/>
      <c r="T93" s="103"/>
      <c r="U93" s="103"/>
      <c r="V93" s="103"/>
      <c r="W93" s="103"/>
      <c r="X93" s="103"/>
      <c r="Y93" s="103"/>
      <c r="Z93" s="103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</row>
    <row r="94" spans="1:39" ht="22.5" customHeight="1">
      <c r="A94" s="21"/>
      <c r="B94" s="21"/>
      <c r="C94" s="1"/>
      <c r="D94" s="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570"/>
      <c r="P94" s="21"/>
      <c r="Q94" s="1"/>
      <c r="R94" s="591"/>
      <c r="S94" s="103"/>
      <c r="T94" s="103"/>
      <c r="U94" s="103"/>
      <c r="V94" s="103"/>
      <c r="W94" s="103"/>
      <c r="X94" s="103"/>
      <c r="Y94" s="103"/>
      <c r="Z94" s="103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</row>
    <row r="95" spans="1:39" ht="22.5" customHeight="1">
      <c r="A95" s="21"/>
      <c r="B95" s="21"/>
      <c r="C95" s="1"/>
      <c r="D95" s="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570"/>
      <c r="P95" s="21"/>
      <c r="Q95" s="1"/>
      <c r="R95" s="591"/>
      <c r="S95" s="103"/>
      <c r="T95" s="103"/>
      <c r="U95" s="103"/>
      <c r="V95" s="103"/>
      <c r="W95" s="103"/>
      <c r="X95" s="103"/>
      <c r="Y95" s="103"/>
      <c r="Z95" s="103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</row>
    <row r="96" spans="1:39" ht="22.5" customHeight="1">
      <c r="A96" s="21"/>
      <c r="B96" s="21"/>
      <c r="C96" s="1"/>
      <c r="D96" s="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570"/>
      <c r="P96" s="21"/>
      <c r="Q96" s="1"/>
      <c r="R96" s="591"/>
      <c r="S96" s="103"/>
      <c r="T96" s="103"/>
      <c r="U96" s="103"/>
      <c r="V96" s="103"/>
      <c r="W96" s="103"/>
      <c r="X96" s="103"/>
      <c r="Y96" s="103"/>
      <c r="Z96" s="103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</row>
    <row r="97" spans="1:39" ht="22.5" customHeight="1">
      <c r="A97" s="21"/>
      <c r="B97" s="21"/>
      <c r="C97" s="1"/>
      <c r="D97" s="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570"/>
      <c r="P97" s="21"/>
      <c r="Q97" s="1"/>
      <c r="R97" s="591"/>
      <c r="S97" s="103"/>
      <c r="T97" s="103"/>
      <c r="U97" s="103"/>
      <c r="V97" s="103"/>
      <c r="W97" s="103"/>
      <c r="X97" s="103"/>
      <c r="Y97" s="103"/>
      <c r="Z97" s="103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</row>
    <row r="98" spans="1:39" ht="22.5" customHeight="1">
      <c r="A98" s="21"/>
      <c r="B98" s="21"/>
      <c r="C98" s="1"/>
      <c r="D98" s="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570"/>
      <c r="P98" s="21"/>
      <c r="Q98" s="1"/>
      <c r="R98" s="591"/>
      <c r="S98" s="103"/>
      <c r="T98" s="103"/>
      <c r="U98" s="103"/>
      <c r="V98" s="103"/>
      <c r="W98" s="103"/>
      <c r="X98" s="103"/>
      <c r="Y98" s="103"/>
      <c r="Z98" s="103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</row>
    <row r="99" spans="1:39" ht="22.5" customHeight="1">
      <c r="A99" s="21"/>
      <c r="B99" s="21"/>
      <c r="C99" s="1"/>
      <c r="D99" s="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570"/>
      <c r="P99" s="21"/>
      <c r="Q99" s="1"/>
      <c r="R99" s="591"/>
      <c r="S99" s="103"/>
      <c r="T99" s="103"/>
      <c r="U99" s="103"/>
      <c r="V99" s="103"/>
      <c r="W99" s="103"/>
      <c r="X99" s="103"/>
      <c r="Y99" s="103"/>
      <c r="Z99" s="103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</row>
    <row r="100" spans="1:39" ht="22.5" customHeight="1">
      <c r="A100" s="21"/>
      <c r="B100" s="21"/>
      <c r="C100" s="1"/>
      <c r="D100" s="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570"/>
      <c r="P100" s="21"/>
      <c r="Q100" s="1"/>
      <c r="R100" s="591"/>
      <c r="S100" s="103"/>
      <c r="T100" s="103"/>
      <c r="U100" s="103"/>
      <c r="V100" s="103"/>
      <c r="W100" s="103"/>
      <c r="X100" s="103"/>
      <c r="Y100" s="103"/>
      <c r="Z100" s="103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</row>
    <row r="101" spans="1:39" ht="22.5" customHeight="1">
      <c r="A101" s="21"/>
      <c r="B101" s="21"/>
      <c r="C101" s="1"/>
      <c r="D101" s="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570"/>
      <c r="P101" s="21"/>
      <c r="Q101" s="1"/>
      <c r="R101" s="591"/>
      <c r="S101" s="103"/>
      <c r="T101" s="103"/>
      <c r="U101" s="103"/>
      <c r="V101" s="103"/>
      <c r="W101" s="103"/>
      <c r="X101" s="103"/>
      <c r="Y101" s="103"/>
      <c r="Z101" s="103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</row>
    <row r="102" spans="1:39" ht="22.5" customHeight="1">
      <c r="A102" s="21"/>
      <c r="B102" s="21"/>
      <c r="C102" s="1"/>
      <c r="D102" s="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570"/>
      <c r="P102" s="21"/>
      <c r="Q102" s="1"/>
      <c r="R102" s="591"/>
      <c r="S102" s="103"/>
      <c r="T102" s="103"/>
      <c r="U102" s="103"/>
      <c r="V102" s="103"/>
      <c r="W102" s="103"/>
      <c r="X102" s="103"/>
      <c r="Y102" s="103"/>
      <c r="Z102" s="103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</row>
    <row r="103" spans="1:39" ht="22.5" customHeight="1">
      <c r="A103" s="21"/>
      <c r="B103" s="21"/>
      <c r="C103" s="1"/>
      <c r="D103" s="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570"/>
      <c r="P103" s="21"/>
      <c r="Q103" s="1"/>
      <c r="R103" s="591"/>
      <c r="S103" s="103"/>
      <c r="T103" s="103"/>
      <c r="U103" s="103"/>
      <c r="V103" s="103"/>
      <c r="W103" s="103"/>
      <c r="X103" s="103"/>
      <c r="Y103" s="103"/>
      <c r="Z103" s="103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</row>
    <row r="104" spans="1:39" ht="22.5" customHeight="1">
      <c r="A104" s="21"/>
      <c r="B104" s="21"/>
      <c r="C104" s="1"/>
      <c r="D104" s="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570"/>
      <c r="P104" s="21"/>
      <c r="Q104" s="1"/>
      <c r="R104" s="591"/>
      <c r="S104" s="103"/>
      <c r="T104" s="103"/>
      <c r="U104" s="103"/>
      <c r="V104" s="103"/>
      <c r="W104" s="103"/>
      <c r="X104" s="103"/>
      <c r="Y104" s="103"/>
      <c r="Z104" s="103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</row>
    <row r="105" spans="1:39" ht="22.5" customHeight="1">
      <c r="A105" s="21"/>
      <c r="B105" s="21"/>
      <c r="C105" s="1"/>
      <c r="D105" s="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570"/>
      <c r="P105" s="21"/>
      <c r="Q105" s="1"/>
      <c r="R105" s="591"/>
      <c r="S105" s="21"/>
      <c r="T105" s="103"/>
      <c r="U105" s="103"/>
      <c r="V105" s="103"/>
      <c r="W105" s="103"/>
      <c r="X105" s="103"/>
      <c r="Y105" s="103"/>
      <c r="Z105" s="103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</row>
    <row r="106" spans="1:39" ht="22.5" customHeight="1">
      <c r="A106" s="21"/>
      <c r="B106" s="21"/>
      <c r="C106" s="1"/>
      <c r="D106" s="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570"/>
      <c r="P106" s="21"/>
      <c r="Q106" s="1"/>
      <c r="R106" s="591"/>
      <c r="S106" s="21"/>
      <c r="T106" s="103"/>
      <c r="U106" s="103"/>
      <c r="V106" s="103"/>
      <c r="W106" s="103"/>
      <c r="X106" s="103"/>
      <c r="Y106" s="103"/>
      <c r="Z106" s="103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</row>
    <row r="107" spans="1:39" ht="22.5" customHeight="1">
      <c r="A107" s="21"/>
      <c r="B107" s="21"/>
      <c r="C107" s="1"/>
      <c r="D107" s="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570"/>
      <c r="P107" s="21"/>
      <c r="Q107" s="1"/>
      <c r="R107" s="591"/>
      <c r="S107" s="21"/>
      <c r="T107" s="21"/>
      <c r="U107" s="103"/>
      <c r="V107" s="103"/>
      <c r="W107" s="103"/>
      <c r="X107" s="103"/>
      <c r="Y107" s="103"/>
      <c r="Z107" s="103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</row>
    <row r="108" spans="1:39" ht="22.5" customHeight="1">
      <c r="A108" s="21"/>
      <c r="B108" s="21"/>
      <c r="C108" s="1"/>
      <c r="D108" s="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570"/>
      <c r="P108" s="21"/>
      <c r="Q108" s="1"/>
      <c r="R108" s="591"/>
      <c r="S108" s="21"/>
      <c r="T108" s="21"/>
      <c r="U108" s="103"/>
      <c r="V108" s="103"/>
      <c r="W108" s="103"/>
      <c r="X108" s="103"/>
      <c r="Y108" s="103"/>
      <c r="Z108" s="103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</row>
    <row r="109" spans="1:39" ht="22.5" customHeight="1">
      <c r="A109" s="21"/>
      <c r="B109" s="21"/>
      <c r="C109" s="1"/>
      <c r="D109" s="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570"/>
      <c r="P109" s="21"/>
      <c r="Q109" s="1"/>
      <c r="R109" s="591"/>
      <c r="S109" s="21"/>
      <c r="T109" s="21"/>
      <c r="U109" s="103"/>
      <c r="V109" s="102"/>
      <c r="W109" s="21"/>
      <c r="X109" s="21"/>
      <c r="Y109" s="1"/>
      <c r="Z109" s="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</row>
    <row r="110" spans="1:39" ht="22.5" customHeight="1">
      <c r="A110" s="21"/>
      <c r="B110" s="21"/>
      <c r="C110" s="1"/>
      <c r="D110" s="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570"/>
      <c r="P110" s="21"/>
      <c r="Q110" s="1"/>
      <c r="R110" s="591"/>
      <c r="S110" s="21"/>
      <c r="T110" s="21"/>
      <c r="U110" s="103"/>
      <c r="V110" s="103"/>
      <c r="W110" s="103"/>
      <c r="X110" s="103"/>
      <c r="Y110" s="1"/>
      <c r="Z110" s="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</row>
    <row r="111" spans="1:39" ht="22.5" customHeight="1">
      <c r="A111" s="21"/>
      <c r="B111" s="21"/>
      <c r="C111" s="1"/>
      <c r="D111" s="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570"/>
      <c r="P111" s="21"/>
      <c r="Q111" s="1"/>
      <c r="R111" s="591"/>
      <c r="S111" s="21"/>
      <c r="T111" s="21"/>
      <c r="U111" s="103"/>
      <c r="V111" s="21"/>
      <c r="W111" s="21"/>
      <c r="X111" s="21"/>
      <c r="Y111" s="1"/>
      <c r="Z111" s="1"/>
      <c r="AA111" s="1"/>
      <c r="AB111" s="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</row>
    <row r="112" spans="1:39" ht="22.5" customHeight="1">
      <c r="A112" s="21"/>
      <c r="B112" s="21"/>
      <c r="C112" s="1"/>
      <c r="D112" s="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570"/>
      <c r="P112" s="21"/>
      <c r="Q112" s="1"/>
      <c r="R112" s="591"/>
      <c r="S112" s="21"/>
      <c r="T112" s="21"/>
      <c r="U112" s="103"/>
      <c r="V112" s="21"/>
      <c r="W112" s="21"/>
      <c r="X112" s="21"/>
      <c r="Y112" s="1"/>
      <c r="Z112" s="1"/>
      <c r="AA112" s="1"/>
      <c r="AB112" s="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</row>
    <row r="113" spans="1:39" ht="22.5" customHeight="1">
      <c r="A113" s="21"/>
      <c r="B113" s="21"/>
      <c r="C113" s="1"/>
      <c r="D113" s="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570"/>
      <c r="P113" s="21"/>
      <c r="Q113" s="1"/>
      <c r="R113" s="591"/>
      <c r="S113" s="21"/>
      <c r="T113" s="21"/>
      <c r="U113" s="21"/>
      <c r="V113" s="21"/>
      <c r="W113" s="21"/>
      <c r="X113" s="21"/>
      <c r="Y113" s="1"/>
      <c r="Z113" s="1"/>
      <c r="AA113" s="1"/>
      <c r="AB113" s="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</row>
    <row r="114" spans="1:39" ht="22.5" customHeight="1">
      <c r="A114" s="21"/>
      <c r="B114" s="21"/>
      <c r="C114" s="1"/>
      <c r="D114" s="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570"/>
      <c r="P114" s="21"/>
      <c r="Q114" s="1"/>
      <c r="R114" s="591"/>
      <c r="S114" s="21"/>
      <c r="T114" s="21"/>
      <c r="U114" s="21"/>
      <c r="V114" s="21"/>
      <c r="W114" s="21"/>
      <c r="X114" s="21"/>
      <c r="Y114" s="1"/>
      <c r="Z114" s="1"/>
      <c r="AA114" s="1"/>
      <c r="AB114" s="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</row>
    <row r="115" spans="1:39" ht="22.5" customHeight="1">
      <c r="A115" s="21"/>
      <c r="B115" s="21"/>
      <c r="C115" s="1"/>
      <c r="D115" s="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570"/>
      <c r="P115" s="21"/>
      <c r="Q115" s="1"/>
      <c r="R115" s="591"/>
      <c r="S115" s="21"/>
      <c r="T115" s="21"/>
      <c r="U115" s="21"/>
      <c r="V115" s="21"/>
      <c r="W115" s="21"/>
      <c r="X115" s="21"/>
      <c r="Y115" s="1"/>
      <c r="Z115" s="1"/>
      <c r="AA115" s="1"/>
      <c r="AB115" s="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</row>
    <row r="116" spans="1:39" ht="22.5" customHeight="1">
      <c r="A116" s="21"/>
      <c r="B116" s="21"/>
      <c r="C116" s="1"/>
      <c r="D116" s="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570"/>
      <c r="P116" s="21"/>
      <c r="Q116" s="1"/>
      <c r="R116" s="591"/>
      <c r="S116" s="21"/>
      <c r="T116" s="21"/>
      <c r="U116" s="21"/>
      <c r="V116" s="21"/>
      <c r="W116" s="21"/>
      <c r="X116" s="21"/>
      <c r="Y116" s="1"/>
      <c r="Z116" s="1"/>
      <c r="AA116" s="1"/>
      <c r="AB116" s="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</row>
    <row r="117" spans="1:39" ht="22.5" customHeight="1">
      <c r="A117" s="21"/>
      <c r="B117" s="21"/>
      <c r="C117" s="1"/>
      <c r="D117" s="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570"/>
      <c r="P117" s="21"/>
      <c r="Q117" s="1"/>
      <c r="R117" s="591"/>
      <c r="S117" s="21"/>
      <c r="T117" s="21"/>
      <c r="U117" s="21"/>
      <c r="V117" s="21"/>
      <c r="W117" s="21"/>
      <c r="X117" s="21"/>
      <c r="Y117" s="1"/>
      <c r="Z117" s="1"/>
      <c r="AA117" s="1"/>
      <c r="AB117" s="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</row>
    <row r="118" spans="1:39" ht="22.5" customHeight="1">
      <c r="A118" s="21"/>
      <c r="B118" s="21"/>
      <c r="C118" s="1"/>
      <c r="D118" s="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570"/>
      <c r="P118" s="21"/>
      <c r="Q118" s="1"/>
      <c r="R118" s="591"/>
      <c r="S118" s="21"/>
      <c r="T118" s="21"/>
      <c r="U118" s="21"/>
      <c r="V118" s="21"/>
      <c r="W118" s="21"/>
      <c r="X118" s="21"/>
      <c r="Y118" s="1"/>
      <c r="Z118" s="1"/>
      <c r="AA118" s="1"/>
      <c r="AB118" s="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</row>
    <row r="119" spans="1:39" ht="22.5" customHeight="1">
      <c r="A119" s="21"/>
      <c r="B119" s="21"/>
      <c r="C119" s="1"/>
      <c r="D119" s="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570"/>
      <c r="P119" s="21"/>
      <c r="Q119" s="1"/>
      <c r="R119" s="591"/>
      <c r="S119" s="21"/>
      <c r="T119" s="21"/>
      <c r="U119" s="21"/>
      <c r="V119" s="21"/>
      <c r="W119" s="21"/>
      <c r="X119" s="21"/>
      <c r="Y119" s="1"/>
      <c r="Z119" s="1"/>
      <c r="AA119" s="1"/>
      <c r="AB119" s="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</row>
    <row r="120" spans="1:39" ht="22.5" customHeight="1">
      <c r="A120" s="21"/>
      <c r="B120" s="21"/>
      <c r="C120" s="1"/>
      <c r="D120" s="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570"/>
      <c r="P120" s="21"/>
      <c r="Q120" s="1"/>
      <c r="R120" s="591"/>
      <c r="S120" s="21"/>
      <c r="T120" s="21"/>
      <c r="U120" s="21"/>
      <c r="V120" s="21"/>
      <c r="W120" s="21"/>
      <c r="X120" s="21"/>
      <c r="Y120" s="1"/>
      <c r="Z120" s="1"/>
      <c r="AA120" s="1"/>
      <c r="AB120" s="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</row>
    <row r="121" spans="1:39" ht="22.5" customHeight="1">
      <c r="A121" s="21"/>
      <c r="B121" s="21"/>
      <c r="C121" s="1"/>
      <c r="D121" s="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570"/>
      <c r="P121" s="21"/>
      <c r="Q121" s="1"/>
      <c r="R121" s="591"/>
      <c r="S121" s="21"/>
      <c r="T121" s="21"/>
      <c r="U121" s="21"/>
      <c r="V121" s="21"/>
      <c r="W121" s="21"/>
      <c r="X121" s="21"/>
      <c r="Y121" s="1"/>
      <c r="Z121" s="1"/>
      <c r="AA121" s="1"/>
      <c r="AB121" s="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</row>
    <row r="122" spans="1:39" ht="22.5" customHeight="1">
      <c r="A122" s="21"/>
      <c r="B122" s="21"/>
      <c r="C122" s="1"/>
      <c r="D122" s="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570"/>
      <c r="P122" s="21"/>
      <c r="Q122" s="1"/>
      <c r="R122" s="591"/>
      <c r="S122" s="21"/>
      <c r="T122" s="21"/>
      <c r="U122" s="21"/>
      <c r="V122" s="21"/>
      <c r="W122" s="21"/>
      <c r="X122" s="21"/>
      <c r="Y122" s="1"/>
      <c r="Z122" s="1"/>
      <c r="AA122" s="1"/>
      <c r="AB122" s="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</row>
    <row r="123" spans="1:39" ht="22.5" customHeight="1">
      <c r="A123" s="21"/>
      <c r="B123" s="21"/>
      <c r="C123" s="1"/>
      <c r="D123" s="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570"/>
      <c r="P123" s="21"/>
      <c r="Q123" s="1"/>
      <c r="R123" s="591"/>
      <c r="S123" s="21"/>
      <c r="T123" s="21"/>
      <c r="U123" s="21"/>
      <c r="V123" s="21"/>
      <c r="W123" s="21"/>
      <c r="X123" s="21"/>
      <c r="Y123" s="1"/>
      <c r="Z123" s="1"/>
      <c r="AA123" s="1"/>
      <c r="AB123" s="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</row>
    <row r="124" spans="1:39" ht="22.5" customHeight="1">
      <c r="A124" s="21"/>
      <c r="B124" s="21"/>
      <c r="C124" s="1"/>
      <c r="D124" s="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570"/>
      <c r="P124" s="21"/>
      <c r="Q124" s="1"/>
      <c r="R124" s="591"/>
      <c r="S124" s="21"/>
      <c r="T124" s="21"/>
      <c r="U124" s="21"/>
      <c r="V124" s="21"/>
      <c r="W124" s="21"/>
      <c r="X124" s="21"/>
      <c r="Y124" s="1"/>
      <c r="Z124" s="1"/>
      <c r="AA124" s="1"/>
      <c r="AB124" s="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</row>
    <row r="125" spans="1:39" ht="22.5" customHeight="1">
      <c r="A125" s="21"/>
      <c r="B125" s="21"/>
      <c r="C125" s="1"/>
      <c r="D125" s="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570"/>
      <c r="P125" s="21"/>
      <c r="Q125" s="1"/>
      <c r="R125" s="591"/>
      <c r="S125" s="21"/>
      <c r="T125" s="21"/>
      <c r="U125" s="21"/>
      <c r="V125" s="21"/>
      <c r="W125" s="21"/>
      <c r="X125" s="21"/>
      <c r="Y125" s="1"/>
      <c r="Z125" s="1"/>
      <c r="AA125" s="1"/>
      <c r="AB125" s="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</row>
    <row r="126" spans="1:39" ht="22.5" customHeight="1">
      <c r="A126" s="21"/>
      <c r="B126" s="21"/>
      <c r="C126" s="1"/>
      <c r="D126" s="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570"/>
      <c r="P126" s="21"/>
      <c r="Q126" s="1"/>
      <c r="R126" s="591"/>
      <c r="S126" s="21"/>
      <c r="T126" s="21"/>
      <c r="U126" s="21"/>
      <c r="V126" s="21"/>
      <c r="W126" s="21"/>
      <c r="X126" s="21"/>
      <c r="Y126" s="1"/>
      <c r="Z126" s="1"/>
      <c r="AA126" s="1"/>
      <c r="AB126" s="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</row>
    <row r="127" spans="1:39" ht="22.5" customHeight="1">
      <c r="A127" s="21"/>
      <c r="B127" s="21"/>
      <c r="C127" s="1"/>
      <c r="D127" s="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570"/>
      <c r="P127" s="21"/>
      <c r="Q127" s="1"/>
      <c r="R127" s="591"/>
      <c r="S127" s="21"/>
      <c r="T127" s="21"/>
      <c r="U127" s="21"/>
      <c r="V127" s="21"/>
      <c r="W127" s="21"/>
      <c r="X127" s="21"/>
      <c r="Y127" s="1"/>
      <c r="Z127" s="1"/>
      <c r="AA127" s="1"/>
      <c r="AB127" s="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</row>
    <row r="128" spans="1:39" ht="22.5" customHeight="1">
      <c r="A128" s="21"/>
      <c r="B128" s="21"/>
      <c r="C128" s="1"/>
      <c r="D128" s="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570"/>
      <c r="P128" s="21"/>
      <c r="Q128" s="1"/>
      <c r="R128" s="591"/>
      <c r="S128" s="21"/>
      <c r="T128" s="21"/>
      <c r="U128" s="21"/>
      <c r="V128" s="21"/>
      <c r="W128" s="21"/>
      <c r="X128" s="21"/>
      <c r="Y128" s="1"/>
      <c r="Z128" s="1"/>
      <c r="AA128" s="1"/>
      <c r="AB128" s="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</row>
    <row r="129" spans="1:39" ht="22.5" customHeight="1">
      <c r="A129" s="21"/>
      <c r="B129" s="21"/>
      <c r="C129" s="1"/>
      <c r="D129" s="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570"/>
      <c r="P129" s="21"/>
      <c r="Q129" s="1"/>
      <c r="R129" s="591"/>
      <c r="S129" s="21"/>
      <c r="T129" s="21"/>
      <c r="U129" s="21"/>
      <c r="V129" s="21"/>
      <c r="W129" s="21"/>
      <c r="X129" s="21"/>
      <c r="Y129" s="1"/>
      <c r="Z129" s="1"/>
      <c r="AA129" s="1"/>
      <c r="AB129" s="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</row>
    <row r="130" spans="1:39" ht="22.5" customHeight="1">
      <c r="A130" s="21"/>
      <c r="B130" s="21"/>
      <c r="C130" s="1"/>
      <c r="D130" s="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570"/>
      <c r="P130" s="21"/>
      <c r="Q130" s="1"/>
      <c r="R130" s="591"/>
      <c r="S130" s="21"/>
      <c r="T130" s="21"/>
      <c r="U130" s="21"/>
      <c r="V130" s="21"/>
      <c r="W130" s="21"/>
      <c r="X130" s="21"/>
      <c r="Y130" s="1"/>
      <c r="Z130" s="1"/>
      <c r="AA130" s="1"/>
      <c r="AB130" s="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</row>
    <row r="131" spans="1:39" ht="22.5" customHeight="1">
      <c r="A131" s="21"/>
      <c r="B131" s="21"/>
      <c r="C131" s="1"/>
      <c r="D131" s="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570"/>
      <c r="P131" s="21"/>
      <c r="Q131" s="1"/>
      <c r="R131" s="591"/>
      <c r="S131" s="21"/>
      <c r="T131" s="21"/>
      <c r="U131" s="21"/>
      <c r="V131" s="21"/>
      <c r="W131" s="21"/>
      <c r="X131" s="21"/>
      <c r="Y131" s="1"/>
      <c r="Z131" s="1"/>
      <c r="AA131" s="1"/>
      <c r="AB131" s="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</row>
    <row r="132" spans="1:39" ht="22.5" customHeight="1">
      <c r="A132" s="21"/>
      <c r="B132" s="21"/>
      <c r="C132" s="1"/>
      <c r="D132" s="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570"/>
      <c r="P132" s="21"/>
      <c r="Q132" s="1"/>
      <c r="R132" s="591"/>
      <c r="S132" s="21"/>
      <c r="T132" s="21"/>
      <c r="U132" s="21"/>
      <c r="V132" s="21"/>
      <c r="W132" s="21"/>
      <c r="X132" s="21"/>
      <c r="Y132" s="1"/>
      <c r="Z132" s="1"/>
      <c r="AA132" s="1"/>
      <c r="AB132" s="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</row>
    <row r="133" spans="1:39" ht="22.5" customHeight="1">
      <c r="A133" s="21"/>
      <c r="B133" s="21"/>
      <c r="C133" s="1"/>
      <c r="D133" s="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570"/>
      <c r="P133" s="21"/>
      <c r="Q133" s="1"/>
      <c r="R133" s="591"/>
      <c r="S133" s="21"/>
      <c r="T133" s="21"/>
      <c r="U133" s="21"/>
      <c r="V133" s="21"/>
      <c r="W133" s="21"/>
      <c r="X133" s="21"/>
      <c r="Y133" s="1"/>
      <c r="Z133" s="1"/>
      <c r="AA133" s="1"/>
      <c r="AB133" s="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</row>
    <row r="134" spans="1:39" ht="22.5" customHeight="1">
      <c r="A134" s="21"/>
      <c r="B134" s="21"/>
      <c r="C134" s="1"/>
      <c r="D134" s="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570"/>
      <c r="P134" s="21"/>
      <c r="Q134" s="1"/>
      <c r="R134" s="591"/>
      <c r="S134" s="21"/>
      <c r="T134" s="21"/>
      <c r="U134" s="21"/>
      <c r="V134" s="21"/>
      <c r="W134" s="21"/>
      <c r="X134" s="21"/>
      <c r="Y134" s="1"/>
      <c r="Z134" s="1"/>
      <c r="AA134" s="1"/>
      <c r="AB134" s="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</row>
    <row r="135" spans="1:39" ht="22.5" customHeight="1">
      <c r="A135" s="21"/>
      <c r="B135" s="21"/>
      <c r="C135" s="1"/>
      <c r="D135" s="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570"/>
      <c r="P135" s="21"/>
      <c r="Q135" s="1"/>
      <c r="R135" s="591"/>
      <c r="S135" s="21"/>
      <c r="T135" s="21"/>
      <c r="U135" s="21"/>
      <c r="V135" s="21"/>
      <c r="W135" s="21"/>
      <c r="X135" s="21"/>
      <c r="Y135" s="1"/>
      <c r="Z135" s="1"/>
      <c r="AA135" s="1"/>
      <c r="AB135" s="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</row>
    <row r="136" spans="1:39" ht="22.5" customHeight="1">
      <c r="A136" s="21"/>
      <c r="B136" s="21"/>
      <c r="C136" s="1"/>
      <c r="D136" s="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570"/>
      <c r="P136" s="21"/>
      <c r="Q136" s="1"/>
      <c r="R136" s="591"/>
      <c r="S136" s="21"/>
      <c r="T136" s="21"/>
      <c r="U136" s="21"/>
      <c r="V136" s="21"/>
      <c r="W136" s="21"/>
      <c r="X136" s="21"/>
      <c r="Y136" s="1"/>
      <c r="Z136" s="1"/>
      <c r="AA136" s="1"/>
      <c r="AB136" s="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</row>
    <row r="137" spans="1:39" ht="22.5" customHeight="1">
      <c r="A137" s="21"/>
      <c r="B137" s="21"/>
      <c r="C137" s="1"/>
      <c r="D137" s="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570"/>
      <c r="P137" s="21"/>
      <c r="Q137" s="1"/>
      <c r="R137" s="591"/>
      <c r="S137" s="21"/>
      <c r="T137" s="21"/>
      <c r="U137" s="21"/>
      <c r="V137" s="21"/>
      <c r="W137" s="21"/>
      <c r="X137" s="21"/>
      <c r="Y137" s="1"/>
      <c r="Z137" s="1"/>
      <c r="AA137" s="1"/>
      <c r="AB137" s="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</row>
    <row r="138" spans="1:39" ht="22.5" customHeight="1">
      <c r="A138" s="21"/>
      <c r="B138" s="21"/>
      <c r="C138" s="1"/>
      <c r="D138" s="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570"/>
      <c r="P138" s="21"/>
      <c r="Q138" s="1"/>
      <c r="R138" s="591"/>
      <c r="S138" s="21"/>
      <c r="T138" s="21"/>
      <c r="U138" s="21"/>
      <c r="V138" s="21"/>
      <c r="W138" s="21"/>
      <c r="X138" s="21"/>
      <c r="Y138" s="1"/>
      <c r="Z138" s="1"/>
      <c r="AA138" s="1"/>
      <c r="AB138" s="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</row>
    <row r="139" spans="1:39" ht="22.5" customHeight="1">
      <c r="A139" s="21"/>
      <c r="B139" s="21"/>
      <c r="C139" s="1"/>
      <c r="D139" s="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570"/>
      <c r="P139" s="21"/>
      <c r="Q139" s="1"/>
      <c r="R139" s="591"/>
      <c r="S139" s="21"/>
      <c r="T139" s="21"/>
      <c r="U139" s="21"/>
      <c r="V139" s="21"/>
      <c r="W139" s="21"/>
      <c r="X139" s="21"/>
      <c r="Y139" s="1"/>
      <c r="Z139" s="1"/>
      <c r="AA139" s="1"/>
      <c r="AB139" s="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</row>
    <row r="140" spans="1:39" ht="22.5" customHeight="1">
      <c r="A140" s="21"/>
      <c r="B140" s="21"/>
      <c r="C140" s="1"/>
      <c r="D140" s="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570"/>
      <c r="P140" s="21"/>
      <c r="Q140" s="1"/>
      <c r="R140" s="591"/>
      <c r="S140" s="21"/>
      <c r="T140" s="21"/>
      <c r="U140" s="21"/>
      <c r="V140" s="21"/>
      <c r="W140" s="21"/>
      <c r="X140" s="21"/>
      <c r="Y140" s="1"/>
      <c r="Z140" s="1"/>
      <c r="AA140" s="1"/>
      <c r="AB140" s="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</row>
    <row r="141" spans="1:39" ht="22.5" customHeight="1">
      <c r="A141" s="21"/>
      <c r="B141" s="21"/>
      <c r="C141" s="1"/>
      <c r="D141" s="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570"/>
      <c r="P141" s="21"/>
      <c r="Q141" s="1"/>
      <c r="R141" s="591"/>
      <c r="S141" s="21"/>
      <c r="T141" s="21"/>
      <c r="U141" s="21"/>
      <c r="V141" s="21"/>
      <c r="W141" s="21"/>
      <c r="X141" s="21"/>
      <c r="Y141" s="1"/>
      <c r="Z141" s="1"/>
      <c r="AA141" s="1"/>
      <c r="AB141" s="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</row>
    <row r="142" spans="1:39" ht="22.5" customHeight="1">
      <c r="A142" s="21"/>
      <c r="B142" s="21"/>
      <c r="C142" s="1"/>
      <c r="D142" s="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570"/>
      <c r="P142" s="21"/>
      <c r="Q142" s="1"/>
      <c r="R142" s="591"/>
      <c r="S142" s="21"/>
      <c r="T142" s="21"/>
      <c r="U142" s="21"/>
      <c r="V142" s="21"/>
      <c r="W142" s="21"/>
      <c r="X142" s="21"/>
      <c r="Y142" s="1"/>
      <c r="Z142" s="1"/>
      <c r="AA142" s="1"/>
      <c r="AB142" s="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</row>
    <row r="143" spans="1:39" ht="22.5" customHeight="1">
      <c r="A143" s="21"/>
      <c r="B143" s="21"/>
      <c r="C143" s="1"/>
      <c r="D143" s="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570"/>
      <c r="P143" s="21"/>
      <c r="Q143" s="1"/>
      <c r="R143" s="591"/>
      <c r="S143" s="21"/>
      <c r="T143" s="21"/>
      <c r="U143" s="21"/>
      <c r="V143" s="21"/>
      <c r="W143" s="21"/>
      <c r="X143" s="21"/>
      <c r="Y143" s="1"/>
      <c r="Z143" s="1"/>
      <c r="AA143" s="1"/>
      <c r="AB143" s="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</row>
    <row r="144" spans="1:39" ht="22.5" customHeight="1">
      <c r="A144" s="21"/>
      <c r="B144" s="21"/>
      <c r="C144" s="1"/>
      <c r="D144" s="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570"/>
      <c r="P144" s="21"/>
      <c r="Q144" s="1"/>
      <c r="R144" s="591"/>
      <c r="S144" s="21"/>
      <c r="T144" s="21"/>
      <c r="U144" s="21"/>
      <c r="V144" s="21"/>
      <c r="W144" s="21"/>
      <c r="X144" s="21"/>
      <c r="Y144" s="1"/>
      <c r="Z144" s="1"/>
      <c r="AA144" s="1"/>
      <c r="AB144" s="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</row>
    <row r="145" spans="1:39" ht="22.5" customHeight="1">
      <c r="A145" s="21"/>
      <c r="B145" s="21"/>
      <c r="C145" s="1"/>
      <c r="D145" s="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570"/>
      <c r="P145" s="21"/>
      <c r="Q145" s="1"/>
      <c r="R145" s="591"/>
      <c r="S145" s="21"/>
      <c r="T145" s="21"/>
      <c r="U145" s="21"/>
      <c r="V145" s="21"/>
      <c r="W145" s="21"/>
      <c r="X145" s="21"/>
      <c r="Y145" s="1"/>
      <c r="Z145" s="1"/>
      <c r="AA145" s="1"/>
      <c r="AB145" s="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</row>
    <row r="146" spans="1:39" ht="22.5" customHeight="1">
      <c r="A146" s="21"/>
      <c r="B146" s="21"/>
      <c r="C146" s="1"/>
      <c r="D146" s="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570"/>
      <c r="P146" s="21"/>
      <c r="Q146" s="1"/>
      <c r="R146" s="591"/>
      <c r="S146" s="21"/>
      <c r="T146" s="21"/>
      <c r="U146" s="21"/>
      <c r="V146" s="21"/>
      <c r="W146" s="21"/>
      <c r="X146" s="21"/>
      <c r="Y146" s="1"/>
      <c r="Z146" s="1"/>
      <c r="AA146" s="1"/>
      <c r="AB146" s="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</row>
    <row r="147" spans="1:39" ht="22.5" customHeight="1">
      <c r="A147" s="21"/>
      <c r="B147" s="21"/>
      <c r="C147" s="1"/>
      <c r="D147" s="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570"/>
      <c r="P147" s="21"/>
      <c r="Q147" s="1"/>
      <c r="R147" s="591"/>
      <c r="S147" s="21"/>
      <c r="T147" s="21"/>
      <c r="U147" s="21"/>
      <c r="V147" s="21"/>
      <c r="W147" s="21"/>
      <c r="X147" s="21"/>
      <c r="Y147" s="1"/>
      <c r="Z147" s="1"/>
      <c r="AA147" s="1"/>
      <c r="AB147" s="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</row>
    <row r="148" spans="1:39" ht="22.5" customHeight="1">
      <c r="A148" s="21"/>
      <c r="B148" s="21"/>
      <c r="C148" s="1"/>
      <c r="D148" s="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570"/>
      <c r="P148" s="21"/>
      <c r="Q148" s="1"/>
      <c r="R148" s="591"/>
      <c r="S148" s="21"/>
      <c r="T148" s="21"/>
      <c r="U148" s="21"/>
      <c r="V148" s="21"/>
      <c r="W148" s="21"/>
      <c r="X148" s="21"/>
      <c r="Y148" s="1"/>
      <c r="Z148" s="1"/>
      <c r="AA148" s="1"/>
      <c r="AB148" s="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</row>
    <row r="149" spans="1:39" ht="22.5" customHeight="1">
      <c r="A149" s="21"/>
      <c r="B149" s="21"/>
      <c r="C149" s="1"/>
      <c r="D149" s="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570"/>
      <c r="P149" s="21"/>
      <c r="Q149" s="1"/>
      <c r="R149" s="591"/>
      <c r="S149" s="21"/>
      <c r="T149" s="21"/>
      <c r="U149" s="21"/>
      <c r="V149" s="21"/>
      <c r="W149" s="21"/>
      <c r="X149" s="21"/>
      <c r="Y149" s="1"/>
      <c r="Z149" s="1"/>
      <c r="AA149" s="1"/>
      <c r="AB149" s="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</row>
    <row r="150" spans="1:39" ht="22.5" customHeight="1">
      <c r="A150" s="21"/>
      <c r="B150" s="21"/>
      <c r="C150" s="1"/>
      <c r="D150" s="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570"/>
      <c r="P150" s="21"/>
      <c r="Q150" s="1"/>
      <c r="R150" s="591"/>
      <c r="S150" s="21"/>
      <c r="T150" s="21"/>
      <c r="U150" s="21"/>
      <c r="V150" s="21"/>
      <c r="W150" s="21"/>
      <c r="X150" s="21"/>
      <c r="Y150" s="1"/>
      <c r="Z150" s="1"/>
      <c r="AA150" s="1"/>
      <c r="AB150" s="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</row>
    <row r="151" spans="1:39" ht="22.5" customHeight="1">
      <c r="A151" s="21"/>
      <c r="B151" s="21"/>
      <c r="C151" s="1"/>
      <c r="D151" s="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570"/>
      <c r="P151" s="21"/>
      <c r="Q151" s="1"/>
      <c r="R151" s="591"/>
      <c r="S151" s="21"/>
      <c r="T151" s="21"/>
      <c r="U151" s="21"/>
      <c r="V151" s="21"/>
      <c r="W151" s="21"/>
      <c r="X151" s="21"/>
      <c r="Y151" s="1"/>
      <c r="Z151" s="1"/>
      <c r="AA151" s="1"/>
      <c r="AB151" s="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</row>
    <row r="152" spans="1:39" ht="22.5" customHeight="1">
      <c r="A152" s="21"/>
      <c r="B152" s="21"/>
      <c r="C152" s="1"/>
      <c r="D152" s="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570"/>
      <c r="P152" s="21"/>
      <c r="Q152" s="1"/>
      <c r="R152" s="591"/>
      <c r="S152" s="21"/>
      <c r="T152" s="21"/>
      <c r="U152" s="21"/>
      <c r="V152" s="21"/>
      <c r="W152" s="21"/>
      <c r="X152" s="21"/>
      <c r="Y152" s="1"/>
      <c r="Z152" s="1"/>
      <c r="AA152" s="1"/>
      <c r="AB152" s="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</row>
    <row r="153" spans="1:39" ht="22.5" customHeight="1">
      <c r="A153" s="21"/>
      <c r="B153" s="21"/>
      <c r="C153" s="1"/>
      <c r="D153" s="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570"/>
      <c r="P153" s="21"/>
      <c r="Q153" s="1"/>
      <c r="R153" s="591"/>
      <c r="S153" s="21"/>
      <c r="T153" s="21"/>
      <c r="U153" s="21"/>
      <c r="V153" s="21"/>
      <c r="W153" s="21"/>
      <c r="X153" s="21"/>
      <c r="Y153" s="1"/>
      <c r="Z153" s="1"/>
      <c r="AA153" s="1"/>
      <c r="AB153" s="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</row>
    <row r="154" spans="1:39" ht="22.5" customHeight="1">
      <c r="A154" s="21"/>
      <c r="B154" s="21"/>
      <c r="C154" s="1"/>
      <c r="D154" s="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570"/>
      <c r="P154" s="21"/>
      <c r="Q154" s="1"/>
      <c r="R154" s="591"/>
      <c r="S154" s="21"/>
      <c r="T154" s="21"/>
      <c r="U154" s="21"/>
      <c r="V154" s="21"/>
      <c r="W154" s="21"/>
      <c r="X154" s="21"/>
      <c r="Y154" s="1"/>
      <c r="Z154" s="1"/>
      <c r="AA154" s="1"/>
      <c r="AB154" s="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</row>
    <row r="155" spans="1:39" ht="22.5" customHeight="1">
      <c r="A155" s="21"/>
      <c r="B155" s="21"/>
      <c r="C155" s="1"/>
      <c r="D155" s="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570"/>
      <c r="P155" s="21"/>
      <c r="Q155" s="1"/>
      <c r="R155" s="591"/>
      <c r="S155" s="21"/>
      <c r="T155" s="21"/>
      <c r="U155" s="21"/>
      <c r="V155" s="21"/>
      <c r="W155" s="21"/>
      <c r="X155" s="21"/>
      <c r="Y155" s="1"/>
      <c r="Z155" s="1"/>
      <c r="AA155" s="1"/>
      <c r="AB155" s="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</row>
    <row r="156" spans="1:39" ht="22.5" customHeight="1">
      <c r="A156" s="21"/>
      <c r="B156" s="21"/>
      <c r="C156" s="1"/>
      <c r="D156" s="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570"/>
      <c r="P156" s="21"/>
      <c r="Q156" s="1"/>
      <c r="R156" s="591"/>
      <c r="S156" s="21"/>
      <c r="T156" s="21"/>
      <c r="U156" s="21"/>
      <c r="V156" s="21"/>
      <c r="W156" s="21"/>
      <c r="X156" s="21"/>
      <c r="Y156" s="1"/>
      <c r="Z156" s="1"/>
      <c r="AA156" s="1"/>
      <c r="AB156" s="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</row>
    <row r="157" spans="1:39" ht="22.5" customHeight="1">
      <c r="A157" s="21"/>
      <c r="B157" s="21"/>
      <c r="C157" s="1"/>
      <c r="D157" s="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570"/>
      <c r="P157" s="21"/>
      <c r="Q157" s="1"/>
      <c r="R157" s="591"/>
      <c r="S157" s="21"/>
      <c r="T157" s="21"/>
      <c r="U157" s="21"/>
      <c r="V157" s="21"/>
      <c r="W157" s="21"/>
      <c r="X157" s="21"/>
      <c r="Y157" s="1"/>
      <c r="Z157" s="1"/>
      <c r="AA157" s="1"/>
      <c r="AB157" s="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</row>
    <row r="158" spans="1:39" ht="22.5" customHeight="1">
      <c r="A158" s="21"/>
      <c r="B158" s="21"/>
      <c r="C158" s="1"/>
      <c r="D158" s="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570"/>
      <c r="P158" s="21"/>
      <c r="Q158" s="1"/>
      <c r="R158" s="591"/>
      <c r="S158" s="21"/>
      <c r="T158" s="21"/>
      <c r="U158" s="21"/>
      <c r="V158" s="21"/>
      <c r="W158" s="21"/>
      <c r="X158" s="21"/>
      <c r="Y158" s="1"/>
      <c r="Z158" s="1"/>
      <c r="AA158" s="1"/>
      <c r="AB158" s="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</row>
    <row r="159" spans="1:39" ht="22.5" customHeight="1">
      <c r="A159" s="21"/>
      <c r="B159" s="21"/>
      <c r="C159" s="1"/>
      <c r="D159" s="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570"/>
      <c r="P159" s="21"/>
      <c r="Q159" s="1"/>
      <c r="R159" s="591"/>
      <c r="S159" s="21"/>
      <c r="T159" s="21"/>
      <c r="U159" s="21"/>
      <c r="V159" s="21"/>
      <c r="W159" s="21"/>
      <c r="X159" s="21"/>
      <c r="Y159" s="1"/>
      <c r="Z159" s="1"/>
      <c r="AA159" s="1"/>
      <c r="AB159" s="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</row>
    <row r="160" spans="1:39" ht="22.5" customHeight="1">
      <c r="A160" s="21"/>
      <c r="B160" s="21"/>
      <c r="C160" s="1"/>
      <c r="D160" s="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570"/>
      <c r="P160" s="21"/>
      <c r="Q160" s="1"/>
      <c r="R160" s="591"/>
      <c r="S160" s="21"/>
      <c r="T160" s="21"/>
      <c r="U160" s="21"/>
      <c r="V160" s="21"/>
      <c r="W160" s="21"/>
      <c r="X160" s="21"/>
      <c r="Y160" s="1"/>
      <c r="Z160" s="1"/>
      <c r="AA160" s="1"/>
      <c r="AB160" s="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</row>
    <row r="161" spans="1:39" ht="22.5" customHeight="1">
      <c r="A161" s="21"/>
      <c r="B161" s="21"/>
      <c r="C161" s="1"/>
      <c r="D161" s="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570"/>
      <c r="P161" s="21"/>
      <c r="Q161" s="1"/>
      <c r="R161" s="591"/>
      <c r="S161" s="21"/>
      <c r="T161" s="21"/>
      <c r="U161" s="21"/>
      <c r="V161" s="21"/>
      <c r="W161" s="21"/>
      <c r="X161" s="21"/>
      <c r="Y161" s="1"/>
      <c r="Z161" s="1"/>
      <c r="AA161" s="1"/>
      <c r="AB161" s="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</row>
    <row r="162" spans="1:39" ht="22.5" customHeight="1">
      <c r="A162" s="21"/>
      <c r="B162" s="21"/>
      <c r="C162" s="1"/>
      <c r="D162" s="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570"/>
      <c r="P162" s="21"/>
      <c r="Q162" s="1"/>
      <c r="R162" s="591"/>
      <c r="S162" s="21"/>
      <c r="T162" s="21"/>
      <c r="U162" s="21"/>
      <c r="V162" s="21"/>
      <c r="W162" s="21"/>
      <c r="X162" s="21"/>
      <c r="Y162" s="1"/>
      <c r="Z162" s="1"/>
      <c r="AA162" s="1"/>
      <c r="AB162" s="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</row>
    <row r="163" spans="1:39" ht="22.5" customHeight="1">
      <c r="A163" s="21"/>
      <c r="B163" s="21"/>
      <c r="C163" s="1"/>
      <c r="D163" s="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570"/>
      <c r="P163" s="21"/>
      <c r="Q163" s="1"/>
      <c r="R163" s="591"/>
      <c r="S163" s="21"/>
      <c r="T163" s="21"/>
      <c r="U163" s="21"/>
      <c r="V163" s="21"/>
      <c r="W163" s="21"/>
      <c r="X163" s="21"/>
      <c r="Y163" s="1"/>
      <c r="Z163" s="1"/>
      <c r="AA163" s="1"/>
      <c r="AB163" s="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</row>
    <row r="164" spans="1:39" ht="22.5" customHeight="1">
      <c r="A164" s="21"/>
      <c r="B164" s="21"/>
      <c r="C164" s="1"/>
      <c r="D164" s="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570"/>
      <c r="P164" s="21"/>
      <c r="Q164" s="1"/>
      <c r="R164" s="591"/>
      <c r="S164" s="21"/>
      <c r="T164" s="21"/>
      <c r="U164" s="21"/>
      <c r="V164" s="21"/>
      <c r="W164" s="21"/>
      <c r="X164" s="21"/>
      <c r="Y164" s="1"/>
      <c r="Z164" s="1"/>
      <c r="AA164" s="1"/>
      <c r="AB164" s="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</row>
    <row r="165" spans="1:39" ht="22.5" customHeight="1">
      <c r="A165" s="21"/>
      <c r="B165" s="21"/>
      <c r="C165" s="1"/>
      <c r="D165" s="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570"/>
      <c r="P165" s="21"/>
      <c r="Q165" s="1"/>
      <c r="R165" s="591"/>
      <c r="S165" s="21"/>
      <c r="T165" s="21"/>
      <c r="U165" s="21"/>
      <c r="V165" s="21"/>
      <c r="W165" s="21"/>
      <c r="X165" s="21"/>
      <c r="Y165" s="1"/>
      <c r="Z165" s="1"/>
      <c r="AA165" s="1"/>
      <c r="AB165" s="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</row>
    <row r="166" spans="1:39" ht="22.5" customHeight="1">
      <c r="A166" s="21"/>
      <c r="B166" s="21"/>
      <c r="C166" s="1"/>
      <c r="D166" s="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570"/>
      <c r="P166" s="21"/>
      <c r="Q166" s="1"/>
      <c r="R166" s="591"/>
      <c r="S166" s="21"/>
      <c r="T166" s="21"/>
      <c r="U166" s="21"/>
      <c r="V166" s="21"/>
      <c r="W166" s="21"/>
      <c r="X166" s="21"/>
      <c r="Y166" s="1"/>
      <c r="Z166" s="1"/>
      <c r="AA166" s="1"/>
      <c r="AB166" s="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</row>
    <row r="167" spans="1:39" ht="22.5" customHeight="1">
      <c r="A167" s="21"/>
      <c r="B167" s="21"/>
      <c r="C167" s="1"/>
      <c r="D167" s="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570"/>
      <c r="P167" s="21"/>
      <c r="Q167" s="1"/>
      <c r="R167" s="591"/>
      <c r="S167" s="21"/>
      <c r="T167" s="21"/>
      <c r="U167" s="21"/>
      <c r="V167" s="21"/>
      <c r="W167" s="21"/>
      <c r="X167" s="21"/>
      <c r="Y167" s="1"/>
      <c r="Z167" s="1"/>
      <c r="AA167" s="1"/>
      <c r="AB167" s="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</row>
    <row r="168" spans="1:39" ht="22.5" customHeight="1">
      <c r="A168" s="21"/>
      <c r="B168" s="21"/>
      <c r="C168" s="1"/>
      <c r="D168" s="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570"/>
      <c r="P168" s="21"/>
      <c r="Q168" s="1"/>
      <c r="R168" s="591"/>
      <c r="S168" s="21"/>
      <c r="T168" s="21"/>
      <c r="U168" s="21"/>
      <c r="V168" s="21"/>
      <c r="W168" s="21"/>
      <c r="X168" s="21"/>
      <c r="Y168" s="1"/>
      <c r="Z168" s="1"/>
      <c r="AA168" s="1"/>
      <c r="AB168" s="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</row>
    <row r="169" spans="1:39" ht="22.5" customHeight="1">
      <c r="A169" s="21"/>
      <c r="B169" s="21"/>
      <c r="C169" s="1"/>
      <c r="D169" s="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570"/>
      <c r="P169" s="21"/>
      <c r="Q169" s="1"/>
      <c r="R169" s="591"/>
      <c r="S169" s="21"/>
      <c r="T169" s="21"/>
      <c r="U169" s="21"/>
      <c r="V169" s="21"/>
      <c r="W169" s="21"/>
      <c r="X169" s="21"/>
      <c r="Y169" s="1"/>
      <c r="Z169" s="1"/>
      <c r="AA169" s="1"/>
      <c r="AB169" s="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</row>
    <row r="170" spans="1:39" ht="22.5" customHeight="1">
      <c r="A170" s="21"/>
      <c r="B170" s="21"/>
      <c r="C170" s="1"/>
      <c r="D170" s="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570"/>
      <c r="P170" s="21"/>
      <c r="Q170" s="1"/>
      <c r="R170" s="591"/>
      <c r="S170" s="21"/>
      <c r="T170" s="21"/>
      <c r="U170" s="21"/>
      <c r="V170" s="21"/>
      <c r="W170" s="21"/>
      <c r="X170" s="21"/>
      <c r="Y170" s="1"/>
      <c r="Z170" s="1"/>
      <c r="AA170" s="1"/>
      <c r="AB170" s="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</row>
    <row r="171" spans="1:39" ht="22.5" customHeight="1">
      <c r="A171" s="21"/>
      <c r="B171" s="21"/>
      <c r="C171" s="1"/>
      <c r="D171" s="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570"/>
      <c r="P171" s="21"/>
      <c r="Q171" s="1"/>
      <c r="R171" s="591"/>
      <c r="S171" s="21"/>
      <c r="T171" s="21"/>
      <c r="U171" s="21"/>
      <c r="V171" s="21"/>
      <c r="W171" s="21"/>
      <c r="X171" s="21"/>
      <c r="Y171" s="1"/>
      <c r="Z171" s="1"/>
      <c r="AA171" s="1"/>
      <c r="AB171" s="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</row>
    <row r="172" spans="1:39" ht="22.5" customHeight="1">
      <c r="A172" s="21"/>
      <c r="B172" s="21"/>
      <c r="C172" s="1"/>
      <c r="D172" s="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570"/>
      <c r="P172" s="21"/>
      <c r="Q172" s="1"/>
      <c r="R172" s="591"/>
      <c r="S172" s="21"/>
      <c r="T172" s="21"/>
      <c r="U172" s="21"/>
      <c r="V172" s="21"/>
      <c r="W172" s="21"/>
      <c r="X172" s="21"/>
      <c r="Y172" s="1"/>
      <c r="Z172" s="1"/>
      <c r="AA172" s="1"/>
      <c r="AB172" s="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</row>
    <row r="173" spans="1:39" ht="22.5" customHeight="1">
      <c r="A173" s="21"/>
      <c r="B173" s="21"/>
      <c r="C173" s="1"/>
      <c r="D173" s="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570"/>
      <c r="P173" s="21"/>
      <c r="Q173" s="1"/>
      <c r="R173" s="591"/>
      <c r="S173" s="21"/>
      <c r="T173" s="21"/>
      <c r="U173" s="21"/>
      <c r="V173" s="21"/>
      <c r="W173" s="21"/>
      <c r="X173" s="21"/>
      <c r="Y173" s="1"/>
      <c r="Z173" s="1"/>
      <c r="AA173" s="1"/>
      <c r="AB173" s="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</row>
    <row r="174" spans="1:39" ht="22.5" customHeight="1">
      <c r="A174" s="21"/>
      <c r="B174" s="21"/>
      <c r="C174" s="1"/>
      <c r="D174" s="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570"/>
      <c r="P174" s="21"/>
      <c r="Q174" s="1"/>
      <c r="R174" s="591"/>
      <c r="S174" s="21"/>
      <c r="T174" s="21"/>
      <c r="U174" s="21"/>
      <c r="V174" s="21"/>
      <c r="W174" s="21"/>
      <c r="X174" s="21"/>
      <c r="Y174" s="1"/>
      <c r="Z174" s="1"/>
      <c r="AA174" s="1"/>
      <c r="AB174" s="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</row>
    <row r="175" spans="1:39" ht="22.5" customHeight="1">
      <c r="A175" s="21"/>
      <c r="B175" s="21"/>
      <c r="C175" s="1"/>
      <c r="D175" s="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570"/>
      <c r="P175" s="21"/>
      <c r="Q175" s="1"/>
      <c r="R175" s="591"/>
      <c r="S175" s="21"/>
      <c r="T175" s="21"/>
      <c r="U175" s="21"/>
      <c r="V175" s="21"/>
      <c r="W175" s="21"/>
      <c r="X175" s="21"/>
      <c r="Y175" s="1"/>
      <c r="Z175" s="1"/>
      <c r="AA175" s="1"/>
      <c r="AB175" s="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</row>
    <row r="176" spans="1:39" ht="22.5" customHeight="1">
      <c r="A176" s="21"/>
      <c r="B176" s="21"/>
      <c r="C176" s="1"/>
      <c r="D176" s="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570"/>
      <c r="P176" s="21"/>
      <c r="Q176" s="1"/>
      <c r="R176" s="591"/>
      <c r="S176" s="21"/>
      <c r="T176" s="21"/>
      <c r="U176" s="21"/>
      <c r="V176" s="21"/>
      <c r="W176" s="21"/>
      <c r="X176" s="21"/>
      <c r="Y176" s="1"/>
      <c r="Z176" s="1"/>
      <c r="AA176" s="1"/>
      <c r="AB176" s="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</row>
    <row r="177" spans="1:39" ht="22.5" customHeight="1">
      <c r="A177" s="21"/>
      <c r="B177" s="21"/>
      <c r="C177" s="1"/>
      <c r="D177" s="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570"/>
      <c r="P177" s="21"/>
      <c r="Q177" s="1"/>
      <c r="R177" s="591"/>
      <c r="S177" s="21"/>
      <c r="T177" s="21"/>
      <c r="U177" s="21"/>
      <c r="V177" s="21"/>
      <c r="W177" s="21"/>
      <c r="X177" s="21"/>
      <c r="Y177" s="1"/>
      <c r="Z177" s="1"/>
      <c r="AA177" s="1"/>
      <c r="AB177" s="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</row>
    <row r="178" spans="1:39" ht="22.5" customHeight="1">
      <c r="A178" s="21"/>
      <c r="B178" s="21"/>
      <c r="C178" s="1"/>
      <c r="D178" s="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570"/>
      <c r="P178" s="21"/>
      <c r="Q178" s="1"/>
      <c r="R178" s="591"/>
      <c r="S178" s="21"/>
      <c r="T178" s="21"/>
      <c r="U178" s="21"/>
      <c r="V178" s="21"/>
      <c r="W178" s="21"/>
      <c r="X178" s="21"/>
      <c r="Y178" s="1"/>
      <c r="Z178" s="1"/>
      <c r="AA178" s="1"/>
      <c r="AB178" s="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</row>
    <row r="179" spans="1:39" ht="22.5" customHeight="1">
      <c r="A179" s="21"/>
      <c r="B179" s="21"/>
      <c r="C179" s="1"/>
      <c r="D179" s="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570"/>
      <c r="P179" s="21"/>
      <c r="Q179" s="1"/>
      <c r="R179" s="591"/>
      <c r="S179" s="21"/>
      <c r="T179" s="21"/>
      <c r="U179" s="21"/>
      <c r="V179" s="21"/>
      <c r="W179" s="21"/>
      <c r="X179" s="21"/>
      <c r="Y179" s="1"/>
      <c r="Z179" s="1"/>
      <c r="AA179" s="1"/>
      <c r="AB179" s="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</row>
    <row r="180" spans="1:39" ht="22.5" customHeight="1">
      <c r="A180" s="21"/>
      <c r="B180" s="21"/>
      <c r="C180" s="1"/>
      <c r="D180" s="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570"/>
      <c r="P180" s="21"/>
      <c r="Q180" s="1"/>
      <c r="R180" s="591"/>
      <c r="S180" s="21"/>
      <c r="T180" s="21"/>
      <c r="U180" s="21"/>
      <c r="V180" s="21"/>
      <c r="W180" s="21"/>
      <c r="X180" s="21"/>
      <c r="Y180" s="1"/>
      <c r="Z180" s="1"/>
      <c r="AA180" s="1"/>
      <c r="AB180" s="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</row>
    <row r="181" spans="1:39" ht="22.5" customHeight="1">
      <c r="A181" s="21"/>
      <c r="B181" s="21"/>
      <c r="C181" s="1"/>
      <c r="D181" s="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570"/>
      <c r="P181" s="21"/>
      <c r="Q181" s="1"/>
      <c r="R181" s="591"/>
      <c r="S181" s="21"/>
      <c r="T181" s="21"/>
      <c r="U181" s="21"/>
      <c r="V181" s="21"/>
      <c r="W181" s="21"/>
      <c r="X181" s="21"/>
      <c r="Y181" s="1"/>
      <c r="Z181" s="1"/>
      <c r="AA181" s="1"/>
      <c r="AB181" s="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</row>
    <row r="182" spans="1:39" ht="22.5" customHeight="1">
      <c r="A182" s="21"/>
      <c r="B182" s="21"/>
      <c r="C182" s="1"/>
      <c r="D182" s="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570"/>
      <c r="P182" s="21"/>
      <c r="Q182" s="1"/>
      <c r="R182" s="591"/>
      <c r="S182" s="21"/>
      <c r="T182" s="21"/>
      <c r="U182" s="21"/>
      <c r="V182" s="21"/>
      <c r="W182" s="21"/>
      <c r="X182" s="21"/>
      <c r="Y182" s="1"/>
      <c r="Z182" s="1"/>
      <c r="AA182" s="1"/>
      <c r="AB182" s="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</row>
    <row r="183" spans="1:39" ht="22.5" customHeight="1">
      <c r="A183" s="21"/>
      <c r="B183" s="21"/>
      <c r="C183" s="1"/>
      <c r="D183" s="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570"/>
      <c r="P183" s="21"/>
      <c r="Q183" s="1"/>
      <c r="R183" s="591"/>
      <c r="S183" s="21"/>
      <c r="T183" s="21"/>
      <c r="U183" s="21"/>
      <c r="V183" s="21"/>
      <c r="W183" s="21"/>
      <c r="X183" s="21"/>
      <c r="Y183" s="1"/>
      <c r="Z183" s="1"/>
      <c r="AA183" s="1"/>
      <c r="AB183" s="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</row>
    <row r="184" spans="1:39" ht="22.5" customHeight="1">
      <c r="A184" s="21"/>
      <c r="B184" s="21"/>
      <c r="C184" s="1"/>
      <c r="D184" s="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570"/>
      <c r="P184" s="21"/>
      <c r="Q184" s="1"/>
      <c r="R184" s="591"/>
      <c r="S184" s="21"/>
      <c r="T184" s="21"/>
      <c r="U184" s="21"/>
      <c r="V184" s="21"/>
      <c r="W184" s="21"/>
      <c r="X184" s="21"/>
      <c r="Y184" s="1"/>
      <c r="Z184" s="1"/>
      <c r="AA184" s="1"/>
      <c r="AB184" s="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</row>
    <row r="185" spans="1:39" ht="22.5" customHeight="1">
      <c r="A185" s="21"/>
      <c r="B185" s="21"/>
      <c r="C185" s="1"/>
      <c r="D185" s="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570"/>
      <c r="P185" s="21"/>
      <c r="Q185" s="1"/>
      <c r="R185" s="591"/>
      <c r="S185" s="21"/>
      <c r="T185" s="21"/>
      <c r="U185" s="21"/>
      <c r="V185" s="21"/>
      <c r="W185" s="21"/>
      <c r="X185" s="21"/>
      <c r="Y185" s="1"/>
      <c r="Z185" s="1"/>
      <c r="AA185" s="1"/>
      <c r="AB185" s="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</row>
    <row r="186" spans="1:39" ht="22.5" customHeight="1">
      <c r="A186" s="21"/>
      <c r="B186" s="21"/>
      <c r="C186" s="1"/>
      <c r="D186" s="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570"/>
      <c r="P186" s="21"/>
      <c r="Q186" s="1"/>
      <c r="R186" s="591"/>
      <c r="S186" s="21"/>
      <c r="T186" s="21"/>
      <c r="U186" s="21"/>
      <c r="V186" s="21"/>
      <c r="W186" s="21"/>
      <c r="X186" s="21"/>
      <c r="Y186" s="1"/>
      <c r="Z186" s="1"/>
      <c r="AA186" s="1"/>
      <c r="AB186" s="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</row>
    <row r="187" spans="1:39" ht="22.5" customHeight="1">
      <c r="A187" s="21"/>
      <c r="B187" s="21"/>
      <c r="C187" s="1"/>
      <c r="D187" s="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570"/>
      <c r="P187" s="21"/>
      <c r="Q187" s="1"/>
      <c r="R187" s="591"/>
      <c r="S187" s="21"/>
      <c r="T187" s="21"/>
      <c r="U187" s="21"/>
      <c r="V187" s="21"/>
      <c r="W187" s="21"/>
      <c r="X187" s="21"/>
      <c r="Y187" s="1"/>
      <c r="Z187" s="1"/>
      <c r="AA187" s="1"/>
      <c r="AB187" s="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</row>
    <row r="188" spans="1:39" ht="22.5" customHeight="1">
      <c r="A188" s="21"/>
      <c r="B188" s="21"/>
      <c r="C188" s="1"/>
      <c r="D188" s="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570"/>
      <c r="P188" s="21"/>
      <c r="Q188" s="1"/>
      <c r="R188" s="591"/>
      <c r="S188" s="21"/>
      <c r="T188" s="21"/>
      <c r="U188" s="21"/>
      <c r="V188" s="21"/>
      <c r="W188" s="21"/>
      <c r="X188" s="21"/>
      <c r="Y188" s="1"/>
      <c r="Z188" s="1"/>
      <c r="AA188" s="1"/>
      <c r="AB188" s="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</row>
    <row r="189" spans="1:39" ht="22.5" customHeight="1">
      <c r="A189" s="21"/>
      <c r="B189" s="21"/>
      <c r="C189" s="1"/>
      <c r="D189" s="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570"/>
      <c r="P189" s="21"/>
      <c r="Q189" s="1"/>
      <c r="R189" s="591"/>
      <c r="S189" s="21"/>
      <c r="T189" s="21"/>
      <c r="U189" s="21"/>
      <c r="V189" s="21"/>
      <c r="W189" s="21"/>
      <c r="X189" s="21"/>
      <c r="Y189" s="1"/>
      <c r="Z189" s="1"/>
      <c r="AA189" s="1"/>
      <c r="AB189" s="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</row>
    <row r="190" spans="1:39" ht="22.5" customHeight="1">
      <c r="A190" s="21"/>
      <c r="B190" s="21"/>
      <c r="C190" s="1"/>
      <c r="D190" s="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570"/>
      <c r="P190" s="21"/>
      <c r="Q190" s="1"/>
      <c r="R190" s="591"/>
      <c r="S190" s="21"/>
      <c r="T190" s="21"/>
      <c r="U190" s="21"/>
      <c r="V190" s="21"/>
      <c r="W190" s="21"/>
      <c r="X190" s="21"/>
      <c r="Y190" s="1"/>
      <c r="Z190" s="1"/>
      <c r="AA190" s="1"/>
      <c r="AB190" s="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</row>
    <row r="191" spans="1:39" ht="22.5" customHeight="1">
      <c r="A191" s="21"/>
      <c r="B191" s="21"/>
      <c r="C191" s="1"/>
      <c r="D191" s="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570"/>
      <c r="P191" s="21"/>
      <c r="Q191" s="1"/>
      <c r="R191" s="591"/>
      <c r="S191" s="21"/>
      <c r="T191" s="21"/>
      <c r="U191" s="21"/>
      <c r="V191" s="21"/>
      <c r="W191" s="21"/>
      <c r="X191" s="21"/>
      <c r="Y191" s="1"/>
      <c r="Z191" s="1"/>
      <c r="AA191" s="1"/>
      <c r="AB191" s="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</row>
    <row r="192" spans="1:39" ht="22.5" customHeight="1">
      <c r="A192" s="21"/>
      <c r="B192" s="21"/>
      <c r="C192" s="1"/>
      <c r="D192" s="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570"/>
      <c r="P192" s="21"/>
      <c r="Q192" s="1"/>
      <c r="R192" s="591"/>
      <c r="S192" s="21"/>
      <c r="T192" s="21"/>
      <c r="U192" s="21"/>
      <c r="V192" s="21"/>
      <c r="W192" s="21"/>
      <c r="X192" s="21"/>
      <c r="Y192" s="1"/>
      <c r="Z192" s="1"/>
      <c r="AA192" s="1"/>
      <c r="AB192" s="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</row>
    <row r="193" spans="1:39" ht="22.5" customHeight="1">
      <c r="A193" s="21"/>
      <c r="B193" s="21"/>
      <c r="C193" s="1"/>
      <c r="D193" s="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570"/>
      <c r="P193" s="21"/>
      <c r="Q193" s="1"/>
      <c r="R193" s="591"/>
      <c r="S193" s="21"/>
      <c r="T193" s="21"/>
      <c r="U193" s="21"/>
      <c r="V193" s="21"/>
      <c r="W193" s="21"/>
      <c r="X193" s="21"/>
      <c r="Y193" s="1"/>
      <c r="Z193" s="1"/>
      <c r="AA193" s="1"/>
      <c r="AB193" s="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</row>
    <row r="194" spans="1:39" ht="22.5" customHeight="1">
      <c r="A194" s="21"/>
      <c r="B194" s="21"/>
      <c r="C194" s="1"/>
      <c r="D194" s="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570"/>
      <c r="P194" s="21"/>
      <c r="Q194" s="1"/>
      <c r="R194" s="591"/>
      <c r="S194" s="21"/>
      <c r="T194" s="21"/>
      <c r="U194" s="21"/>
      <c r="V194" s="21"/>
      <c r="W194" s="21"/>
      <c r="X194" s="21"/>
      <c r="Y194" s="1"/>
      <c r="Z194" s="1"/>
      <c r="AA194" s="1"/>
      <c r="AB194" s="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</row>
    <row r="195" spans="1:39" ht="22.5" customHeight="1">
      <c r="A195" s="21"/>
      <c r="B195" s="21"/>
      <c r="C195" s="1"/>
      <c r="D195" s="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570"/>
      <c r="P195" s="21"/>
      <c r="Q195" s="1"/>
      <c r="R195" s="591"/>
      <c r="S195" s="21"/>
      <c r="T195" s="21"/>
      <c r="U195" s="21"/>
      <c r="V195" s="21"/>
      <c r="W195" s="21"/>
      <c r="X195" s="21"/>
      <c r="Y195" s="1"/>
      <c r="Z195" s="1"/>
      <c r="AA195" s="1"/>
      <c r="AB195" s="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</row>
    <row r="196" spans="1:39" ht="22.5" customHeight="1">
      <c r="A196" s="21"/>
      <c r="B196" s="21"/>
      <c r="C196" s="1"/>
      <c r="D196" s="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570"/>
      <c r="P196" s="21"/>
      <c r="Q196" s="1"/>
      <c r="R196" s="591"/>
      <c r="S196" s="21"/>
      <c r="T196" s="21"/>
      <c r="U196" s="21"/>
      <c r="V196" s="21"/>
      <c r="W196" s="21"/>
      <c r="X196" s="21"/>
      <c r="Y196" s="1"/>
      <c r="Z196" s="1"/>
      <c r="AA196" s="1"/>
      <c r="AB196" s="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</row>
    <row r="197" spans="1:39" ht="22.5" customHeight="1">
      <c r="A197" s="21"/>
      <c r="B197" s="21"/>
      <c r="C197" s="1"/>
      <c r="D197" s="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570"/>
      <c r="P197" s="21"/>
      <c r="Q197" s="1"/>
      <c r="R197" s="591"/>
      <c r="S197" s="21"/>
      <c r="T197" s="21"/>
      <c r="U197" s="21"/>
      <c r="V197" s="21"/>
      <c r="W197" s="21"/>
      <c r="X197" s="21"/>
      <c r="Y197" s="1"/>
      <c r="Z197" s="1"/>
      <c r="AA197" s="1"/>
      <c r="AB197" s="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</row>
    <row r="198" spans="1:39" ht="22.5" customHeight="1">
      <c r="A198" s="21"/>
      <c r="B198" s="21"/>
      <c r="C198" s="1"/>
      <c r="D198" s="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570"/>
      <c r="P198" s="21"/>
      <c r="Q198" s="1"/>
      <c r="R198" s="591"/>
      <c r="S198" s="21"/>
      <c r="T198" s="21"/>
      <c r="U198" s="21"/>
      <c r="V198" s="21"/>
      <c r="W198" s="21"/>
      <c r="X198" s="21"/>
      <c r="Y198" s="1"/>
      <c r="Z198" s="1"/>
      <c r="AA198" s="1"/>
      <c r="AB198" s="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</row>
    <row r="199" spans="1:39" ht="22.5" customHeight="1">
      <c r="A199" s="21"/>
      <c r="B199" s="21"/>
      <c r="C199" s="1"/>
      <c r="D199" s="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570"/>
      <c r="P199" s="21"/>
      <c r="Q199" s="1"/>
      <c r="R199" s="591"/>
      <c r="S199" s="21"/>
      <c r="T199" s="21"/>
      <c r="U199" s="21"/>
      <c r="V199" s="21"/>
      <c r="W199" s="21"/>
      <c r="X199" s="21"/>
      <c r="Y199" s="1"/>
      <c r="Z199" s="1"/>
      <c r="AA199" s="1"/>
      <c r="AB199" s="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</row>
    <row r="200" spans="1:39" ht="22.5" customHeight="1">
      <c r="A200" s="21"/>
      <c r="B200" s="21"/>
      <c r="C200" s="1"/>
      <c r="D200" s="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570"/>
      <c r="P200" s="21"/>
      <c r="Q200" s="1"/>
      <c r="R200" s="591"/>
      <c r="S200" s="21"/>
      <c r="T200" s="21"/>
      <c r="U200" s="21"/>
      <c r="V200" s="21"/>
      <c r="W200" s="21"/>
      <c r="X200" s="21"/>
      <c r="Y200" s="1"/>
      <c r="Z200" s="1"/>
      <c r="AA200" s="1"/>
      <c r="AB200" s="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</row>
    <row r="201" spans="1:39" ht="22.5" customHeight="1">
      <c r="A201" s="21"/>
      <c r="B201" s="21"/>
      <c r="C201" s="1"/>
      <c r="D201" s="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570"/>
      <c r="P201" s="21"/>
      <c r="Q201" s="1"/>
      <c r="R201" s="591"/>
      <c r="S201" s="21"/>
      <c r="T201" s="21"/>
      <c r="U201" s="21"/>
      <c r="V201" s="21"/>
      <c r="W201" s="21"/>
      <c r="X201" s="21"/>
      <c r="Y201" s="1"/>
      <c r="Z201" s="1"/>
      <c r="AA201" s="1"/>
      <c r="AB201" s="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</row>
    <row r="202" spans="1:39" ht="22.5" customHeight="1">
      <c r="A202" s="21"/>
      <c r="B202" s="21"/>
      <c r="C202" s="1"/>
      <c r="D202" s="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570"/>
      <c r="P202" s="21"/>
      <c r="Q202" s="1"/>
      <c r="R202" s="591"/>
      <c r="S202" s="21"/>
      <c r="T202" s="21"/>
      <c r="U202" s="21"/>
      <c r="V202" s="21"/>
      <c r="W202" s="21"/>
      <c r="X202" s="21"/>
      <c r="Y202" s="1"/>
      <c r="Z202" s="1"/>
      <c r="AA202" s="1"/>
      <c r="AB202" s="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</row>
    <row r="203" spans="1:39" ht="22.5" customHeight="1">
      <c r="A203" s="21"/>
      <c r="B203" s="21"/>
      <c r="C203" s="1"/>
      <c r="D203" s="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570"/>
      <c r="P203" s="21"/>
      <c r="Q203" s="1"/>
      <c r="R203" s="591"/>
      <c r="S203" s="21"/>
      <c r="T203" s="21"/>
      <c r="U203" s="21"/>
      <c r="V203" s="21"/>
      <c r="W203" s="21"/>
      <c r="X203" s="21"/>
      <c r="Y203" s="1"/>
      <c r="Z203" s="1"/>
      <c r="AA203" s="1"/>
      <c r="AB203" s="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</row>
    <row r="204" spans="1:39" ht="22.5" customHeight="1">
      <c r="A204" s="21"/>
      <c r="B204" s="21"/>
      <c r="C204" s="1"/>
      <c r="D204" s="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570"/>
      <c r="P204" s="21"/>
      <c r="Q204" s="1"/>
      <c r="R204" s="591"/>
      <c r="S204" s="21"/>
      <c r="T204" s="21"/>
      <c r="U204" s="21"/>
      <c r="V204" s="21"/>
      <c r="W204" s="21"/>
      <c r="X204" s="21"/>
      <c r="Y204" s="1"/>
      <c r="Z204" s="1"/>
      <c r="AA204" s="1"/>
      <c r="AB204" s="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</row>
    <row r="205" spans="1:39" ht="22.5" customHeight="1">
      <c r="A205" s="21"/>
      <c r="B205" s="21"/>
      <c r="C205" s="1"/>
      <c r="D205" s="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570"/>
      <c r="P205" s="21"/>
      <c r="Q205" s="1"/>
      <c r="R205" s="591"/>
      <c r="S205" s="21"/>
      <c r="T205" s="21"/>
      <c r="U205" s="21"/>
      <c r="V205" s="21"/>
      <c r="W205" s="21"/>
      <c r="X205" s="21"/>
      <c r="Y205" s="1"/>
      <c r="Z205" s="1"/>
      <c r="AA205" s="1"/>
      <c r="AB205" s="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</row>
    <row r="206" spans="1:39" ht="22.5" customHeight="1">
      <c r="A206" s="21"/>
      <c r="B206" s="21"/>
      <c r="C206" s="1"/>
      <c r="D206" s="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570"/>
      <c r="P206" s="21"/>
      <c r="Q206" s="1"/>
      <c r="R206" s="591"/>
      <c r="S206" s="21"/>
      <c r="T206" s="21"/>
      <c r="U206" s="21"/>
      <c r="V206" s="21"/>
      <c r="W206" s="21"/>
      <c r="X206" s="21"/>
      <c r="Y206" s="1"/>
      <c r="Z206" s="1"/>
      <c r="AA206" s="1"/>
      <c r="AB206" s="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</row>
    <row r="207" spans="1:39" ht="22.5" customHeight="1">
      <c r="A207" s="21"/>
      <c r="B207" s="21"/>
      <c r="C207" s="1"/>
      <c r="D207" s="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570"/>
      <c r="P207" s="21"/>
      <c r="Q207" s="1"/>
      <c r="R207" s="591"/>
      <c r="S207" s="21"/>
      <c r="T207" s="21"/>
      <c r="U207" s="21"/>
      <c r="V207" s="21"/>
      <c r="W207" s="21"/>
      <c r="X207" s="21"/>
      <c r="Y207" s="1"/>
      <c r="Z207" s="1"/>
      <c r="AA207" s="1"/>
      <c r="AB207" s="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</row>
    <row r="208" spans="1:39" ht="22.5" customHeight="1">
      <c r="A208" s="21"/>
      <c r="B208" s="21"/>
      <c r="C208" s="1"/>
      <c r="D208" s="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570"/>
      <c r="P208" s="21"/>
      <c r="Q208" s="1"/>
      <c r="R208" s="591"/>
      <c r="S208" s="21"/>
      <c r="T208" s="21"/>
      <c r="U208" s="21"/>
      <c r="V208" s="21"/>
      <c r="W208" s="21"/>
      <c r="X208" s="21"/>
      <c r="Y208" s="1"/>
      <c r="Z208" s="1"/>
      <c r="AA208" s="1"/>
      <c r="AB208" s="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</row>
    <row r="209" spans="1:39" ht="22.5" customHeight="1">
      <c r="A209" s="21"/>
      <c r="B209" s="21"/>
      <c r="C209" s="1"/>
      <c r="D209" s="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570"/>
      <c r="P209" s="21"/>
      <c r="Q209" s="1"/>
      <c r="R209" s="591"/>
      <c r="S209" s="21"/>
      <c r="T209" s="21"/>
      <c r="U209" s="21"/>
      <c r="V209" s="21"/>
      <c r="W209" s="21"/>
      <c r="X209" s="21"/>
      <c r="Y209" s="1"/>
      <c r="Z209" s="1"/>
      <c r="AA209" s="1"/>
      <c r="AB209" s="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</row>
    <row r="210" spans="1:39" ht="22.5" customHeight="1">
      <c r="A210" s="21"/>
      <c r="B210" s="21"/>
      <c r="C210" s="1"/>
      <c r="D210" s="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570"/>
      <c r="P210" s="21"/>
      <c r="Q210" s="1"/>
      <c r="R210" s="591"/>
      <c r="S210" s="21"/>
      <c r="T210" s="21"/>
      <c r="U210" s="21"/>
      <c r="V210" s="21"/>
      <c r="W210" s="21"/>
      <c r="X210" s="21"/>
      <c r="Y210" s="1"/>
      <c r="Z210" s="1"/>
      <c r="AA210" s="1"/>
      <c r="AB210" s="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</row>
    <row r="211" spans="1:39" ht="22.5" customHeight="1">
      <c r="A211" s="21"/>
      <c r="B211" s="21"/>
      <c r="C211" s="1"/>
      <c r="D211" s="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570"/>
      <c r="P211" s="21"/>
      <c r="Q211" s="1"/>
      <c r="R211" s="591"/>
      <c r="S211" s="21"/>
      <c r="T211" s="21"/>
      <c r="U211" s="21"/>
      <c r="V211" s="21"/>
      <c r="W211" s="21"/>
      <c r="X211" s="21"/>
      <c r="Y211" s="1"/>
      <c r="Z211" s="1"/>
      <c r="AA211" s="1"/>
      <c r="AB211" s="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</row>
    <row r="212" spans="1:39" ht="22.5" customHeight="1">
      <c r="A212" s="21"/>
      <c r="B212" s="21"/>
      <c r="C212" s="1"/>
      <c r="D212" s="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570"/>
      <c r="P212" s="21"/>
      <c r="Q212" s="1"/>
      <c r="R212" s="591"/>
      <c r="S212" s="21"/>
      <c r="T212" s="21"/>
      <c r="U212" s="21"/>
      <c r="V212" s="21"/>
      <c r="W212" s="21"/>
      <c r="X212" s="21"/>
      <c r="Y212" s="1"/>
      <c r="Z212" s="1"/>
      <c r="AA212" s="1"/>
      <c r="AB212" s="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</row>
    <row r="213" spans="1:39" ht="22.5" customHeight="1">
      <c r="A213" s="21"/>
      <c r="B213" s="21"/>
      <c r="C213" s="1"/>
      <c r="D213" s="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570"/>
      <c r="P213" s="21"/>
      <c r="Q213" s="1"/>
      <c r="R213" s="591"/>
      <c r="S213" s="21"/>
      <c r="T213" s="21"/>
      <c r="U213" s="21"/>
      <c r="V213" s="21"/>
      <c r="W213" s="21"/>
      <c r="X213" s="21"/>
      <c r="Y213" s="1"/>
      <c r="Z213" s="1"/>
      <c r="AA213" s="1"/>
      <c r="AB213" s="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</row>
    <row r="214" spans="1:39" ht="22.5" customHeight="1">
      <c r="A214" s="21"/>
      <c r="B214" s="21"/>
      <c r="C214" s="1"/>
      <c r="D214" s="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570"/>
      <c r="P214" s="21"/>
      <c r="Q214" s="1"/>
      <c r="R214" s="591"/>
      <c r="S214" s="21"/>
      <c r="T214" s="21"/>
      <c r="U214" s="21"/>
      <c r="V214" s="21"/>
      <c r="W214" s="21"/>
      <c r="X214" s="21"/>
      <c r="Y214" s="1"/>
      <c r="Z214" s="1"/>
      <c r="AA214" s="1"/>
      <c r="AB214" s="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</row>
    <row r="215" spans="1:39" ht="22.5" customHeight="1">
      <c r="A215" s="21"/>
      <c r="B215" s="21"/>
      <c r="C215" s="1"/>
      <c r="D215" s="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570"/>
      <c r="P215" s="21"/>
      <c r="Q215" s="1"/>
      <c r="R215" s="591"/>
      <c r="S215" s="21"/>
      <c r="T215" s="21"/>
      <c r="U215" s="21"/>
      <c r="V215" s="21"/>
      <c r="W215" s="21"/>
      <c r="X215" s="21"/>
      <c r="Y215" s="1"/>
      <c r="Z215" s="1"/>
      <c r="AA215" s="1"/>
      <c r="AB215" s="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</row>
    <row r="216" spans="1:39" ht="22.5" customHeight="1">
      <c r="A216" s="21"/>
      <c r="B216" s="21"/>
      <c r="C216" s="1"/>
      <c r="D216" s="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570"/>
      <c r="P216" s="21"/>
      <c r="Q216" s="1"/>
      <c r="R216" s="591"/>
      <c r="S216" s="21"/>
      <c r="T216" s="21"/>
      <c r="U216" s="21"/>
      <c r="V216" s="21"/>
      <c r="W216" s="21"/>
      <c r="X216" s="21"/>
      <c r="Y216" s="1"/>
      <c r="Z216" s="1"/>
      <c r="AA216" s="1"/>
      <c r="AB216" s="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</row>
    <row r="217" spans="1:39" ht="22.5" customHeight="1">
      <c r="A217" s="21"/>
      <c r="B217" s="21"/>
      <c r="C217" s="1"/>
      <c r="D217" s="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570"/>
      <c r="P217" s="21"/>
      <c r="Q217" s="1"/>
      <c r="R217" s="591"/>
      <c r="S217" s="21"/>
      <c r="T217" s="21"/>
      <c r="U217" s="21"/>
      <c r="V217" s="21"/>
      <c r="W217" s="21"/>
      <c r="X217" s="21"/>
      <c r="Y217" s="1"/>
      <c r="Z217" s="1"/>
      <c r="AA217" s="1"/>
      <c r="AB217" s="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</row>
    <row r="218" spans="1:39" ht="22.5" customHeight="1">
      <c r="A218" s="21"/>
      <c r="B218" s="21"/>
      <c r="C218" s="1"/>
      <c r="D218" s="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570"/>
      <c r="P218" s="21"/>
      <c r="Q218" s="1"/>
      <c r="R218" s="591"/>
      <c r="S218" s="21"/>
      <c r="T218" s="21"/>
      <c r="U218" s="21"/>
      <c r="V218" s="21"/>
      <c r="W218" s="21"/>
      <c r="X218" s="21"/>
      <c r="Y218" s="1"/>
      <c r="Z218" s="1"/>
      <c r="AA218" s="1"/>
      <c r="AB218" s="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</row>
    <row r="219" spans="1:39" ht="22.5" customHeight="1">
      <c r="A219" s="21"/>
      <c r="B219" s="21"/>
      <c r="C219" s="1"/>
      <c r="D219" s="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570"/>
      <c r="P219" s="21"/>
      <c r="Q219" s="1"/>
      <c r="R219" s="591"/>
      <c r="S219" s="21"/>
      <c r="T219" s="21"/>
      <c r="U219" s="21"/>
      <c r="V219" s="21"/>
      <c r="W219" s="21"/>
      <c r="X219" s="21"/>
      <c r="Y219" s="1"/>
      <c r="Z219" s="1"/>
      <c r="AA219" s="1"/>
      <c r="AB219" s="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</row>
    <row r="220" spans="1:39" ht="22.5" customHeight="1">
      <c r="A220" s="21"/>
      <c r="B220" s="21"/>
      <c r="C220" s="1"/>
      <c r="D220" s="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570"/>
      <c r="P220" s="21"/>
      <c r="Q220" s="1"/>
      <c r="R220" s="591"/>
      <c r="S220" s="21"/>
      <c r="T220" s="21"/>
      <c r="U220" s="21"/>
      <c r="V220" s="21"/>
      <c r="W220" s="21"/>
      <c r="X220" s="21"/>
      <c r="Y220" s="1"/>
      <c r="Z220" s="1"/>
      <c r="AA220" s="1"/>
      <c r="AB220" s="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</row>
    <row r="221" spans="1:39" ht="22.5" customHeight="1">
      <c r="A221" s="21"/>
      <c r="B221" s="21"/>
      <c r="C221" s="1"/>
      <c r="D221" s="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570"/>
      <c r="P221" s="21"/>
      <c r="Q221" s="1"/>
      <c r="R221" s="591"/>
      <c r="S221" s="21"/>
      <c r="T221" s="21"/>
      <c r="U221" s="21"/>
      <c r="V221" s="21"/>
      <c r="W221" s="21"/>
      <c r="X221" s="21"/>
      <c r="Y221" s="1"/>
      <c r="Z221" s="1"/>
      <c r="AA221" s="1"/>
      <c r="AB221" s="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</row>
    <row r="222" spans="1:39" ht="22.5" customHeight="1">
      <c r="A222" s="21"/>
      <c r="B222" s="21"/>
      <c r="C222" s="1"/>
      <c r="D222" s="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570"/>
      <c r="P222" s="21"/>
      <c r="Q222" s="1"/>
      <c r="R222" s="591"/>
      <c r="S222" s="21"/>
      <c r="T222" s="21"/>
      <c r="U222" s="21"/>
      <c r="V222" s="21"/>
      <c r="W222" s="21"/>
      <c r="X222" s="21"/>
      <c r="Y222" s="1"/>
      <c r="Z222" s="1"/>
      <c r="AA222" s="1"/>
      <c r="AB222" s="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</row>
    <row r="223" spans="1:39" ht="22.5" customHeight="1">
      <c r="A223" s="21"/>
      <c r="B223" s="21"/>
      <c r="C223" s="1"/>
      <c r="D223" s="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570"/>
      <c r="P223" s="21"/>
      <c r="Q223" s="1"/>
      <c r="R223" s="591"/>
      <c r="S223" s="21"/>
      <c r="T223" s="21"/>
      <c r="U223" s="21"/>
      <c r="V223" s="21"/>
      <c r="W223" s="21"/>
      <c r="X223" s="21"/>
      <c r="Y223" s="1"/>
      <c r="Z223" s="1"/>
      <c r="AA223" s="1"/>
      <c r="AB223" s="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</row>
    <row r="224" spans="1:39" ht="22.5" customHeight="1">
      <c r="A224" s="21"/>
      <c r="B224" s="21"/>
      <c r="C224" s="1"/>
      <c r="D224" s="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570"/>
      <c r="P224" s="21"/>
      <c r="Q224" s="1"/>
      <c r="R224" s="591"/>
      <c r="S224" s="21"/>
      <c r="T224" s="21"/>
      <c r="U224" s="21"/>
      <c r="V224" s="21"/>
      <c r="W224" s="21"/>
      <c r="X224" s="21"/>
      <c r="Y224" s="1"/>
      <c r="Z224" s="1"/>
      <c r="AA224" s="1"/>
      <c r="AB224" s="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</row>
    <row r="225" spans="1:39" ht="22.5" customHeight="1">
      <c r="A225" s="21"/>
      <c r="B225" s="21"/>
      <c r="C225" s="1"/>
      <c r="D225" s="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570"/>
      <c r="P225" s="21"/>
      <c r="Q225" s="1"/>
      <c r="R225" s="591"/>
      <c r="S225" s="21"/>
      <c r="T225" s="21"/>
      <c r="U225" s="21"/>
      <c r="V225" s="21"/>
      <c r="W225" s="21"/>
      <c r="X225" s="21"/>
      <c r="Y225" s="1"/>
      <c r="Z225" s="1"/>
      <c r="AA225" s="1"/>
      <c r="AB225" s="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</row>
    <row r="226" spans="1:39" ht="22.5" customHeight="1">
      <c r="A226" s="21"/>
      <c r="B226" s="21"/>
      <c r="C226" s="1"/>
      <c r="D226" s="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570"/>
      <c r="P226" s="21"/>
      <c r="Q226" s="1"/>
      <c r="R226" s="591"/>
      <c r="S226" s="21"/>
      <c r="T226" s="21"/>
      <c r="U226" s="21"/>
      <c r="V226" s="21"/>
      <c r="W226" s="21"/>
      <c r="X226" s="21"/>
      <c r="Y226" s="1"/>
      <c r="Z226" s="1"/>
      <c r="AA226" s="1"/>
      <c r="AB226" s="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</row>
    <row r="227" spans="1:39" ht="22.5" customHeight="1">
      <c r="A227" s="21"/>
      <c r="B227" s="21"/>
      <c r="C227" s="1"/>
      <c r="D227" s="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570"/>
      <c r="P227" s="21"/>
      <c r="Q227" s="1"/>
      <c r="R227" s="591"/>
      <c r="S227" s="21"/>
      <c r="T227" s="21"/>
      <c r="U227" s="21"/>
      <c r="V227" s="21"/>
      <c r="W227" s="21"/>
      <c r="X227" s="21"/>
      <c r="Y227" s="1"/>
      <c r="Z227" s="1"/>
      <c r="AA227" s="1"/>
      <c r="AB227" s="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</row>
    <row r="228" spans="1:39" ht="22.5" customHeight="1">
      <c r="A228" s="21"/>
      <c r="B228" s="21"/>
      <c r="C228" s="1"/>
      <c r="D228" s="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570"/>
      <c r="P228" s="21"/>
      <c r="Q228" s="1"/>
      <c r="R228" s="591"/>
      <c r="S228" s="21"/>
      <c r="T228" s="21"/>
      <c r="U228" s="21"/>
      <c r="V228" s="21"/>
      <c r="W228" s="21"/>
      <c r="X228" s="21"/>
      <c r="Y228" s="1"/>
      <c r="Z228" s="1"/>
      <c r="AA228" s="1"/>
      <c r="AB228" s="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</row>
    <row r="229" spans="1:39" ht="22.5" customHeight="1">
      <c r="A229" s="21"/>
      <c r="B229" s="21"/>
      <c r="C229" s="1"/>
      <c r="D229" s="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570"/>
      <c r="P229" s="21"/>
      <c r="Q229" s="1"/>
      <c r="R229" s="591"/>
      <c r="S229" s="21"/>
      <c r="T229" s="21"/>
      <c r="U229" s="21"/>
      <c r="V229" s="21"/>
      <c r="W229" s="21"/>
      <c r="X229" s="21"/>
      <c r="Y229" s="1"/>
      <c r="Z229" s="1"/>
      <c r="AA229" s="1"/>
      <c r="AB229" s="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</row>
    <row r="230" spans="1:39" ht="22.5" customHeight="1">
      <c r="A230" s="21"/>
      <c r="B230" s="21"/>
      <c r="C230" s="1"/>
      <c r="D230" s="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570"/>
      <c r="P230" s="21"/>
      <c r="Q230" s="1"/>
      <c r="R230" s="591"/>
      <c r="S230" s="21"/>
      <c r="T230" s="21"/>
      <c r="U230" s="21"/>
      <c r="V230" s="21"/>
      <c r="W230" s="21"/>
      <c r="X230" s="21"/>
      <c r="Y230" s="1"/>
      <c r="Z230" s="1"/>
      <c r="AA230" s="1"/>
      <c r="AB230" s="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</row>
    <row r="231" spans="1:39" ht="22.5" customHeight="1">
      <c r="A231" s="21"/>
      <c r="B231" s="21"/>
      <c r="C231" s="1"/>
      <c r="D231" s="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570"/>
      <c r="P231" s="21"/>
      <c r="Q231" s="1"/>
      <c r="R231" s="591"/>
      <c r="S231" s="21"/>
      <c r="T231" s="21"/>
      <c r="U231" s="21"/>
      <c r="V231" s="21"/>
      <c r="W231" s="21"/>
      <c r="X231" s="21"/>
      <c r="Y231" s="1"/>
      <c r="Z231" s="1"/>
      <c r="AA231" s="1"/>
      <c r="AB231" s="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</row>
    <row r="232" spans="1:39" ht="22.5" customHeight="1">
      <c r="A232" s="21"/>
      <c r="B232" s="21"/>
      <c r="C232" s="1"/>
      <c r="D232" s="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570"/>
      <c r="P232" s="21"/>
      <c r="Q232" s="1"/>
      <c r="R232" s="591"/>
      <c r="S232" s="21"/>
      <c r="T232" s="21"/>
      <c r="U232" s="21"/>
      <c r="V232" s="21"/>
      <c r="W232" s="21"/>
      <c r="X232" s="21"/>
      <c r="Y232" s="1"/>
      <c r="Z232" s="1"/>
      <c r="AA232" s="1"/>
      <c r="AB232" s="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</row>
    <row r="233" spans="1:39" ht="22.5" customHeight="1">
      <c r="A233" s="21"/>
      <c r="B233" s="21"/>
      <c r="C233" s="1"/>
      <c r="D233" s="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570"/>
      <c r="P233" s="21"/>
      <c r="Q233" s="1"/>
      <c r="R233" s="591"/>
      <c r="S233" s="21"/>
      <c r="T233" s="21"/>
      <c r="U233" s="21"/>
      <c r="V233" s="21"/>
      <c r="W233" s="21"/>
      <c r="X233" s="21"/>
      <c r="Y233" s="1"/>
      <c r="Z233" s="1"/>
      <c r="AA233" s="1"/>
      <c r="AB233" s="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</row>
    <row r="234" spans="1:39" ht="22.5" customHeight="1">
      <c r="A234" s="21"/>
      <c r="B234" s="21"/>
      <c r="C234" s="1"/>
      <c r="D234" s="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570"/>
      <c r="P234" s="21"/>
      <c r="Q234" s="1"/>
      <c r="R234" s="591"/>
      <c r="S234" s="21"/>
      <c r="T234" s="21"/>
      <c r="U234" s="21"/>
      <c r="V234" s="21"/>
      <c r="W234" s="21"/>
      <c r="X234" s="21"/>
      <c r="Y234" s="1"/>
      <c r="Z234" s="1"/>
      <c r="AA234" s="1"/>
      <c r="AB234" s="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</row>
    <row r="235" spans="1:39" ht="22.5" customHeight="1">
      <c r="A235" s="21"/>
      <c r="B235" s="21"/>
      <c r="C235" s="1"/>
      <c r="D235" s="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570"/>
      <c r="P235" s="21"/>
      <c r="Q235" s="1"/>
      <c r="R235" s="591"/>
      <c r="S235" s="21"/>
      <c r="T235" s="21"/>
      <c r="U235" s="21"/>
      <c r="V235" s="21"/>
      <c r="W235" s="21"/>
      <c r="X235" s="21"/>
      <c r="Y235" s="1"/>
      <c r="Z235" s="1"/>
      <c r="AA235" s="1"/>
      <c r="AB235" s="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</row>
    <row r="236" spans="1:39" ht="22.5" customHeight="1">
      <c r="A236" s="21"/>
      <c r="B236" s="21"/>
      <c r="C236" s="1"/>
      <c r="D236" s="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570"/>
      <c r="P236" s="21"/>
      <c r="Q236" s="1"/>
      <c r="R236" s="591"/>
      <c r="S236" s="21"/>
      <c r="T236" s="21"/>
      <c r="U236" s="21"/>
      <c r="V236" s="21"/>
      <c r="W236" s="21"/>
      <c r="X236" s="21"/>
      <c r="Y236" s="1"/>
      <c r="Z236" s="1"/>
      <c r="AA236" s="1"/>
      <c r="AB236" s="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</row>
    <row r="237" spans="1:39" ht="22.5" customHeight="1">
      <c r="A237" s="21"/>
      <c r="B237" s="21"/>
      <c r="C237" s="1"/>
      <c r="D237" s="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570"/>
      <c r="P237" s="21"/>
      <c r="Q237" s="1"/>
      <c r="R237" s="591"/>
      <c r="S237" s="21"/>
      <c r="T237" s="21"/>
      <c r="U237" s="21"/>
      <c r="V237" s="21"/>
      <c r="W237" s="21"/>
      <c r="X237" s="21"/>
      <c r="Y237" s="1"/>
      <c r="Z237" s="1"/>
      <c r="AA237" s="1"/>
      <c r="AB237" s="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</row>
    <row r="238" spans="1:39" ht="22.5" customHeight="1">
      <c r="A238" s="21"/>
      <c r="B238" s="21"/>
      <c r="C238" s="1"/>
      <c r="D238" s="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570"/>
      <c r="P238" s="21"/>
      <c r="Q238" s="1"/>
      <c r="R238" s="591"/>
      <c r="S238" s="21"/>
      <c r="T238" s="21"/>
      <c r="U238" s="21"/>
      <c r="V238" s="21"/>
      <c r="W238" s="21"/>
      <c r="X238" s="21"/>
      <c r="Y238" s="1"/>
      <c r="Z238" s="1"/>
      <c r="AA238" s="1"/>
      <c r="AB238" s="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</row>
    <row r="239" spans="1:39" ht="22.5" customHeight="1">
      <c r="A239" s="21"/>
      <c r="B239" s="21"/>
      <c r="C239" s="1"/>
      <c r="D239" s="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570"/>
      <c r="P239" s="21"/>
      <c r="Q239" s="1"/>
      <c r="R239" s="591"/>
      <c r="S239" s="21"/>
      <c r="T239" s="21"/>
      <c r="U239" s="21"/>
      <c r="V239" s="21"/>
      <c r="W239" s="21"/>
      <c r="X239" s="21"/>
      <c r="Y239" s="1"/>
      <c r="Z239" s="1"/>
      <c r="AA239" s="1"/>
      <c r="AB239" s="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</row>
    <row r="240" spans="1:39" ht="22.5" customHeight="1">
      <c r="A240" s="21"/>
      <c r="B240" s="21"/>
      <c r="C240" s="1"/>
      <c r="D240" s="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570"/>
      <c r="P240" s="21"/>
      <c r="Q240" s="1"/>
      <c r="R240" s="591"/>
      <c r="S240" s="21"/>
      <c r="T240" s="21"/>
      <c r="U240" s="21"/>
      <c r="V240" s="21"/>
      <c r="W240" s="21"/>
      <c r="X240" s="21"/>
      <c r="Y240" s="1"/>
      <c r="Z240" s="1"/>
      <c r="AA240" s="1"/>
      <c r="AB240" s="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</row>
    <row r="241" spans="1:39" ht="22.5" customHeight="1">
      <c r="A241" s="21"/>
      <c r="B241" s="21"/>
      <c r="C241" s="1"/>
      <c r="D241" s="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570"/>
      <c r="P241" s="21"/>
      <c r="Q241" s="1"/>
      <c r="R241" s="591"/>
      <c r="S241" s="21"/>
      <c r="T241" s="21"/>
      <c r="U241" s="21"/>
      <c r="V241" s="21"/>
      <c r="W241" s="21"/>
      <c r="X241" s="21"/>
      <c r="Y241" s="1"/>
      <c r="Z241" s="1"/>
      <c r="AA241" s="1"/>
      <c r="AB241" s="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</row>
    <row r="242" spans="1:39" ht="22.5" customHeight="1">
      <c r="A242" s="21"/>
      <c r="B242" s="21"/>
      <c r="C242" s="1"/>
      <c r="D242" s="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570"/>
      <c r="P242" s="21"/>
      <c r="Q242" s="1"/>
      <c r="R242" s="591"/>
      <c r="S242" s="21"/>
      <c r="T242" s="21"/>
      <c r="U242" s="21"/>
      <c r="V242" s="21"/>
      <c r="W242" s="21"/>
      <c r="X242" s="21"/>
      <c r="Y242" s="1"/>
      <c r="Z242" s="1"/>
      <c r="AA242" s="1"/>
      <c r="AB242" s="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</row>
    <row r="243" spans="1:39" ht="22.5" customHeight="1">
      <c r="A243" s="21"/>
      <c r="B243" s="21"/>
      <c r="C243" s="1"/>
      <c r="D243" s="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570"/>
      <c r="P243" s="21"/>
      <c r="Q243" s="1"/>
      <c r="R243" s="591"/>
      <c r="S243" s="21"/>
      <c r="T243" s="21"/>
      <c r="U243" s="21"/>
      <c r="V243" s="21"/>
      <c r="W243" s="21"/>
      <c r="X243" s="21"/>
      <c r="Y243" s="1"/>
      <c r="Z243" s="1"/>
      <c r="AA243" s="1"/>
      <c r="AB243" s="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</row>
    <row r="244" spans="1:39" ht="22.5" customHeight="1">
      <c r="A244" s="21"/>
      <c r="B244" s="21"/>
      <c r="C244" s="1"/>
      <c r="D244" s="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570"/>
      <c r="P244" s="21"/>
      <c r="Q244" s="1"/>
      <c r="R244" s="591"/>
      <c r="S244" s="21"/>
      <c r="T244" s="21"/>
      <c r="U244" s="21"/>
      <c r="V244" s="21"/>
      <c r="W244" s="21"/>
      <c r="X244" s="21"/>
      <c r="Y244" s="1"/>
      <c r="Z244" s="1"/>
      <c r="AA244" s="1"/>
      <c r="AB244" s="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</row>
    <row r="245" spans="1:39" ht="22.5" customHeight="1">
      <c r="A245" s="21"/>
      <c r="B245" s="21"/>
      <c r="C245" s="1"/>
      <c r="D245" s="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570"/>
      <c r="P245" s="21"/>
      <c r="Q245" s="1"/>
      <c r="R245" s="591"/>
      <c r="S245" s="21"/>
      <c r="T245" s="21"/>
      <c r="U245" s="21"/>
      <c r="V245" s="21"/>
      <c r="W245" s="21"/>
      <c r="X245" s="21"/>
      <c r="Y245" s="1"/>
      <c r="Z245" s="1"/>
      <c r="AA245" s="1"/>
      <c r="AB245" s="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</row>
    <row r="246" spans="1:39" ht="22.5" customHeight="1">
      <c r="A246" s="21"/>
      <c r="B246" s="21"/>
      <c r="C246" s="1"/>
      <c r="D246" s="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570"/>
      <c r="P246" s="21"/>
      <c r="Q246" s="1"/>
      <c r="R246" s="591"/>
      <c r="S246" s="21"/>
      <c r="T246" s="21"/>
      <c r="U246" s="21"/>
      <c r="V246" s="21"/>
      <c r="W246" s="21"/>
      <c r="X246" s="21"/>
      <c r="Y246" s="1"/>
      <c r="Z246" s="1"/>
      <c r="AA246" s="1"/>
      <c r="AB246" s="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</row>
    <row r="247" spans="1:39" ht="22.5" customHeight="1">
      <c r="A247" s="21"/>
      <c r="B247" s="21"/>
      <c r="C247" s="1"/>
      <c r="D247" s="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570"/>
      <c r="P247" s="21"/>
      <c r="Q247" s="1"/>
      <c r="R247" s="591"/>
      <c r="S247" s="21"/>
      <c r="T247" s="21"/>
      <c r="U247" s="21"/>
      <c r="V247" s="21"/>
      <c r="W247" s="21"/>
      <c r="X247" s="21"/>
      <c r="Y247" s="1"/>
      <c r="Z247" s="1"/>
      <c r="AA247" s="1"/>
      <c r="AB247" s="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</row>
    <row r="248" spans="1:39" ht="22.5" customHeight="1">
      <c r="A248" s="21"/>
      <c r="B248" s="21"/>
      <c r="C248" s="1"/>
      <c r="D248" s="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570"/>
      <c r="P248" s="21"/>
      <c r="Q248" s="1"/>
      <c r="R248" s="591"/>
      <c r="S248" s="21"/>
      <c r="T248" s="21"/>
      <c r="U248" s="21"/>
      <c r="V248" s="21"/>
      <c r="W248" s="21"/>
      <c r="X248" s="21"/>
      <c r="Y248" s="1"/>
      <c r="Z248" s="1"/>
      <c r="AA248" s="1"/>
      <c r="AB248" s="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</row>
    <row r="249" spans="1:39" ht="22.5" customHeight="1">
      <c r="A249" s="21"/>
      <c r="B249" s="21"/>
      <c r="C249" s="1"/>
      <c r="D249" s="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570"/>
      <c r="P249" s="21"/>
      <c r="Q249" s="1"/>
      <c r="R249" s="591"/>
      <c r="S249" s="21"/>
      <c r="T249" s="21"/>
      <c r="U249" s="21"/>
      <c r="V249" s="21"/>
      <c r="W249" s="21"/>
      <c r="X249" s="21"/>
      <c r="Y249" s="1"/>
      <c r="Z249" s="1"/>
      <c r="AA249" s="1"/>
      <c r="AB249" s="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</row>
    <row r="250" spans="1:39" ht="22.5" customHeight="1">
      <c r="A250" s="21"/>
      <c r="B250" s="21"/>
      <c r="C250" s="1"/>
      <c r="D250" s="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570"/>
      <c r="P250" s="21"/>
      <c r="Q250" s="1"/>
      <c r="R250" s="591"/>
      <c r="S250" s="21"/>
      <c r="T250" s="21"/>
      <c r="U250" s="21"/>
      <c r="V250" s="21"/>
      <c r="W250" s="21"/>
      <c r="X250" s="21"/>
      <c r="Y250" s="1"/>
      <c r="Z250" s="1"/>
      <c r="AA250" s="1"/>
      <c r="AB250" s="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</row>
    <row r="251" spans="1:39" ht="22.5" customHeight="1">
      <c r="A251" s="21"/>
      <c r="B251" s="21"/>
      <c r="C251" s="1"/>
      <c r="D251" s="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570"/>
      <c r="P251" s="21"/>
      <c r="Q251" s="1"/>
      <c r="R251" s="591"/>
      <c r="S251" s="21"/>
      <c r="T251" s="21"/>
      <c r="U251" s="21"/>
      <c r="V251" s="21"/>
      <c r="W251" s="21"/>
      <c r="X251" s="21"/>
      <c r="Y251" s="1"/>
      <c r="Z251" s="1"/>
      <c r="AA251" s="1"/>
      <c r="AB251" s="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</row>
    <row r="252" spans="1:39" ht="22.5" customHeight="1">
      <c r="A252" s="21"/>
      <c r="B252" s="21"/>
      <c r="C252" s="1"/>
      <c r="D252" s="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570"/>
      <c r="P252" s="21"/>
      <c r="Q252" s="1"/>
      <c r="R252" s="591"/>
      <c r="S252" s="21"/>
      <c r="T252" s="21"/>
      <c r="U252" s="21"/>
      <c r="V252" s="21"/>
      <c r="W252" s="21"/>
      <c r="X252" s="21"/>
      <c r="Y252" s="1"/>
      <c r="Z252" s="1"/>
      <c r="AA252" s="1"/>
      <c r="AB252" s="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</row>
    <row r="253" spans="1:39" ht="22.5" customHeight="1">
      <c r="A253" s="21"/>
      <c r="B253" s="21"/>
      <c r="C253" s="1"/>
      <c r="D253" s="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570"/>
      <c r="P253" s="21"/>
      <c r="Q253" s="1"/>
      <c r="R253" s="591"/>
      <c r="S253" s="21"/>
      <c r="T253" s="21"/>
      <c r="U253" s="21"/>
      <c r="V253" s="21"/>
      <c r="W253" s="21"/>
      <c r="X253" s="21"/>
      <c r="Y253" s="1"/>
      <c r="Z253" s="1"/>
      <c r="AA253" s="1"/>
      <c r="AB253" s="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</row>
    <row r="254" spans="1:39" ht="22.5" customHeight="1">
      <c r="A254" s="21"/>
      <c r="B254" s="21"/>
      <c r="C254" s="1"/>
      <c r="D254" s="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570"/>
      <c r="P254" s="21"/>
      <c r="Q254" s="1"/>
      <c r="R254" s="591"/>
      <c r="S254" s="21"/>
      <c r="T254" s="21"/>
      <c r="U254" s="21"/>
      <c r="V254" s="21"/>
      <c r="W254" s="21"/>
      <c r="X254" s="21"/>
      <c r="Y254" s="1"/>
      <c r="Z254" s="1"/>
      <c r="AA254" s="1"/>
      <c r="AB254" s="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</row>
    <row r="255" spans="1:39" ht="22.5" customHeight="1">
      <c r="A255" s="21"/>
      <c r="B255" s="21"/>
      <c r="C255" s="1"/>
      <c r="D255" s="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570"/>
      <c r="P255" s="21"/>
      <c r="Q255" s="1"/>
      <c r="R255" s="591"/>
      <c r="S255" s="21"/>
      <c r="T255" s="21"/>
      <c r="U255" s="21"/>
      <c r="V255" s="21"/>
      <c r="W255" s="21"/>
      <c r="X255" s="21"/>
      <c r="Y255" s="1"/>
      <c r="Z255" s="1"/>
      <c r="AA255" s="1"/>
      <c r="AB255" s="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</row>
    <row r="256" spans="1:39" ht="22.5" customHeight="1">
      <c r="A256" s="21"/>
      <c r="B256" s="21"/>
      <c r="C256" s="1"/>
      <c r="D256" s="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570"/>
      <c r="P256" s="21"/>
      <c r="Q256" s="1"/>
      <c r="R256" s="591"/>
      <c r="S256" s="21"/>
      <c r="T256" s="21"/>
      <c r="U256" s="21"/>
      <c r="V256" s="21"/>
      <c r="W256" s="21"/>
      <c r="X256" s="21"/>
      <c r="Y256" s="1"/>
      <c r="Z256" s="1"/>
      <c r="AA256" s="1"/>
      <c r="AB256" s="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</row>
    <row r="257" spans="1:39" ht="22.5" customHeight="1">
      <c r="A257" s="21"/>
      <c r="B257" s="21"/>
      <c r="C257" s="1"/>
      <c r="D257" s="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570"/>
      <c r="P257" s="21"/>
      <c r="Q257" s="1"/>
      <c r="R257" s="591"/>
      <c r="S257" s="21"/>
      <c r="T257" s="21"/>
      <c r="U257" s="21"/>
      <c r="V257" s="21"/>
      <c r="W257" s="21"/>
      <c r="X257" s="21"/>
      <c r="Y257" s="1"/>
      <c r="Z257" s="1"/>
      <c r="AA257" s="1"/>
      <c r="AB257" s="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</row>
    <row r="258" spans="1:39" ht="22.5" customHeight="1">
      <c r="A258" s="21"/>
      <c r="B258" s="21"/>
      <c r="C258" s="1"/>
      <c r="D258" s="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570"/>
      <c r="P258" s="21"/>
      <c r="Q258" s="1"/>
      <c r="R258" s="591"/>
      <c r="S258" s="21"/>
      <c r="T258" s="21"/>
      <c r="U258" s="21"/>
      <c r="V258" s="21"/>
      <c r="W258" s="21"/>
      <c r="X258" s="21"/>
      <c r="Y258" s="1"/>
      <c r="Z258" s="1"/>
      <c r="AA258" s="1"/>
      <c r="AB258" s="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</row>
    <row r="259" spans="1:39" ht="22.5" customHeight="1">
      <c r="A259" s="21"/>
      <c r="B259" s="21"/>
      <c r="C259" s="1"/>
      <c r="D259" s="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570"/>
      <c r="P259" s="21"/>
      <c r="Q259" s="1"/>
      <c r="R259" s="591"/>
      <c r="S259" s="21"/>
      <c r="T259" s="21"/>
      <c r="U259" s="21"/>
      <c r="V259" s="21"/>
      <c r="W259" s="21"/>
      <c r="X259" s="21"/>
      <c r="Y259" s="1"/>
      <c r="Z259" s="1"/>
      <c r="AA259" s="1"/>
      <c r="AB259" s="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</row>
    <row r="260" spans="1:39" ht="22.5" customHeight="1">
      <c r="A260" s="21"/>
      <c r="B260" s="21"/>
      <c r="C260" s="1"/>
      <c r="D260" s="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570"/>
      <c r="P260" s="21"/>
      <c r="Q260" s="1"/>
      <c r="R260" s="591"/>
      <c r="S260" s="21"/>
      <c r="T260" s="21"/>
      <c r="U260" s="21"/>
      <c r="V260" s="21"/>
      <c r="W260" s="21"/>
      <c r="X260" s="21"/>
      <c r="Y260" s="1"/>
      <c r="Z260" s="1"/>
      <c r="AA260" s="1"/>
      <c r="AB260" s="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</row>
    <row r="261" spans="1:39" ht="22.5" customHeight="1">
      <c r="A261" s="21"/>
      <c r="B261" s="21"/>
      <c r="C261" s="1"/>
      <c r="D261" s="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570"/>
      <c r="P261" s="21"/>
      <c r="Q261" s="1"/>
      <c r="R261" s="591"/>
      <c r="S261" s="21"/>
      <c r="T261" s="21"/>
      <c r="U261" s="21"/>
      <c r="V261" s="21"/>
      <c r="W261" s="21"/>
      <c r="X261" s="21"/>
      <c r="Y261" s="1"/>
      <c r="Z261" s="1"/>
      <c r="AA261" s="1"/>
      <c r="AB261" s="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</row>
    <row r="262" spans="1:39" ht="22.5" customHeight="1">
      <c r="A262" s="21"/>
      <c r="B262" s="21"/>
      <c r="C262" s="1"/>
      <c r="D262" s="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570"/>
      <c r="P262" s="21"/>
      <c r="Q262" s="1"/>
      <c r="R262" s="591"/>
      <c r="S262" s="21"/>
      <c r="T262" s="21"/>
      <c r="U262" s="21"/>
      <c r="V262" s="21"/>
      <c r="W262" s="21"/>
      <c r="X262" s="21"/>
      <c r="Y262" s="1"/>
      <c r="Z262" s="1"/>
      <c r="AA262" s="1"/>
      <c r="AB262" s="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</row>
    <row r="263" spans="1:39" ht="22.5" customHeight="1">
      <c r="A263" s="21"/>
      <c r="B263" s="21"/>
      <c r="C263" s="1"/>
      <c r="D263" s="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570"/>
      <c r="P263" s="21"/>
      <c r="Q263" s="1"/>
      <c r="R263" s="591"/>
      <c r="S263" s="21"/>
      <c r="T263" s="21"/>
      <c r="U263" s="21"/>
      <c r="V263" s="21"/>
      <c r="W263" s="21"/>
      <c r="X263" s="21"/>
      <c r="Y263" s="1"/>
      <c r="Z263" s="1"/>
      <c r="AA263" s="1"/>
      <c r="AB263" s="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</row>
    <row r="264" spans="1:39" ht="22.5" customHeight="1">
      <c r="A264" s="21"/>
      <c r="B264" s="21"/>
      <c r="C264" s="1"/>
      <c r="D264" s="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570"/>
      <c r="P264" s="21"/>
      <c r="Q264" s="1"/>
      <c r="R264" s="591"/>
      <c r="S264" s="21"/>
      <c r="T264" s="21"/>
      <c r="U264" s="21"/>
      <c r="V264" s="21"/>
      <c r="W264" s="21"/>
      <c r="X264" s="21"/>
      <c r="Y264" s="1"/>
      <c r="Z264" s="1"/>
      <c r="AA264" s="1"/>
      <c r="AB264" s="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</row>
    <row r="265" spans="1:39" ht="22.5" customHeight="1">
      <c r="A265" s="21"/>
      <c r="B265" s="21"/>
      <c r="C265" s="1"/>
      <c r="D265" s="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570"/>
      <c r="P265" s="21"/>
      <c r="Q265" s="1"/>
      <c r="R265" s="591"/>
      <c r="S265" s="21"/>
      <c r="T265" s="21"/>
      <c r="U265" s="21"/>
      <c r="V265" s="21"/>
      <c r="W265" s="21"/>
      <c r="X265" s="21"/>
      <c r="Y265" s="1"/>
      <c r="Z265" s="1"/>
      <c r="AA265" s="1"/>
      <c r="AB265" s="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</row>
    <row r="266" spans="1:39" ht="22.5" customHeight="1">
      <c r="A266" s="21"/>
      <c r="B266" s="21"/>
      <c r="C266" s="1"/>
      <c r="D266" s="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570"/>
      <c r="P266" s="21"/>
      <c r="Q266" s="1"/>
      <c r="R266" s="591"/>
      <c r="S266" s="21"/>
      <c r="T266" s="21"/>
      <c r="U266" s="21"/>
      <c r="V266" s="21"/>
      <c r="W266" s="21"/>
      <c r="X266" s="21"/>
      <c r="Y266" s="1"/>
      <c r="Z266" s="1"/>
      <c r="AA266" s="1"/>
      <c r="AB266" s="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</row>
    <row r="267" spans="1:39" ht="22.5" customHeight="1">
      <c r="A267" s="21"/>
      <c r="B267" s="21"/>
      <c r="C267" s="1"/>
      <c r="D267" s="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570"/>
      <c r="P267" s="21"/>
      <c r="Q267" s="1"/>
      <c r="R267" s="591"/>
      <c r="S267" s="21"/>
      <c r="T267" s="21"/>
      <c r="U267" s="21"/>
      <c r="V267" s="21"/>
      <c r="W267" s="21"/>
      <c r="X267" s="21"/>
      <c r="Y267" s="1"/>
      <c r="Z267" s="1"/>
      <c r="AA267" s="1"/>
      <c r="AB267" s="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</row>
    <row r="268" spans="1:39" ht="22.5" customHeight="1">
      <c r="A268" s="21"/>
      <c r="B268" s="21"/>
      <c r="C268" s="1"/>
      <c r="D268" s="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570"/>
      <c r="P268" s="21"/>
      <c r="Q268" s="1"/>
      <c r="R268" s="591"/>
      <c r="S268" s="21"/>
      <c r="T268" s="21"/>
      <c r="U268" s="21"/>
      <c r="V268" s="21"/>
      <c r="W268" s="21"/>
      <c r="X268" s="21"/>
      <c r="Y268" s="1"/>
      <c r="Z268" s="1"/>
      <c r="AA268" s="1"/>
      <c r="AB268" s="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</row>
    <row r="269" spans="1:39" ht="22.5" customHeight="1">
      <c r="A269" s="21"/>
      <c r="B269" s="21"/>
      <c r="C269" s="1"/>
      <c r="D269" s="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570"/>
      <c r="P269" s="21"/>
      <c r="Q269" s="1"/>
      <c r="R269" s="591"/>
      <c r="S269" s="21"/>
      <c r="T269" s="21"/>
      <c r="U269" s="21"/>
      <c r="V269" s="21"/>
      <c r="W269" s="21"/>
      <c r="X269" s="21"/>
      <c r="Y269" s="1"/>
      <c r="Z269" s="1"/>
      <c r="AA269" s="1"/>
      <c r="AB269" s="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</row>
    <row r="270" spans="1:39" ht="22.5" customHeight="1">
      <c r="A270" s="21"/>
      <c r="B270" s="21"/>
      <c r="C270" s="1"/>
      <c r="D270" s="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570"/>
      <c r="P270" s="21"/>
      <c r="Q270" s="1"/>
      <c r="R270" s="591"/>
      <c r="S270" s="21"/>
      <c r="T270" s="21"/>
      <c r="U270" s="21"/>
      <c r="V270" s="21"/>
      <c r="W270" s="21"/>
      <c r="X270" s="21"/>
      <c r="Y270" s="1"/>
      <c r="Z270" s="1"/>
      <c r="AA270" s="1"/>
      <c r="AB270" s="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</row>
    <row r="271" spans="1:39" ht="22.5" customHeight="1">
      <c r="A271" s="21"/>
      <c r="B271" s="21"/>
      <c r="C271" s="1"/>
      <c r="D271" s="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570"/>
      <c r="P271" s="21"/>
      <c r="Q271" s="1"/>
      <c r="R271" s="591"/>
      <c r="S271" s="21"/>
      <c r="T271" s="21"/>
      <c r="U271" s="21"/>
      <c r="V271" s="21"/>
      <c r="W271" s="21"/>
      <c r="X271" s="21"/>
      <c r="Y271" s="1"/>
      <c r="Z271" s="1"/>
      <c r="AA271" s="1"/>
      <c r="AB271" s="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</row>
    <row r="272" spans="1:39" ht="22.5" customHeight="1">
      <c r="A272" s="21"/>
      <c r="B272" s="21"/>
      <c r="C272" s="1"/>
      <c r="D272" s="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570"/>
      <c r="P272" s="21"/>
      <c r="Q272" s="1"/>
      <c r="R272" s="591"/>
      <c r="S272" s="21"/>
      <c r="T272" s="21"/>
      <c r="U272" s="21"/>
      <c r="V272" s="21"/>
      <c r="W272" s="21"/>
      <c r="X272" s="21"/>
      <c r="Y272" s="1"/>
      <c r="Z272" s="1"/>
      <c r="AA272" s="1"/>
      <c r="AB272" s="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</row>
    <row r="273" spans="1:39" ht="22.5" customHeight="1">
      <c r="A273" s="21"/>
      <c r="B273" s="21"/>
      <c r="C273" s="1"/>
      <c r="D273" s="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570"/>
      <c r="P273" s="21"/>
      <c r="Q273" s="1"/>
      <c r="R273" s="591"/>
      <c r="S273" s="21"/>
      <c r="T273" s="21"/>
      <c r="U273" s="21"/>
      <c r="V273" s="21"/>
      <c r="W273" s="21"/>
      <c r="X273" s="21"/>
      <c r="Y273" s="1"/>
      <c r="Z273" s="1"/>
      <c r="AA273" s="1"/>
      <c r="AB273" s="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</row>
    <row r="274" spans="1:39" ht="22.5" customHeight="1">
      <c r="A274" s="21"/>
      <c r="B274" s="21"/>
      <c r="C274" s="1"/>
      <c r="D274" s="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570"/>
      <c r="P274" s="21"/>
      <c r="Q274" s="1"/>
      <c r="R274" s="591"/>
      <c r="S274" s="21"/>
      <c r="T274" s="21"/>
      <c r="U274" s="21"/>
      <c r="V274" s="21"/>
      <c r="W274" s="21"/>
      <c r="X274" s="21"/>
      <c r="Y274" s="1"/>
      <c r="Z274" s="1"/>
      <c r="AA274" s="1"/>
      <c r="AB274" s="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</row>
    <row r="275" spans="1:39" ht="22.5" customHeight="1">
      <c r="A275" s="21"/>
      <c r="B275" s="21"/>
      <c r="C275" s="1"/>
      <c r="D275" s="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570"/>
      <c r="P275" s="21"/>
      <c r="Q275" s="1"/>
      <c r="R275" s="591"/>
      <c r="S275" s="21"/>
      <c r="T275" s="21"/>
      <c r="U275" s="21"/>
      <c r="V275" s="21"/>
      <c r="W275" s="21"/>
      <c r="X275" s="21"/>
      <c r="Y275" s="1"/>
      <c r="Z275" s="1"/>
      <c r="AA275" s="1"/>
      <c r="AB275" s="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</row>
    <row r="276" spans="1:39" ht="22.5" customHeight="1">
      <c r="A276" s="21"/>
      <c r="B276" s="21"/>
      <c r="C276" s="1"/>
      <c r="D276" s="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570"/>
      <c r="P276" s="21"/>
      <c r="Q276" s="1"/>
      <c r="R276" s="591"/>
      <c r="S276" s="21"/>
      <c r="T276" s="21"/>
      <c r="U276" s="21"/>
      <c r="V276" s="21"/>
      <c r="W276" s="21"/>
      <c r="X276" s="21"/>
      <c r="Y276" s="1"/>
      <c r="Z276" s="1"/>
      <c r="AA276" s="1"/>
      <c r="AB276" s="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</row>
    <row r="277" spans="1:39" ht="22.5" customHeight="1">
      <c r="A277" s="21"/>
      <c r="B277" s="21"/>
      <c r="C277" s="1"/>
      <c r="D277" s="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570"/>
      <c r="P277" s="21"/>
      <c r="Q277" s="1"/>
      <c r="R277" s="591"/>
      <c r="S277" s="21"/>
      <c r="T277" s="21"/>
      <c r="U277" s="21"/>
      <c r="V277" s="21"/>
      <c r="W277" s="21"/>
      <c r="X277" s="21"/>
      <c r="Y277" s="1"/>
      <c r="Z277" s="1"/>
      <c r="AA277" s="1"/>
      <c r="AB277" s="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</row>
    <row r="278" spans="1:39" ht="22.5" customHeight="1">
      <c r="A278" s="21"/>
      <c r="B278" s="21"/>
      <c r="C278" s="1"/>
      <c r="D278" s="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570"/>
      <c r="P278" s="21"/>
      <c r="Q278" s="1"/>
      <c r="R278" s="591"/>
      <c r="S278" s="21"/>
      <c r="T278" s="21"/>
      <c r="U278" s="21"/>
      <c r="V278" s="21"/>
      <c r="W278" s="21"/>
      <c r="X278" s="21"/>
      <c r="Y278" s="1"/>
      <c r="Z278" s="1"/>
      <c r="AA278" s="1"/>
      <c r="AB278" s="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</row>
    <row r="279" spans="1:39" ht="22.5" customHeight="1">
      <c r="A279" s="21"/>
      <c r="B279" s="21"/>
      <c r="C279" s="1"/>
      <c r="D279" s="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570"/>
      <c r="P279" s="21"/>
      <c r="Q279" s="1"/>
      <c r="R279" s="591"/>
      <c r="S279" s="21"/>
      <c r="T279" s="21"/>
      <c r="U279" s="21"/>
      <c r="V279" s="21"/>
      <c r="W279" s="21"/>
      <c r="X279" s="21"/>
      <c r="Y279" s="1"/>
      <c r="Z279" s="1"/>
      <c r="AA279" s="1"/>
      <c r="AB279" s="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</row>
    <row r="280" spans="1:39" ht="15.75" customHeight="1"/>
    <row r="281" spans="1:39" ht="15.75" customHeight="1"/>
    <row r="282" spans="1:39" ht="15.75" customHeight="1"/>
    <row r="283" spans="1:39" ht="15.75" customHeight="1"/>
    <row r="284" spans="1:39" ht="15.75" customHeight="1"/>
    <row r="285" spans="1:39" ht="15.75" customHeight="1"/>
    <row r="286" spans="1:39" ht="15.75" customHeight="1"/>
    <row r="287" spans="1:39" ht="15.75" customHeight="1"/>
    <row r="288" spans="1:39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conditionalFormatting sqref="B3:C76 Q68:Q71">
    <cfRule type="cellIs" dxfId="18" priority="1" stopIfTrue="1" operator="equal">
      <formula>$B$80</formula>
    </cfRule>
  </conditionalFormatting>
  <conditionalFormatting sqref="J3:J48 J57:J63">
    <cfRule type="cellIs" dxfId="17" priority="2" stopIfTrue="1" operator="greaterThan">
      <formula>0</formula>
    </cfRule>
  </conditionalFormatting>
  <conditionalFormatting sqref="J53:J55">
    <cfRule type="cellIs" dxfId="16" priority="3" stopIfTrue="1" operator="greaterThan">
      <formula>0</formula>
    </cfRule>
  </conditionalFormatting>
  <conditionalFormatting sqref="J65">
    <cfRule type="cellIs" dxfId="15" priority="4" stopIfTrue="1" operator="greaterThan">
      <formula>0</formula>
    </cfRule>
  </conditionalFormatting>
  <conditionalFormatting sqref="R3:R77">
    <cfRule type="cellIs" dxfId="14" priority="5" operator="equal">
      <formula>$R$1</formula>
    </cfRule>
  </conditionalFormatting>
  <pageMargins left="0.43888888888888899" right="0.26874999999999999" top="0.36875000000000002" bottom="0.26874999999999999" header="0" footer="0"/>
  <pageSetup paperSize="9" fitToHeight="0" orientation="portrait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000"/>
  <sheetViews>
    <sheetView workbookViewId="0"/>
  </sheetViews>
  <sheetFormatPr defaultColWidth="11.09765625" defaultRowHeight="15" customHeight="1"/>
  <cols>
    <col min="1" max="1" width="7" customWidth="1"/>
    <col min="2" max="2" width="8.59765625" customWidth="1"/>
    <col min="3" max="3" width="22.09765625" customWidth="1"/>
    <col min="4" max="13" width="7" customWidth="1"/>
  </cols>
  <sheetData>
    <row r="1" spans="1:13" ht="15.75" customHeight="1"/>
    <row r="2" spans="1:13" ht="15.75" customHeight="1">
      <c r="A2" s="176" t="s">
        <v>59</v>
      </c>
      <c r="B2" s="520" t="s">
        <v>535</v>
      </c>
      <c r="C2" s="512" t="s">
        <v>68</v>
      </c>
      <c r="D2" s="103"/>
      <c r="E2" s="103"/>
      <c r="F2" s="103"/>
      <c r="G2" s="103"/>
      <c r="H2" s="103"/>
      <c r="I2" s="103"/>
      <c r="J2" s="103"/>
      <c r="K2" s="102"/>
      <c r="L2" s="102"/>
      <c r="M2" s="102"/>
    </row>
    <row r="3" spans="1:13" ht="15.75" customHeight="1">
      <c r="A3" s="183">
        <v>2</v>
      </c>
      <c r="B3" s="521" t="e">
        <f>SUMIF('BY Class'!B$3:B$71,A3,'BY Class'!#REF!)</f>
        <v>#REF!</v>
      </c>
      <c r="C3" s="499"/>
      <c r="D3" s="103"/>
      <c r="E3" s="103"/>
      <c r="F3" s="103"/>
      <c r="G3" s="103"/>
      <c r="H3" s="103"/>
      <c r="I3" s="103"/>
      <c r="J3" s="103"/>
      <c r="K3" s="102"/>
      <c r="L3" s="102"/>
      <c r="M3" s="102"/>
    </row>
    <row r="4" spans="1:13" ht="15.75" customHeight="1">
      <c r="A4" s="183">
        <v>3</v>
      </c>
      <c r="B4" s="521" t="e">
        <f>SUMIF('BY Class'!B$3:B$71,A4,'BY Class'!#REF!)</f>
        <v>#REF!</v>
      </c>
      <c r="C4" s="499" t="s">
        <v>536</v>
      </c>
      <c r="D4" s="103"/>
      <c r="E4" s="103"/>
      <c r="F4" s="103"/>
      <c r="G4" s="103"/>
      <c r="H4" s="103"/>
      <c r="I4" s="103"/>
      <c r="J4" s="103"/>
      <c r="K4" s="102"/>
      <c r="L4" s="102"/>
      <c r="M4" s="102"/>
    </row>
    <row r="5" spans="1:13" ht="15.75" customHeight="1">
      <c r="A5" s="190">
        <v>4</v>
      </c>
      <c r="B5" s="522" t="e">
        <f>SUMIF('BY Class'!B$3:B$71,A5,'BY Class'!#REF!)</f>
        <v>#REF!</v>
      </c>
      <c r="C5" s="502" t="s">
        <v>537</v>
      </c>
      <c r="D5" s="103"/>
      <c r="E5" s="103"/>
      <c r="F5" s="103"/>
      <c r="G5" s="103"/>
      <c r="H5" s="103"/>
      <c r="I5" s="103"/>
      <c r="J5" s="103"/>
      <c r="K5" s="102"/>
      <c r="L5" s="102"/>
      <c r="M5" s="102"/>
    </row>
    <row r="6" spans="1:13" ht="15.75" customHeight="1">
      <c r="A6" s="190">
        <v>5</v>
      </c>
      <c r="B6" s="522" t="e">
        <f>SUMIF('BY Class'!B$3:B$71,A6,'BY Class'!#REF!)</f>
        <v>#REF!</v>
      </c>
      <c r="C6" s="502" t="s">
        <v>538</v>
      </c>
      <c r="D6" s="103"/>
      <c r="E6" s="103"/>
      <c r="F6" s="103"/>
      <c r="G6" s="103"/>
      <c r="H6" s="103"/>
      <c r="I6" s="103"/>
      <c r="J6" s="103"/>
      <c r="K6" s="102"/>
      <c r="L6" s="102"/>
      <c r="M6" s="102"/>
    </row>
    <row r="7" spans="1:13" ht="15.75" customHeight="1">
      <c r="A7" s="190">
        <v>6</v>
      </c>
      <c r="B7" s="522" t="e">
        <f>SUMIF('BY Class'!B$3:B$71,A7,'BY Class'!#REF!)</f>
        <v>#REF!</v>
      </c>
      <c r="C7" s="502"/>
      <c r="D7" s="103"/>
      <c r="E7" s="103"/>
      <c r="F7" s="103"/>
      <c r="G7" s="103"/>
      <c r="H7" s="103"/>
      <c r="I7" s="103"/>
      <c r="J7" s="103"/>
      <c r="K7" s="102"/>
      <c r="L7" s="102"/>
      <c r="M7" s="102"/>
    </row>
    <row r="8" spans="1:13" ht="15.75" customHeight="1">
      <c r="A8" s="190">
        <v>7</v>
      </c>
      <c r="B8" s="522" t="e">
        <f>SUMIF('BY Class'!B$3:B$71,A8,'BY Class'!#REF!)</f>
        <v>#REF!</v>
      </c>
      <c r="C8" s="502"/>
      <c r="D8" s="103"/>
      <c r="E8" s="103"/>
      <c r="F8" s="103"/>
      <c r="G8" s="103"/>
      <c r="H8" s="103"/>
      <c r="I8" s="103"/>
      <c r="J8" s="103"/>
      <c r="K8" s="102"/>
      <c r="L8" s="102"/>
      <c r="M8" s="102"/>
    </row>
    <row r="9" spans="1:13" ht="15.75" customHeight="1">
      <c r="A9" s="190">
        <v>8</v>
      </c>
      <c r="B9" s="522" t="e">
        <f>SUMIF('BY Class'!B$3:B$71,A9,'BY Class'!#REF!)</f>
        <v>#REF!</v>
      </c>
      <c r="C9" s="502"/>
      <c r="D9" s="103"/>
      <c r="E9" s="103"/>
      <c r="F9" s="103"/>
      <c r="G9" s="103"/>
      <c r="H9" s="103"/>
      <c r="I9" s="103"/>
      <c r="J9" s="103"/>
      <c r="K9" s="102"/>
      <c r="L9" s="102"/>
      <c r="M9" s="102"/>
    </row>
    <row r="10" spans="1:13" ht="15.75" customHeight="1">
      <c r="A10" s="190">
        <v>9</v>
      </c>
      <c r="B10" s="522" t="e">
        <f>SUMIF('BY Class'!B$3:B$71,A10,'BY Class'!#REF!)</f>
        <v>#REF!</v>
      </c>
      <c r="C10" s="502" t="s">
        <v>539</v>
      </c>
      <c r="D10" s="103"/>
      <c r="E10" s="103"/>
      <c r="F10" s="103"/>
      <c r="G10" s="103"/>
      <c r="H10" s="103"/>
      <c r="I10" s="103"/>
      <c r="J10" s="103"/>
      <c r="K10" s="102"/>
      <c r="L10" s="102"/>
      <c r="M10" s="102"/>
    </row>
    <row r="11" spans="1:13" ht="15.75" customHeight="1">
      <c r="A11" s="190">
        <v>10</v>
      </c>
      <c r="B11" s="522" t="e">
        <f>SUMIF('BY Class'!B$3:B$71,A11,'BY Class'!#REF!)</f>
        <v>#REF!</v>
      </c>
      <c r="C11" s="502"/>
      <c r="D11" s="103"/>
      <c r="E11" s="103"/>
      <c r="F11" s="103"/>
      <c r="G11" s="103"/>
      <c r="H11" s="103"/>
      <c r="I11" s="103"/>
      <c r="J11" s="103"/>
      <c r="K11" s="102"/>
      <c r="L11" s="102"/>
      <c r="M11" s="102"/>
    </row>
    <row r="12" spans="1:13" ht="15.75" customHeight="1">
      <c r="A12" s="190">
        <v>11</v>
      </c>
      <c r="B12" s="522" t="e">
        <f>SUMIF('BY Class'!B$3:B$71,A12,'BY Class'!#REF!)</f>
        <v>#REF!</v>
      </c>
      <c r="C12" s="502"/>
      <c r="D12" s="103"/>
      <c r="E12" s="103"/>
      <c r="F12" s="103"/>
      <c r="G12" s="103"/>
      <c r="H12" s="103"/>
      <c r="I12" s="103"/>
      <c r="J12" s="103"/>
      <c r="K12" s="102"/>
      <c r="L12" s="102"/>
      <c r="M12" s="102"/>
    </row>
    <row r="13" spans="1:13" ht="15.75" customHeight="1">
      <c r="A13" s="190">
        <v>12</v>
      </c>
      <c r="B13" s="522" t="e">
        <f>SUMIF('BY Class'!B$3:B$71,A13,'BY Class'!#REF!)</f>
        <v>#REF!</v>
      </c>
      <c r="C13" s="502"/>
      <c r="D13" s="103"/>
      <c r="E13" s="103"/>
      <c r="F13" s="103"/>
      <c r="G13" s="103"/>
      <c r="H13" s="103"/>
      <c r="I13" s="103"/>
      <c r="J13" s="103"/>
      <c r="K13" s="102"/>
      <c r="L13" s="102"/>
      <c r="M13" s="102"/>
    </row>
    <row r="14" spans="1:13" ht="15.75" customHeight="1">
      <c r="A14" s="190">
        <v>13</v>
      </c>
      <c r="B14" s="522" t="e">
        <f>SUMIF('BY Class'!B$3:B$71,A14,'BY Class'!#REF!)</f>
        <v>#REF!</v>
      </c>
      <c r="C14" s="502"/>
      <c r="D14" s="103"/>
      <c r="E14" s="103"/>
      <c r="F14" s="103"/>
      <c r="G14" s="103"/>
      <c r="H14" s="103"/>
      <c r="I14" s="103"/>
      <c r="J14" s="103"/>
      <c r="K14" s="102"/>
      <c r="L14" s="102"/>
      <c r="M14" s="102"/>
    </row>
    <row r="15" spans="1:13" ht="15.75" customHeight="1">
      <c r="A15" s="190">
        <v>14</v>
      </c>
      <c r="B15" s="522" t="e">
        <f>SUMIF('BY Class'!B$3:B$71,A15,'BY Class'!#REF!)</f>
        <v>#REF!</v>
      </c>
      <c r="C15" s="502"/>
      <c r="D15" s="103"/>
      <c r="E15" s="103"/>
      <c r="F15" s="103"/>
      <c r="G15" s="103"/>
      <c r="H15" s="103"/>
      <c r="I15" s="103"/>
      <c r="J15" s="103"/>
      <c r="K15" s="102"/>
      <c r="L15" s="102"/>
      <c r="M15" s="102"/>
    </row>
    <row r="16" spans="1:13" ht="15.75" customHeight="1">
      <c r="A16" s="190">
        <v>15</v>
      </c>
      <c r="B16" s="522" t="e">
        <f>SUMIF('BY Class'!B$3:B$71,A16,'BY Class'!#REF!)</f>
        <v>#REF!</v>
      </c>
      <c r="C16" s="502"/>
      <c r="D16" s="103"/>
      <c r="E16" s="103"/>
      <c r="F16" s="103"/>
      <c r="G16" s="103"/>
      <c r="H16" s="103"/>
      <c r="I16" s="103"/>
      <c r="J16" s="103"/>
      <c r="K16" s="102"/>
      <c r="L16" s="102"/>
      <c r="M16" s="102"/>
    </row>
    <row r="17" spans="1:13" ht="15.75" customHeight="1">
      <c r="A17" s="190">
        <v>16</v>
      </c>
      <c r="B17" s="522" t="e">
        <f>SUMIF('BY Class'!B$3:B$71,A17,'BY Class'!#REF!)</f>
        <v>#REF!</v>
      </c>
      <c r="C17" s="502"/>
      <c r="D17" s="103"/>
      <c r="E17" s="103"/>
      <c r="F17" s="103"/>
      <c r="G17" s="103"/>
      <c r="H17" s="103"/>
      <c r="I17" s="103"/>
      <c r="J17" s="103"/>
      <c r="K17" s="102"/>
      <c r="L17" s="102"/>
      <c r="M17" s="102"/>
    </row>
    <row r="18" spans="1:13" ht="15.75" customHeight="1">
      <c r="A18" s="190">
        <v>17</v>
      </c>
      <c r="B18" s="522" t="e">
        <f>SUMIF('BY Class'!B$3:B$71,A18,'BY Class'!#REF!)</f>
        <v>#REF!</v>
      </c>
      <c r="C18" s="502"/>
      <c r="D18" s="103"/>
      <c r="E18" s="103"/>
      <c r="F18" s="103"/>
      <c r="G18" s="103"/>
      <c r="H18" s="103"/>
      <c r="I18" s="103"/>
      <c r="J18" s="103"/>
      <c r="K18" s="102"/>
      <c r="L18" s="102"/>
      <c r="M18" s="102"/>
    </row>
    <row r="19" spans="1:13" ht="15.75" customHeight="1">
      <c r="A19" s="190">
        <v>18</v>
      </c>
      <c r="B19" s="522" t="e">
        <f>SUMIF('BY Class'!B$3:B$71,A19,'BY Class'!#REF!)</f>
        <v>#REF!</v>
      </c>
      <c r="C19" s="502"/>
      <c r="D19" s="103"/>
      <c r="E19" s="103"/>
      <c r="F19" s="103"/>
      <c r="G19" s="103"/>
      <c r="H19" s="103"/>
      <c r="I19" s="103"/>
      <c r="J19" s="103"/>
      <c r="K19" s="102"/>
      <c r="L19" s="102"/>
      <c r="M19" s="102"/>
    </row>
    <row r="20" spans="1:13" ht="15.75" customHeight="1">
      <c r="A20" s="190">
        <v>19</v>
      </c>
      <c r="B20" s="522" t="e">
        <f>SUMIF('BY Class'!B$3:B$71,A20,'BY Class'!#REF!)</f>
        <v>#REF!</v>
      </c>
      <c r="C20" s="502"/>
      <c r="D20" s="103"/>
      <c r="E20" s="103"/>
      <c r="F20" s="103"/>
      <c r="G20" s="103"/>
      <c r="H20" s="103"/>
      <c r="I20" s="103"/>
      <c r="J20" s="103"/>
      <c r="K20" s="102"/>
      <c r="L20" s="102"/>
      <c r="M20" s="102"/>
    </row>
    <row r="21" spans="1:13" ht="15.75" customHeight="1">
      <c r="A21" s="190">
        <v>20</v>
      </c>
      <c r="B21" s="522" t="e">
        <f>SUMIF('BY Class'!B$3:B$71,A21,'BY Class'!#REF!)</f>
        <v>#REF!</v>
      </c>
      <c r="C21" s="502" t="s">
        <v>540</v>
      </c>
      <c r="D21" s="103"/>
      <c r="E21" s="103"/>
      <c r="F21" s="103"/>
      <c r="G21" s="103"/>
      <c r="H21" s="103"/>
      <c r="I21" s="103"/>
      <c r="J21" s="103"/>
      <c r="K21" s="102"/>
      <c r="L21" s="102"/>
      <c r="M21" s="102"/>
    </row>
    <row r="22" spans="1:13" ht="15.75" customHeight="1">
      <c r="A22" s="190">
        <v>21</v>
      </c>
      <c r="B22" s="522" t="e">
        <f>SUMIF('BY Class'!B$3:B$71,A22,'BY Class'!#REF!)</f>
        <v>#REF!</v>
      </c>
      <c r="C22" s="502"/>
      <c r="D22" s="103"/>
      <c r="E22" s="103"/>
      <c r="F22" s="103"/>
      <c r="G22" s="103"/>
      <c r="H22" s="103"/>
      <c r="I22" s="103"/>
      <c r="J22" s="103"/>
      <c r="K22" s="102"/>
      <c r="L22" s="102"/>
      <c r="M22" s="102"/>
    </row>
    <row r="23" spans="1:13" ht="15.75" customHeight="1">
      <c r="A23" s="190">
        <v>22</v>
      </c>
      <c r="B23" s="522" t="e">
        <f>SUMIF('BY Class'!B$3:B$71,A23,'BY Class'!#REF!)</f>
        <v>#REF!</v>
      </c>
      <c r="C23" s="502" t="s">
        <v>541</v>
      </c>
      <c r="D23" s="103"/>
      <c r="E23" s="103"/>
      <c r="F23" s="103"/>
      <c r="G23" s="103"/>
      <c r="H23" s="103"/>
      <c r="I23" s="103"/>
      <c r="J23" s="103"/>
      <c r="K23" s="102"/>
      <c r="L23" s="102"/>
      <c r="M23" s="102"/>
    </row>
    <row r="24" spans="1:13" ht="15.75" customHeight="1">
      <c r="A24" s="190">
        <v>23</v>
      </c>
      <c r="B24" s="522" t="e">
        <f>SUMIF('BY Class'!B$3:B$71,A24,'BY Class'!#REF!)</f>
        <v>#REF!</v>
      </c>
      <c r="C24" s="502" t="s">
        <v>542</v>
      </c>
      <c r="D24" s="103"/>
      <c r="E24" s="103"/>
      <c r="F24" s="103"/>
      <c r="G24" s="103"/>
      <c r="H24" s="103"/>
      <c r="I24" s="103"/>
      <c r="J24" s="103"/>
      <c r="K24" s="102"/>
      <c r="L24" s="102"/>
      <c r="M24" s="102"/>
    </row>
    <row r="25" spans="1:13" ht="15.75" customHeight="1">
      <c r="A25" s="190">
        <v>24</v>
      </c>
      <c r="B25" s="522" t="e">
        <f>SUMIF('BY Class'!B$3:B$71,A25,'BY Class'!#REF!)</f>
        <v>#REF!</v>
      </c>
      <c r="C25" s="502"/>
      <c r="D25" s="103"/>
      <c r="E25" s="103"/>
      <c r="F25" s="103"/>
      <c r="G25" s="103"/>
      <c r="H25" s="103"/>
      <c r="I25" s="103"/>
      <c r="J25" s="103"/>
      <c r="K25" s="102"/>
      <c r="L25" s="102"/>
      <c r="M25" s="102"/>
    </row>
    <row r="26" spans="1:13" ht="15.75" customHeight="1">
      <c r="A26" s="190">
        <v>25</v>
      </c>
      <c r="B26" s="522" t="e">
        <f>SUMIF('BY Class'!B$3:B$71,A26,'BY Class'!#REF!)</f>
        <v>#REF!</v>
      </c>
      <c r="C26" s="502" t="s">
        <v>543</v>
      </c>
      <c r="D26" s="103"/>
      <c r="E26" s="103"/>
      <c r="F26" s="103"/>
      <c r="G26" s="103"/>
      <c r="H26" s="103"/>
      <c r="I26" s="103"/>
      <c r="J26" s="103"/>
      <c r="K26" s="102"/>
      <c r="L26" s="102"/>
      <c r="M26" s="102"/>
    </row>
    <row r="27" spans="1:13" ht="15.75" customHeight="1">
      <c r="A27" s="190">
        <v>26</v>
      </c>
      <c r="B27" s="522" t="e">
        <f>SUMIF('BY Class'!B$3:B$71,A27,'BY Class'!#REF!)</f>
        <v>#REF!</v>
      </c>
      <c r="C27" s="502"/>
      <c r="D27" s="103"/>
      <c r="E27" s="103"/>
      <c r="F27" s="103"/>
      <c r="G27" s="103"/>
      <c r="H27" s="103"/>
      <c r="I27" s="103"/>
      <c r="J27" s="103"/>
      <c r="K27" s="102"/>
      <c r="L27" s="102"/>
      <c r="M27" s="102"/>
    </row>
    <row r="28" spans="1:13" ht="15.75" customHeight="1">
      <c r="A28" s="190">
        <v>27</v>
      </c>
      <c r="B28" s="522" t="e">
        <f>SUMIF('BY Class'!B$3:B$71,A28,'BY Class'!#REF!)</f>
        <v>#REF!</v>
      </c>
      <c r="C28" s="502"/>
      <c r="D28" s="103"/>
      <c r="E28" s="103"/>
      <c r="F28" s="103"/>
      <c r="G28" s="103"/>
      <c r="H28" s="103"/>
      <c r="I28" s="103"/>
      <c r="J28" s="103"/>
      <c r="K28" s="102"/>
      <c r="L28" s="102"/>
      <c r="M28" s="102"/>
    </row>
    <row r="29" spans="1:13" ht="15.75" customHeight="1">
      <c r="A29" s="190">
        <v>28</v>
      </c>
      <c r="B29" s="522" t="e">
        <f>SUMIF('BY Class'!B$3:B$71,A29,'BY Class'!#REF!)</f>
        <v>#REF!</v>
      </c>
      <c r="C29" s="502"/>
      <c r="D29" s="103"/>
      <c r="E29" s="103"/>
      <c r="F29" s="103"/>
      <c r="G29" s="103"/>
      <c r="H29" s="103"/>
      <c r="I29" s="103"/>
      <c r="J29" s="103"/>
      <c r="K29" s="102"/>
      <c r="L29" s="102"/>
      <c r="M29" s="102"/>
    </row>
    <row r="30" spans="1:13" ht="15.75" customHeight="1">
      <c r="A30" s="190">
        <v>29</v>
      </c>
      <c r="B30" s="522" t="e">
        <f>SUMIF('BY Class'!B$3:B$71,A30,'BY Class'!#REF!)</f>
        <v>#REF!</v>
      </c>
      <c r="C30" s="502"/>
      <c r="D30" s="103"/>
      <c r="E30" s="103"/>
      <c r="F30" s="103"/>
      <c r="G30" s="103"/>
      <c r="H30" s="103"/>
      <c r="I30" s="103"/>
      <c r="J30" s="103"/>
      <c r="K30" s="102"/>
      <c r="L30" s="102"/>
      <c r="M30" s="102"/>
    </row>
    <row r="31" spans="1:13" ht="15.75" customHeight="1">
      <c r="A31" s="190">
        <v>30</v>
      </c>
      <c r="B31" s="522" t="e">
        <f>SUMIF('BY Class'!B$3:B$71,A31,'BY Class'!#REF!)</f>
        <v>#REF!</v>
      </c>
      <c r="C31" s="502"/>
      <c r="D31" s="103"/>
      <c r="E31" s="103"/>
      <c r="F31" s="103"/>
      <c r="G31" s="103"/>
      <c r="H31" s="103"/>
      <c r="I31" s="103"/>
      <c r="J31" s="103"/>
      <c r="K31" s="102"/>
      <c r="L31" s="102"/>
      <c r="M31" s="102"/>
    </row>
    <row r="32" spans="1:13" ht="15.75" customHeight="1">
      <c r="A32" s="190">
        <v>31</v>
      </c>
      <c r="B32" s="522" t="e">
        <f>SUMIF('BY Class'!B$3:B$71,A32,'BY Class'!#REF!)</f>
        <v>#REF!</v>
      </c>
      <c r="C32" s="502"/>
      <c r="D32" s="103"/>
      <c r="E32" s="103"/>
      <c r="F32" s="103"/>
      <c r="G32" s="103"/>
      <c r="H32" s="103"/>
      <c r="I32" s="103"/>
      <c r="J32" s="103"/>
      <c r="K32" s="102"/>
      <c r="L32" s="102"/>
      <c r="M32" s="102"/>
    </row>
    <row r="33" spans="1:13" ht="15.75" customHeight="1">
      <c r="A33" s="190">
        <v>32</v>
      </c>
      <c r="B33" s="522" t="e">
        <f>SUMIF('BY Class'!B$3:B$71,A33,'BY Class'!#REF!)</f>
        <v>#REF!</v>
      </c>
      <c r="C33" s="502" t="s">
        <v>544</v>
      </c>
      <c r="D33" s="103"/>
      <c r="E33" s="103"/>
      <c r="F33" s="103"/>
      <c r="G33" s="103"/>
      <c r="H33" s="103"/>
      <c r="I33" s="103"/>
      <c r="J33" s="103"/>
      <c r="K33" s="102"/>
      <c r="L33" s="102"/>
      <c r="M33" s="102"/>
    </row>
    <row r="34" spans="1:13" ht="15.75" customHeight="1">
      <c r="A34" s="190">
        <v>33</v>
      </c>
      <c r="B34" s="522" t="e">
        <f>SUMIF('BY Class'!B$3:B$71,A34,'BY Class'!#REF!)</f>
        <v>#REF!</v>
      </c>
      <c r="C34" s="502"/>
      <c r="D34" s="103"/>
      <c r="E34" s="103"/>
      <c r="F34" s="103"/>
      <c r="G34" s="103"/>
      <c r="H34" s="103"/>
      <c r="I34" s="103"/>
      <c r="J34" s="103"/>
      <c r="K34" s="102"/>
      <c r="L34" s="102"/>
      <c r="M34" s="102"/>
    </row>
    <row r="35" spans="1:13" ht="15.75" customHeight="1">
      <c r="A35" s="190">
        <v>34</v>
      </c>
      <c r="B35" s="522" t="e">
        <f>SUMIF('BY Class'!B$3:B$71,A35,'BY Class'!#REF!)</f>
        <v>#REF!</v>
      </c>
      <c r="C35" s="502"/>
      <c r="D35" s="103"/>
      <c r="E35" s="103"/>
      <c r="F35" s="103"/>
      <c r="G35" s="103"/>
      <c r="H35" s="103"/>
      <c r="I35" s="103"/>
      <c r="J35" s="103"/>
      <c r="K35" s="102"/>
      <c r="L35" s="102"/>
      <c r="M35" s="102"/>
    </row>
    <row r="36" spans="1:13" ht="15.75" customHeight="1">
      <c r="A36" s="190">
        <v>35</v>
      </c>
      <c r="B36" s="522" t="e">
        <f>SUMIF('BY Class'!B$3:B$71,A36,'BY Class'!#REF!)</f>
        <v>#REF!</v>
      </c>
      <c r="C36" s="502"/>
      <c r="D36" s="103"/>
      <c r="E36" s="103"/>
      <c r="F36" s="103"/>
      <c r="G36" s="103"/>
      <c r="H36" s="103"/>
      <c r="I36" s="103"/>
      <c r="J36" s="103"/>
      <c r="K36" s="102"/>
      <c r="L36" s="102"/>
      <c r="M36" s="102"/>
    </row>
    <row r="37" spans="1:13" ht="15.75" customHeight="1">
      <c r="A37" s="190">
        <v>36</v>
      </c>
      <c r="B37" s="522" t="e">
        <f>SUMIF('BY Class'!B$3:B$71,A37,'BY Class'!#REF!)</f>
        <v>#REF!</v>
      </c>
      <c r="C37" s="502" t="s">
        <v>545</v>
      </c>
      <c r="D37" s="103"/>
      <c r="E37" s="103"/>
      <c r="F37" s="103"/>
      <c r="G37" s="103"/>
      <c r="H37" s="103"/>
      <c r="I37" s="103"/>
      <c r="J37" s="103"/>
      <c r="K37" s="102"/>
      <c r="L37" s="102"/>
      <c r="M37" s="102"/>
    </row>
    <row r="38" spans="1:13" ht="15.75" customHeight="1">
      <c r="A38" s="190">
        <v>37</v>
      </c>
      <c r="B38" s="522" t="e">
        <f>SUMIF('BY Class'!B$3:B$71,A38,'BY Class'!#REF!)</f>
        <v>#REF!</v>
      </c>
      <c r="C38" s="502" t="s">
        <v>546</v>
      </c>
      <c r="D38" s="103"/>
      <c r="E38" s="103"/>
      <c r="F38" s="103"/>
      <c r="G38" s="103"/>
      <c r="H38" s="103"/>
      <c r="I38" s="103"/>
      <c r="J38" s="103"/>
      <c r="K38" s="102"/>
      <c r="L38" s="102"/>
      <c r="M38" s="102"/>
    </row>
    <row r="39" spans="1:13" ht="15.75" customHeight="1">
      <c r="A39" s="190">
        <v>38</v>
      </c>
      <c r="B39" s="522" t="e">
        <f>SUMIF('BY Class'!B$3:B$71,A39,'BY Class'!#REF!)</f>
        <v>#REF!</v>
      </c>
      <c r="C39" s="502"/>
      <c r="D39" s="103"/>
      <c r="E39" s="103"/>
      <c r="F39" s="103"/>
      <c r="G39" s="103"/>
      <c r="H39" s="103"/>
      <c r="I39" s="103"/>
      <c r="J39" s="103"/>
      <c r="K39" s="102"/>
      <c r="L39" s="102"/>
      <c r="M39" s="102"/>
    </row>
    <row r="40" spans="1:13" ht="15.75" customHeight="1">
      <c r="A40" s="190">
        <v>39</v>
      </c>
      <c r="B40" s="522" t="e">
        <f>SUMIF('BY Class'!B$3:B$71,A40,'BY Class'!#REF!)</f>
        <v>#REF!</v>
      </c>
      <c r="C40" s="502" t="s">
        <v>547</v>
      </c>
      <c r="D40" s="103"/>
      <c r="E40" s="103"/>
      <c r="F40" s="103"/>
      <c r="G40" s="103"/>
      <c r="H40" s="103"/>
      <c r="I40" s="103"/>
      <c r="J40" s="103"/>
      <c r="K40" s="102"/>
      <c r="L40" s="102"/>
      <c r="M40" s="102"/>
    </row>
    <row r="41" spans="1:13" ht="15.75" customHeight="1">
      <c r="A41" s="190">
        <v>40</v>
      </c>
      <c r="B41" s="522" t="e">
        <f>SUMIF('BY Class'!B$3:B$71,A41,'BY Class'!#REF!)</f>
        <v>#REF!</v>
      </c>
      <c r="C41" s="502"/>
      <c r="D41" s="103"/>
      <c r="E41" s="103"/>
      <c r="F41" s="103"/>
      <c r="G41" s="103"/>
      <c r="H41" s="103"/>
      <c r="I41" s="103"/>
      <c r="J41" s="103"/>
      <c r="K41" s="102"/>
      <c r="L41" s="102"/>
      <c r="M41" s="102"/>
    </row>
    <row r="42" spans="1:13" ht="15.75" customHeight="1">
      <c r="A42" s="190">
        <v>41</v>
      </c>
      <c r="B42" s="522" t="e">
        <f>SUMIF('BY Class'!B$3:B$71,A42,'BY Class'!#REF!)</f>
        <v>#REF!</v>
      </c>
      <c r="C42" s="502"/>
      <c r="D42" s="103"/>
      <c r="E42" s="103"/>
      <c r="F42" s="103"/>
      <c r="G42" s="103"/>
      <c r="H42" s="103"/>
      <c r="I42" s="103"/>
      <c r="J42" s="103"/>
      <c r="K42" s="102"/>
      <c r="L42" s="102"/>
      <c r="M42" s="102"/>
    </row>
    <row r="43" spans="1:13" ht="15.75" customHeight="1">
      <c r="A43" s="190">
        <v>42</v>
      </c>
      <c r="B43" s="522" t="e">
        <f>SUMIF('BY Class'!B$3:B$71,A43,'BY Class'!#REF!)</f>
        <v>#REF!</v>
      </c>
      <c r="C43" s="502"/>
      <c r="D43" s="103"/>
      <c r="E43" s="103"/>
      <c r="F43" s="103"/>
      <c r="G43" s="103"/>
      <c r="H43" s="103"/>
      <c r="I43" s="103"/>
      <c r="J43" s="103"/>
      <c r="K43" s="102"/>
      <c r="L43" s="102"/>
      <c r="M43" s="102"/>
    </row>
    <row r="44" spans="1:13" ht="15.75" customHeight="1">
      <c r="A44" s="190">
        <v>43</v>
      </c>
      <c r="B44" s="522" t="e">
        <f>SUMIF('BY Class'!B$3:B$71,A44,'BY Class'!#REF!)</f>
        <v>#REF!</v>
      </c>
      <c r="C44" s="502" t="s">
        <v>548</v>
      </c>
      <c r="D44" s="103"/>
      <c r="E44" s="103"/>
      <c r="F44" s="103"/>
      <c r="G44" s="103"/>
      <c r="H44" s="103"/>
      <c r="I44" s="103"/>
      <c r="J44" s="103"/>
      <c r="K44" s="102"/>
      <c r="L44" s="102"/>
      <c r="M44" s="102"/>
    </row>
    <row r="45" spans="1:13" ht="15.75" customHeight="1">
      <c r="A45" s="190">
        <v>44</v>
      </c>
      <c r="B45" s="522" t="e">
        <f>SUMIF('BY Class'!B$3:B$71,A45,'BY Class'!#REF!)</f>
        <v>#REF!</v>
      </c>
      <c r="C45" s="502"/>
      <c r="D45" s="103"/>
      <c r="E45" s="103"/>
      <c r="F45" s="103"/>
      <c r="G45" s="103"/>
      <c r="H45" s="103"/>
      <c r="I45" s="103"/>
      <c r="J45" s="103"/>
      <c r="K45" s="102"/>
      <c r="L45" s="102"/>
      <c r="M45" s="102"/>
    </row>
    <row r="46" spans="1:13" ht="15.75" customHeight="1">
      <c r="A46" s="190">
        <v>45</v>
      </c>
      <c r="B46" s="522" t="e">
        <f>SUMIF('BY Class'!B$3:B$71,A46,'BY Class'!#REF!)</f>
        <v>#REF!</v>
      </c>
      <c r="C46" s="502"/>
      <c r="D46" s="103"/>
      <c r="E46" s="103"/>
      <c r="F46" s="103"/>
      <c r="G46" s="103"/>
      <c r="H46" s="103"/>
      <c r="I46" s="103"/>
      <c r="J46" s="103"/>
      <c r="K46" s="102"/>
      <c r="L46" s="102"/>
      <c r="M46" s="102"/>
    </row>
    <row r="47" spans="1:13" ht="15.75" customHeight="1">
      <c r="A47" s="190">
        <v>46</v>
      </c>
      <c r="B47" s="522" t="e">
        <f>SUMIF('BY Class'!B$3:B$71,A47,'BY Class'!#REF!)</f>
        <v>#REF!</v>
      </c>
      <c r="C47" s="502"/>
      <c r="D47" s="103"/>
      <c r="E47" s="103"/>
      <c r="F47" s="103"/>
      <c r="G47" s="103"/>
      <c r="H47" s="103"/>
      <c r="I47" s="103"/>
      <c r="J47" s="103"/>
      <c r="K47" s="102"/>
      <c r="L47" s="102"/>
      <c r="M47" s="102"/>
    </row>
    <row r="48" spans="1:13" ht="15.75" customHeight="1">
      <c r="A48" s="190">
        <v>47</v>
      </c>
      <c r="B48" s="522" t="e">
        <f>SUMIF('BY Class'!B$3:B$71,A48,'BY Class'!#REF!)</f>
        <v>#REF!</v>
      </c>
      <c r="C48" s="502"/>
      <c r="D48" s="103"/>
      <c r="E48" s="103"/>
      <c r="F48" s="103"/>
      <c r="G48" s="103"/>
      <c r="H48" s="103"/>
      <c r="I48" s="103"/>
      <c r="J48" s="103"/>
      <c r="K48" s="102"/>
      <c r="L48" s="102"/>
      <c r="M48" s="102"/>
    </row>
    <row r="49" spans="1:13" ht="15.75" customHeight="1">
      <c r="A49" s="190">
        <v>48</v>
      </c>
      <c r="B49" s="522" t="e">
        <f>SUMIF('BY Class'!B$3:B$71,A49,'BY Class'!#REF!)</f>
        <v>#REF!</v>
      </c>
      <c r="C49" s="502" t="s">
        <v>549</v>
      </c>
      <c r="D49" s="103"/>
      <c r="E49" s="103"/>
      <c r="F49" s="103"/>
      <c r="G49" s="103"/>
      <c r="H49" s="103"/>
      <c r="I49" s="103"/>
      <c r="J49" s="103"/>
      <c r="K49" s="102"/>
      <c r="L49" s="102"/>
      <c r="M49" s="102"/>
    </row>
    <row r="50" spans="1:13" ht="15.75" customHeight="1">
      <c r="A50" s="190">
        <v>49</v>
      </c>
      <c r="B50" s="522" t="e">
        <f>SUMIF('BY Class'!B$3:B$71,A50,'BY Class'!#REF!)</f>
        <v>#REF!</v>
      </c>
      <c r="C50" s="502" t="s">
        <v>550</v>
      </c>
      <c r="D50" s="103"/>
      <c r="E50" s="103"/>
      <c r="F50" s="103"/>
      <c r="G50" s="103"/>
      <c r="H50" s="103"/>
      <c r="I50" s="103"/>
      <c r="J50" s="103"/>
      <c r="K50" s="102"/>
      <c r="L50" s="102"/>
      <c r="M50" s="102"/>
    </row>
    <row r="51" spans="1:13" ht="15.75" customHeight="1">
      <c r="A51" s="190">
        <v>50</v>
      </c>
      <c r="B51" s="522" t="e">
        <f>SUMIF('BY Class'!B$3:B$71,A51,'BY Class'!#REF!)</f>
        <v>#REF!</v>
      </c>
      <c r="C51" s="502" t="s">
        <v>551</v>
      </c>
      <c r="D51" s="103"/>
      <c r="E51" s="103"/>
      <c r="F51" s="103"/>
      <c r="G51" s="103"/>
      <c r="H51" s="103"/>
      <c r="I51" s="103"/>
      <c r="J51" s="103"/>
      <c r="K51" s="102"/>
      <c r="L51" s="102"/>
      <c r="M51" s="102"/>
    </row>
    <row r="52" spans="1:13" ht="15.75" customHeight="1">
      <c r="A52" s="190">
        <v>51</v>
      </c>
      <c r="B52" s="522" t="e">
        <f>SUMIF('BY Class'!B$3:B$71,A52,'BY Class'!#REF!)</f>
        <v>#REF!</v>
      </c>
      <c r="C52" s="502"/>
      <c r="D52" s="103"/>
      <c r="E52" s="103"/>
      <c r="F52" s="103"/>
      <c r="G52" s="103"/>
      <c r="H52" s="103"/>
      <c r="I52" s="103"/>
      <c r="J52" s="103"/>
      <c r="K52" s="102"/>
      <c r="L52" s="102"/>
      <c r="M52" s="102"/>
    </row>
    <row r="53" spans="1:13" ht="15.75" customHeight="1">
      <c r="A53" s="190">
        <v>52</v>
      </c>
      <c r="B53" s="522" t="e">
        <f>SUMIF('BY Class'!B$3:B$71,A53,'BY Class'!#REF!)</f>
        <v>#REF!</v>
      </c>
      <c r="C53" s="502"/>
      <c r="D53" s="103"/>
      <c r="E53" s="103"/>
      <c r="F53" s="103"/>
      <c r="G53" s="103"/>
      <c r="H53" s="103"/>
      <c r="I53" s="103"/>
      <c r="J53" s="103"/>
      <c r="K53" s="102"/>
      <c r="L53" s="102"/>
      <c r="M53" s="102"/>
    </row>
    <row r="54" spans="1:13" ht="15.75" customHeight="1">
      <c r="A54" s="190">
        <v>53</v>
      </c>
      <c r="B54" s="522" t="e">
        <f>SUMIF('BY Class'!B$3:B$71,A54,'BY Class'!#REF!)</f>
        <v>#REF!</v>
      </c>
      <c r="C54" s="502" t="s">
        <v>552</v>
      </c>
      <c r="D54" s="103"/>
      <c r="E54" s="103"/>
      <c r="F54" s="103"/>
      <c r="G54" s="103"/>
      <c r="H54" s="103"/>
      <c r="I54" s="103"/>
      <c r="J54" s="103"/>
      <c r="K54" s="102"/>
      <c r="L54" s="102"/>
      <c r="M54" s="102"/>
    </row>
    <row r="55" spans="1:13" ht="15.75" customHeight="1">
      <c r="A55" s="190">
        <v>54</v>
      </c>
      <c r="B55" s="522" t="e">
        <f>SUMIF('BY Class'!B$3:B$71,A55,'BY Class'!#REF!)</f>
        <v>#REF!</v>
      </c>
      <c r="C55" s="502"/>
      <c r="D55" s="103"/>
      <c r="E55" s="103"/>
      <c r="F55" s="103"/>
      <c r="G55" s="103"/>
      <c r="H55" s="103"/>
      <c r="I55" s="103"/>
      <c r="J55" s="103"/>
      <c r="K55" s="102"/>
      <c r="L55" s="102"/>
      <c r="M55" s="102"/>
    </row>
    <row r="56" spans="1:13" ht="15.75" customHeight="1">
      <c r="A56" s="190">
        <v>55</v>
      </c>
      <c r="B56" s="522" t="e">
        <f>SUMIF('BY Class'!B$3:B$71,A56,'BY Class'!#REF!)</f>
        <v>#REF!</v>
      </c>
      <c r="C56" s="502"/>
      <c r="D56" s="103"/>
      <c r="E56" s="103"/>
      <c r="F56" s="103"/>
      <c r="G56" s="103"/>
      <c r="H56" s="103"/>
      <c r="I56" s="103"/>
      <c r="J56" s="103"/>
      <c r="K56" s="102"/>
      <c r="L56" s="102"/>
      <c r="M56" s="102"/>
    </row>
    <row r="57" spans="1:13" ht="15.75" customHeight="1">
      <c r="A57" s="190">
        <v>56</v>
      </c>
      <c r="B57" s="522" t="e">
        <f>SUMIF('BY Class'!B$3:B$71,A57,'BY Class'!#REF!)</f>
        <v>#REF!</v>
      </c>
      <c r="C57" s="502"/>
      <c r="D57" s="103"/>
      <c r="E57" s="103"/>
      <c r="F57" s="103"/>
      <c r="G57" s="103"/>
      <c r="H57" s="103"/>
      <c r="I57" s="103"/>
      <c r="J57" s="103"/>
      <c r="K57" s="102"/>
      <c r="L57" s="102"/>
      <c r="M57" s="102"/>
    </row>
    <row r="58" spans="1:13" ht="15.75" customHeight="1">
      <c r="A58" s="190">
        <v>57</v>
      </c>
      <c r="B58" s="522" t="e">
        <f>SUMIF('BY Class'!B$3:B$71,A58,'BY Class'!#REF!)</f>
        <v>#REF!</v>
      </c>
      <c r="C58" s="502"/>
      <c r="D58" s="103"/>
      <c r="E58" s="103"/>
      <c r="F58" s="103"/>
      <c r="G58" s="103"/>
      <c r="H58" s="103"/>
      <c r="I58" s="103"/>
      <c r="J58" s="103"/>
      <c r="K58" s="102"/>
      <c r="L58" s="102"/>
      <c r="M58" s="102"/>
    </row>
    <row r="59" spans="1:13" ht="15.75" customHeight="1">
      <c r="A59" s="190">
        <v>58</v>
      </c>
      <c r="B59" s="522" t="e">
        <f>SUMIF('BY Class'!B$3:B$71,A59,'BY Class'!#REF!)</f>
        <v>#REF!</v>
      </c>
      <c r="C59" s="502" t="s">
        <v>553</v>
      </c>
      <c r="D59" s="103"/>
      <c r="E59" s="103"/>
      <c r="F59" s="103"/>
      <c r="G59" s="103"/>
      <c r="H59" s="103"/>
      <c r="I59" s="103"/>
      <c r="J59" s="103"/>
      <c r="K59" s="102"/>
      <c r="L59" s="102"/>
      <c r="M59" s="102"/>
    </row>
    <row r="60" spans="1:13" ht="15.75" customHeight="1">
      <c r="A60" s="190">
        <v>59</v>
      </c>
      <c r="B60" s="522" t="e">
        <f>SUMIF('BY Class'!B$3:B$71,A60,'BY Class'!#REF!)</f>
        <v>#REF!</v>
      </c>
      <c r="C60" s="502" t="s">
        <v>554</v>
      </c>
      <c r="D60" s="103"/>
      <c r="E60" s="103"/>
      <c r="F60" s="103"/>
      <c r="G60" s="103"/>
      <c r="H60" s="103"/>
      <c r="I60" s="103"/>
      <c r="J60" s="103"/>
      <c r="K60" s="102"/>
      <c r="L60" s="102"/>
      <c r="M60" s="102"/>
    </row>
    <row r="61" spans="1:13" ht="15.75" customHeight="1">
      <c r="A61" s="190">
        <v>60</v>
      </c>
      <c r="B61" s="522" t="e">
        <f>SUMIF('BY Class'!B$3:B$71,A61,'BY Class'!#REF!)</f>
        <v>#REF!</v>
      </c>
      <c r="C61" s="502"/>
      <c r="D61" s="103"/>
      <c r="E61" s="103"/>
      <c r="F61" s="103"/>
      <c r="G61" s="103"/>
      <c r="H61" s="103"/>
      <c r="I61" s="103"/>
      <c r="J61" s="103"/>
      <c r="K61" s="102"/>
      <c r="L61" s="102"/>
      <c r="M61" s="102"/>
    </row>
    <row r="62" spans="1:13" ht="15.75" customHeight="1">
      <c r="A62" s="190">
        <v>61</v>
      </c>
      <c r="B62" s="522" t="e">
        <f>SUMIF('BY Class'!B$3:B$71,A62,'BY Class'!#REF!)</f>
        <v>#REF!</v>
      </c>
      <c r="C62" s="502" t="s">
        <v>555</v>
      </c>
      <c r="D62" s="103"/>
      <c r="E62" s="103"/>
      <c r="F62" s="103"/>
      <c r="G62" s="103"/>
      <c r="H62" s="103"/>
      <c r="I62" s="103"/>
      <c r="J62" s="103"/>
      <c r="K62" s="102"/>
      <c r="L62" s="102"/>
      <c r="M62" s="102"/>
    </row>
    <row r="63" spans="1:13" ht="15.75" customHeight="1">
      <c r="A63" s="190">
        <v>62</v>
      </c>
      <c r="B63" s="522" t="e">
        <f>SUMIF('BY Class'!B$3:B$71,A63,'BY Class'!#REF!)</f>
        <v>#REF!</v>
      </c>
      <c r="C63" s="502"/>
      <c r="D63" s="103"/>
      <c r="E63" s="103"/>
      <c r="F63" s="103"/>
      <c r="G63" s="103"/>
      <c r="H63" s="103"/>
      <c r="I63" s="103"/>
      <c r="J63" s="103"/>
      <c r="K63" s="102"/>
      <c r="L63" s="102"/>
      <c r="M63" s="102"/>
    </row>
    <row r="64" spans="1:13" ht="15.75" customHeight="1">
      <c r="A64" s="190">
        <v>63</v>
      </c>
      <c r="B64" s="522" t="e">
        <f>SUMIF('BY Class'!B$3:B$71,A64,'BY Class'!#REF!)</f>
        <v>#REF!</v>
      </c>
      <c r="C64" s="502"/>
      <c r="D64" s="103"/>
      <c r="E64" s="103"/>
      <c r="F64" s="103"/>
      <c r="G64" s="103"/>
      <c r="H64" s="103"/>
      <c r="I64" s="103"/>
      <c r="J64" s="103"/>
      <c r="K64" s="102"/>
      <c r="L64" s="102"/>
      <c r="M64" s="102"/>
    </row>
    <row r="65" spans="1:13" ht="15.75" customHeight="1">
      <c r="A65" s="190">
        <v>64</v>
      </c>
      <c r="B65" s="522" t="e">
        <f>SUMIF('BY Class'!B$3:B$71,A65,'BY Class'!#REF!)</f>
        <v>#REF!</v>
      </c>
      <c r="C65" s="502" t="s">
        <v>556</v>
      </c>
      <c r="D65" s="103"/>
      <c r="E65" s="103"/>
      <c r="F65" s="103"/>
      <c r="G65" s="103"/>
      <c r="H65" s="103"/>
      <c r="I65" s="103"/>
      <c r="J65" s="103"/>
      <c r="K65" s="102"/>
      <c r="L65" s="102"/>
      <c r="M65" s="102"/>
    </row>
    <row r="66" spans="1:13" ht="15.75" customHeight="1">
      <c r="A66" s="190">
        <v>65</v>
      </c>
      <c r="B66" s="522" t="e">
        <f>SUMIF('BY Class'!B$3:B$71,A66,'BY Class'!#REF!)</f>
        <v>#REF!</v>
      </c>
      <c r="C66" s="502" t="s">
        <v>557</v>
      </c>
      <c r="D66" s="103"/>
      <c r="E66" s="103"/>
      <c r="F66" s="103"/>
      <c r="G66" s="103"/>
      <c r="H66" s="103"/>
      <c r="I66" s="103"/>
      <c r="J66" s="103"/>
      <c r="K66" s="102"/>
      <c r="L66" s="102"/>
      <c r="M66" s="102"/>
    </row>
    <row r="67" spans="1:13" ht="15.75" customHeight="1">
      <c r="A67" s="190">
        <v>66</v>
      </c>
      <c r="B67" s="522" t="e">
        <f>SUMIF('BY Class'!B$3:B$71,A67,'BY Class'!#REF!)</f>
        <v>#REF!</v>
      </c>
      <c r="C67" s="502"/>
      <c r="D67" s="103"/>
      <c r="E67" s="103"/>
      <c r="F67" s="103"/>
      <c r="G67" s="103"/>
      <c r="H67" s="103"/>
      <c r="I67" s="103"/>
      <c r="J67" s="103"/>
      <c r="K67" s="102"/>
      <c r="L67" s="102"/>
      <c r="M67" s="102"/>
    </row>
    <row r="68" spans="1:13" ht="15.75" customHeight="1">
      <c r="A68" s="190">
        <v>67</v>
      </c>
      <c r="B68" s="522" t="e">
        <f>SUMIF('BY Class'!B$3:B$71,A68,'BY Class'!#REF!)</f>
        <v>#REF!</v>
      </c>
      <c r="C68" s="502" t="s">
        <v>558</v>
      </c>
      <c r="D68" s="103"/>
      <c r="E68" s="103"/>
      <c r="F68" s="103"/>
      <c r="G68" s="103"/>
      <c r="H68" s="103"/>
      <c r="I68" s="103"/>
      <c r="J68" s="103"/>
      <c r="K68" s="102"/>
      <c r="L68" s="102"/>
      <c r="M68" s="102"/>
    </row>
    <row r="69" spans="1:13" ht="15.75" customHeight="1">
      <c r="A69" s="190">
        <v>68</v>
      </c>
      <c r="B69" s="522" t="e">
        <f>SUMIF('BY Class'!B$3:B$71,A69,'BY Class'!#REF!)</f>
        <v>#REF!</v>
      </c>
      <c r="C69" s="502"/>
      <c r="D69" s="103"/>
      <c r="E69" s="103"/>
      <c r="F69" s="103"/>
      <c r="G69" s="103"/>
      <c r="H69" s="103"/>
      <c r="I69" s="103"/>
      <c r="J69" s="103"/>
      <c r="K69" s="102"/>
      <c r="L69" s="102"/>
      <c r="M69" s="102"/>
    </row>
    <row r="70" spans="1:13" ht="15.75" customHeight="1">
      <c r="A70" s="190">
        <v>69</v>
      </c>
      <c r="B70" s="522" t="e">
        <f>SUMIF('BY Class'!B$3:B$71,A70,'BY Class'!#REF!)</f>
        <v>#REF!</v>
      </c>
      <c r="C70" s="502"/>
      <c r="D70" s="103"/>
      <c r="E70" s="103"/>
      <c r="F70" s="103"/>
      <c r="G70" s="103"/>
      <c r="H70" s="103"/>
      <c r="I70" s="103"/>
      <c r="J70" s="103"/>
      <c r="K70" s="102"/>
      <c r="L70" s="102"/>
      <c r="M70" s="102"/>
    </row>
    <row r="71" spans="1:13" ht="15.75" customHeight="1">
      <c r="A71" s="190">
        <v>70</v>
      </c>
      <c r="B71" s="522" t="e">
        <f>SUMIF('BY Class'!B$3:B$71,A71,'BY Class'!#REF!)</f>
        <v>#REF!</v>
      </c>
      <c r="C71" s="502"/>
      <c r="D71" s="103"/>
      <c r="E71" s="103"/>
      <c r="F71" s="103"/>
      <c r="G71" s="103"/>
      <c r="H71" s="103"/>
      <c r="I71" s="103"/>
      <c r="J71" s="103"/>
      <c r="K71" s="102"/>
      <c r="L71" s="102"/>
      <c r="M71" s="102"/>
    </row>
    <row r="72" spans="1:13" ht="15.75" customHeight="1">
      <c r="A72" s="190">
        <v>71</v>
      </c>
      <c r="B72" s="522" t="e">
        <f>SUMIF('BY Class'!B$3:B$71,A72,'BY Class'!#REF!)</f>
        <v>#REF!</v>
      </c>
      <c r="C72" s="502" t="s">
        <v>559</v>
      </c>
      <c r="D72" s="103"/>
      <c r="E72" s="103"/>
      <c r="F72" s="103"/>
      <c r="G72" s="103"/>
      <c r="H72" s="103"/>
      <c r="I72" s="103"/>
      <c r="J72" s="103"/>
      <c r="K72" s="102"/>
      <c r="L72" s="102"/>
      <c r="M72" s="102"/>
    </row>
    <row r="73" spans="1:13" ht="15.75" customHeight="1">
      <c r="A73" s="190">
        <v>72</v>
      </c>
      <c r="B73" s="522" t="e">
        <f>SUMIF('BY Class'!B$3:B$71,A73,'BY Class'!#REF!)</f>
        <v>#REF!</v>
      </c>
      <c r="C73" s="502" t="s">
        <v>560</v>
      </c>
      <c r="D73" s="103"/>
      <c r="E73" s="103"/>
      <c r="F73" s="103"/>
      <c r="G73" s="103"/>
      <c r="H73" s="103"/>
      <c r="I73" s="103"/>
      <c r="J73" s="103"/>
      <c r="K73" s="102"/>
      <c r="L73" s="102"/>
      <c r="M73" s="102"/>
    </row>
    <row r="74" spans="1:13" ht="15.75" customHeight="1">
      <c r="A74" s="190">
        <v>73</v>
      </c>
      <c r="B74" s="522" t="e">
        <f>SUMIF('BY Class'!B$3:B$71,A74,'BY Class'!#REF!)</f>
        <v>#REF!</v>
      </c>
      <c r="C74" s="502" t="s">
        <v>561</v>
      </c>
      <c r="D74" s="103"/>
      <c r="E74" s="103"/>
      <c r="F74" s="103"/>
      <c r="G74" s="103"/>
      <c r="H74" s="103"/>
      <c r="I74" s="103"/>
      <c r="J74" s="103"/>
      <c r="K74" s="102"/>
      <c r="L74" s="102"/>
      <c r="M74" s="102"/>
    </row>
    <row r="75" spans="1:13" ht="15.75" customHeight="1">
      <c r="A75" s="190">
        <v>74</v>
      </c>
      <c r="B75" s="522" t="e">
        <f>SUMIF('BY Class'!B$3:B$71,A75,'BY Class'!#REF!)</f>
        <v>#REF!</v>
      </c>
      <c r="C75" s="502"/>
      <c r="D75" s="103"/>
      <c r="E75" s="103"/>
      <c r="F75" s="103"/>
      <c r="G75" s="103"/>
      <c r="H75" s="103"/>
      <c r="I75" s="103"/>
      <c r="J75" s="103"/>
      <c r="K75" s="102"/>
      <c r="L75" s="102"/>
      <c r="M75" s="102"/>
    </row>
    <row r="76" spans="1:13" ht="15.75" customHeight="1">
      <c r="A76" s="190">
        <v>75</v>
      </c>
      <c r="B76" s="522" t="e">
        <f>SUMIF('BY Class'!B$3:B$71,A76,'BY Class'!#REF!)</f>
        <v>#REF!</v>
      </c>
      <c r="C76" s="502" t="s">
        <v>562</v>
      </c>
      <c r="D76" s="103"/>
      <c r="E76" s="103"/>
      <c r="F76" s="103"/>
      <c r="G76" s="103"/>
      <c r="H76" s="103"/>
      <c r="I76" s="103"/>
      <c r="J76" s="103"/>
      <c r="K76" s="102"/>
      <c r="L76" s="102"/>
      <c r="M76" s="102"/>
    </row>
    <row r="77" spans="1:13" ht="15.75" customHeight="1">
      <c r="A77" s="190">
        <v>76</v>
      </c>
      <c r="B77" s="522" t="e">
        <f>SUMIF('BY Class'!B$3:B$71,A77,'BY Class'!#REF!)</f>
        <v>#REF!</v>
      </c>
      <c r="C77" s="502" t="s">
        <v>563</v>
      </c>
      <c r="D77" s="103"/>
      <c r="E77" s="103"/>
      <c r="F77" s="103"/>
      <c r="G77" s="103"/>
      <c r="H77" s="103"/>
      <c r="I77" s="103"/>
      <c r="J77" s="103"/>
      <c r="K77" s="102"/>
      <c r="L77" s="102"/>
      <c r="M77" s="102"/>
    </row>
    <row r="78" spans="1:13" ht="15.75" customHeight="1">
      <c r="A78" s="190">
        <v>77</v>
      </c>
      <c r="B78" s="522" t="e">
        <f>SUMIF('BY Class'!B$3:B$71,A78,'BY Class'!#REF!)</f>
        <v>#REF!</v>
      </c>
      <c r="C78" s="502" t="s">
        <v>564</v>
      </c>
      <c r="D78" s="103"/>
      <c r="E78" s="103"/>
      <c r="F78" s="103"/>
      <c r="G78" s="103"/>
      <c r="H78" s="103"/>
      <c r="I78" s="103"/>
      <c r="J78" s="103"/>
      <c r="K78" s="102"/>
      <c r="L78" s="102"/>
      <c r="M78" s="102"/>
    </row>
    <row r="79" spans="1:13" ht="15.75" customHeight="1">
      <c r="A79" s="190">
        <v>78</v>
      </c>
      <c r="B79" s="522" t="e">
        <f>SUMIF('BY Class'!B$3:B$71,A79,'BY Class'!#REF!)</f>
        <v>#REF!</v>
      </c>
      <c r="C79" s="502" t="s">
        <v>565</v>
      </c>
      <c r="D79" s="103"/>
      <c r="E79" s="103"/>
      <c r="F79" s="103"/>
      <c r="G79" s="103"/>
      <c r="H79" s="103"/>
      <c r="I79" s="103"/>
      <c r="J79" s="103"/>
      <c r="K79" s="102"/>
      <c r="L79" s="102"/>
      <c r="M79" s="102"/>
    </row>
    <row r="80" spans="1:13" ht="15.75" customHeight="1">
      <c r="A80" s="190">
        <v>79</v>
      </c>
      <c r="B80" s="522" t="e">
        <f>SUMIF('BY Class'!B$3:B$71,A80,'BY Class'!#REF!)</f>
        <v>#REF!</v>
      </c>
      <c r="C80" s="502"/>
      <c r="D80" s="103"/>
      <c r="E80" s="103"/>
      <c r="F80" s="103"/>
      <c r="G80" s="103"/>
      <c r="H80" s="103"/>
      <c r="I80" s="103"/>
      <c r="J80" s="103"/>
      <c r="K80" s="102"/>
      <c r="L80" s="102"/>
      <c r="M80" s="102"/>
    </row>
    <row r="81" spans="1:13" ht="15.75" customHeight="1">
      <c r="A81" s="190">
        <v>80</v>
      </c>
      <c r="B81" s="522" t="e">
        <f>SUMIF('BY Class'!B$3:B$71,A81,'BY Class'!#REF!)</f>
        <v>#REF!</v>
      </c>
      <c r="C81" s="502" t="s">
        <v>566</v>
      </c>
      <c r="D81" s="103"/>
      <c r="E81" s="103"/>
      <c r="F81" s="103"/>
      <c r="G81" s="103"/>
      <c r="H81" s="103"/>
      <c r="I81" s="103"/>
      <c r="J81" s="103"/>
      <c r="K81" s="102"/>
      <c r="L81" s="102"/>
      <c r="M81" s="102"/>
    </row>
    <row r="82" spans="1:13" ht="15.75" customHeight="1">
      <c r="A82" s="190">
        <v>81</v>
      </c>
      <c r="B82" s="522" t="e">
        <f>SUMIF('BY Class'!B$3:B$71,A82,'BY Class'!#REF!)</f>
        <v>#REF!</v>
      </c>
      <c r="C82" s="502" t="s">
        <v>567</v>
      </c>
      <c r="D82" s="103"/>
      <c r="E82" s="103"/>
      <c r="F82" s="103"/>
      <c r="G82" s="103"/>
      <c r="H82" s="103"/>
      <c r="I82" s="103"/>
      <c r="J82" s="103"/>
      <c r="K82" s="102"/>
      <c r="L82" s="102"/>
      <c r="M82" s="102"/>
    </row>
    <row r="83" spans="1:13" ht="15.75" customHeight="1">
      <c r="A83" s="190">
        <v>82</v>
      </c>
      <c r="B83" s="522" t="e">
        <f>SUMIF('BY Class'!B$3:B$71,A83,'BY Class'!#REF!)</f>
        <v>#REF!</v>
      </c>
      <c r="C83" s="502" t="s">
        <v>568</v>
      </c>
      <c r="D83" s="103"/>
      <c r="E83" s="103"/>
      <c r="F83" s="103"/>
      <c r="G83" s="103"/>
      <c r="H83" s="103"/>
      <c r="I83" s="103"/>
      <c r="J83" s="103"/>
      <c r="K83" s="102"/>
      <c r="L83" s="102"/>
      <c r="M83" s="102"/>
    </row>
    <row r="84" spans="1:13" ht="15.75" customHeight="1">
      <c r="A84" s="190">
        <v>83</v>
      </c>
      <c r="B84" s="522" t="e">
        <f>SUMIF('BY Class'!B$3:B$71,A84,'BY Class'!#REF!)</f>
        <v>#REF!</v>
      </c>
      <c r="C84" s="502"/>
      <c r="D84" s="103"/>
      <c r="E84" s="103"/>
      <c r="F84" s="103"/>
      <c r="G84" s="103"/>
      <c r="H84" s="103"/>
      <c r="I84" s="103"/>
      <c r="J84" s="103"/>
      <c r="K84" s="102"/>
      <c r="L84" s="102"/>
      <c r="M84" s="102"/>
    </row>
    <row r="85" spans="1:13" ht="15.75" customHeight="1">
      <c r="A85" s="190">
        <v>84</v>
      </c>
      <c r="B85" s="522" t="e">
        <f>SUMIF('BY Class'!B$3:B$71,A85,'BY Class'!#REF!)</f>
        <v>#REF!</v>
      </c>
      <c r="C85" s="502" t="s">
        <v>569</v>
      </c>
      <c r="D85" s="103"/>
      <c r="E85" s="103"/>
      <c r="F85" s="103"/>
      <c r="G85" s="103"/>
      <c r="H85" s="103"/>
      <c r="I85" s="103"/>
      <c r="J85" s="103"/>
      <c r="K85" s="102"/>
      <c r="L85" s="102"/>
      <c r="M85" s="102"/>
    </row>
    <row r="86" spans="1:13" ht="15.75" customHeight="1">
      <c r="A86" s="190">
        <v>85</v>
      </c>
      <c r="B86" s="522" t="e">
        <f>SUMIF('BY Class'!B$3:B$71,A86,'BY Class'!#REF!)</f>
        <v>#REF!</v>
      </c>
      <c r="C86" s="502" t="s">
        <v>570</v>
      </c>
      <c r="D86" s="103"/>
      <c r="E86" s="103"/>
      <c r="F86" s="103"/>
      <c r="G86" s="103"/>
      <c r="H86" s="103"/>
      <c r="I86" s="103"/>
      <c r="J86" s="103"/>
      <c r="K86" s="102"/>
      <c r="L86" s="102"/>
      <c r="M86" s="102"/>
    </row>
    <row r="87" spans="1:13" ht="15.75" customHeight="1">
      <c r="A87" s="190">
        <v>86</v>
      </c>
      <c r="B87" s="522" t="e">
        <f>SUMIF('BY Class'!B$3:B$71,A87,'BY Class'!#REF!)</f>
        <v>#REF!</v>
      </c>
      <c r="C87" s="502" t="s">
        <v>571</v>
      </c>
      <c r="D87" s="103"/>
      <c r="E87" s="103"/>
      <c r="F87" s="103"/>
      <c r="G87" s="103"/>
      <c r="H87" s="103"/>
      <c r="I87" s="103"/>
      <c r="J87" s="103"/>
      <c r="K87" s="102"/>
      <c r="L87" s="102"/>
      <c r="M87" s="102"/>
    </row>
    <row r="88" spans="1:13" ht="15.75" customHeight="1">
      <c r="A88" s="190">
        <v>87</v>
      </c>
      <c r="B88" s="522" t="e">
        <f>SUMIF('BY Class'!B$3:B$71,A88,'BY Class'!#REF!)</f>
        <v>#REF!</v>
      </c>
      <c r="C88" s="502"/>
      <c r="D88" s="103"/>
      <c r="E88" s="103"/>
      <c r="F88" s="103"/>
      <c r="G88" s="103"/>
      <c r="H88" s="103"/>
      <c r="I88" s="103"/>
      <c r="J88" s="103"/>
      <c r="K88" s="102"/>
      <c r="L88" s="102"/>
      <c r="M88" s="102"/>
    </row>
    <row r="89" spans="1:13" ht="15.75" customHeight="1">
      <c r="A89" s="190">
        <v>88</v>
      </c>
      <c r="B89" s="522" t="e">
        <f>SUMIF('BY Class'!B$3:B$71,A89,'BY Class'!#REF!)</f>
        <v>#REF!</v>
      </c>
      <c r="C89" s="502" t="s">
        <v>572</v>
      </c>
      <c r="D89" s="103"/>
      <c r="E89" s="103"/>
      <c r="F89" s="103"/>
      <c r="G89" s="103"/>
      <c r="H89" s="103"/>
      <c r="I89" s="103"/>
      <c r="J89" s="103"/>
      <c r="K89" s="102"/>
      <c r="L89" s="102"/>
      <c r="M89" s="102"/>
    </row>
    <row r="90" spans="1:13" ht="15.75" customHeight="1">
      <c r="A90" s="190">
        <v>89</v>
      </c>
      <c r="B90" s="522" t="e">
        <f>SUMIF('BY Class'!B$3:B$71,A90,'BY Class'!#REF!)</f>
        <v>#REF!</v>
      </c>
      <c r="C90" s="502"/>
      <c r="D90" s="103"/>
      <c r="E90" s="103"/>
      <c r="F90" s="103"/>
      <c r="G90" s="103"/>
      <c r="H90" s="103"/>
      <c r="I90" s="103"/>
      <c r="J90" s="103"/>
      <c r="K90" s="102"/>
      <c r="L90" s="102"/>
      <c r="M90" s="102"/>
    </row>
    <row r="91" spans="1:13" ht="15.75" customHeight="1">
      <c r="A91" s="190">
        <v>90</v>
      </c>
      <c r="B91" s="522" t="e">
        <f>SUMIF('BY Class'!B$3:B$71,A91,'BY Class'!#REF!)</f>
        <v>#REF!</v>
      </c>
      <c r="C91" s="502" t="s">
        <v>573</v>
      </c>
      <c r="D91" s="103"/>
      <c r="E91" s="103"/>
      <c r="F91" s="103"/>
      <c r="G91" s="103"/>
      <c r="H91" s="103"/>
      <c r="I91" s="103"/>
      <c r="J91" s="103"/>
      <c r="K91" s="102"/>
      <c r="L91" s="102"/>
      <c r="M91" s="102"/>
    </row>
    <row r="92" spans="1:13" ht="15.75" customHeight="1">
      <c r="A92" s="190">
        <v>91</v>
      </c>
      <c r="B92" s="522" t="e">
        <f>SUMIF('BY Class'!B$3:B$71,A92,'BY Class'!#REF!)</f>
        <v>#REF!</v>
      </c>
      <c r="C92" s="502" t="s">
        <v>574</v>
      </c>
      <c r="D92" s="103"/>
      <c r="E92" s="103"/>
      <c r="F92" s="103"/>
      <c r="G92" s="103"/>
      <c r="H92" s="103"/>
      <c r="I92" s="103"/>
      <c r="J92" s="103"/>
      <c r="K92" s="102"/>
      <c r="L92" s="102"/>
      <c r="M92" s="102"/>
    </row>
    <row r="93" spans="1:13" ht="15.75" customHeight="1">
      <c r="A93" s="190">
        <v>92</v>
      </c>
      <c r="B93" s="522" t="e">
        <f>SUMIF('BY Class'!B$3:B$71,A93,'BY Class'!#REF!)</f>
        <v>#REF!</v>
      </c>
      <c r="C93" s="502" t="s">
        <v>575</v>
      </c>
      <c r="D93" s="103"/>
      <c r="E93" s="103"/>
      <c r="F93" s="103"/>
      <c r="G93" s="103"/>
      <c r="H93" s="103"/>
      <c r="I93" s="103"/>
      <c r="J93" s="103"/>
      <c r="K93" s="102"/>
      <c r="L93" s="102"/>
      <c r="M93" s="102"/>
    </row>
    <row r="94" spans="1:13" ht="15.75" customHeight="1">
      <c r="A94" s="190">
        <v>93</v>
      </c>
      <c r="B94" s="522" t="e">
        <f>SUMIF('BY Class'!B$3:B$71,A94,'BY Class'!#REF!)</f>
        <v>#REF!</v>
      </c>
      <c r="C94" s="502"/>
      <c r="D94" s="103"/>
      <c r="E94" s="103"/>
      <c r="F94" s="103"/>
      <c r="G94" s="103"/>
      <c r="H94" s="103"/>
      <c r="I94" s="103"/>
      <c r="J94" s="103"/>
      <c r="K94" s="102"/>
      <c r="L94" s="102"/>
      <c r="M94" s="102"/>
    </row>
    <row r="95" spans="1:13" ht="15.75" customHeight="1">
      <c r="A95" s="190">
        <v>94</v>
      </c>
      <c r="B95" s="522" t="e">
        <f>SUMIF('BY Class'!B$3:B$71,A95,'BY Class'!#REF!)</f>
        <v>#REF!</v>
      </c>
      <c r="C95" s="502" t="s">
        <v>576</v>
      </c>
      <c r="D95" s="103"/>
      <c r="E95" s="103"/>
      <c r="F95" s="103"/>
      <c r="G95" s="103"/>
      <c r="H95" s="103"/>
      <c r="I95" s="103"/>
      <c r="J95" s="103"/>
      <c r="K95" s="102"/>
      <c r="L95" s="102"/>
      <c r="M95" s="102"/>
    </row>
    <row r="96" spans="1:13" ht="15.75" customHeight="1">
      <c r="A96" s="190">
        <v>95</v>
      </c>
      <c r="B96" s="522" t="e">
        <f>SUMIF('BY Class'!B$3:B$71,A96,'BY Class'!#REF!)</f>
        <v>#REF!</v>
      </c>
      <c r="C96" s="502"/>
      <c r="D96" s="103"/>
      <c r="E96" s="103"/>
      <c r="F96" s="103"/>
      <c r="G96" s="103"/>
      <c r="H96" s="103"/>
      <c r="I96" s="103"/>
      <c r="J96" s="103"/>
      <c r="K96" s="102"/>
      <c r="L96" s="102"/>
      <c r="M96" s="102"/>
    </row>
    <row r="97" spans="1:13" ht="15.75" customHeight="1">
      <c r="A97" s="190">
        <v>96</v>
      </c>
      <c r="B97" s="522" t="e">
        <f>SUMIF('BY Class'!B$3:B$71,A97,'BY Class'!#REF!)</f>
        <v>#REF!</v>
      </c>
      <c r="C97" s="502"/>
      <c r="D97" s="103"/>
      <c r="E97" s="103"/>
      <c r="F97" s="103"/>
      <c r="G97" s="103"/>
      <c r="H97" s="103"/>
      <c r="I97" s="103"/>
      <c r="J97" s="103"/>
      <c r="K97" s="102"/>
      <c r="L97" s="102"/>
      <c r="M97" s="102"/>
    </row>
    <row r="98" spans="1:13" ht="15.75" customHeight="1">
      <c r="A98" s="190">
        <v>97</v>
      </c>
      <c r="B98" s="522" t="e">
        <f>SUMIF('BY Class'!B$3:B$71,A98,'BY Class'!#REF!)</f>
        <v>#REF!</v>
      </c>
      <c r="C98" s="502"/>
      <c r="D98" s="103"/>
      <c r="E98" s="103"/>
      <c r="F98" s="103"/>
      <c r="G98" s="103"/>
      <c r="H98" s="103"/>
      <c r="I98" s="103"/>
      <c r="J98" s="103"/>
      <c r="K98" s="102"/>
      <c r="L98" s="102"/>
      <c r="M98" s="102"/>
    </row>
    <row r="99" spans="1:13" ht="15.75" customHeight="1">
      <c r="A99" s="190">
        <v>98</v>
      </c>
      <c r="B99" s="522" t="e">
        <f>SUMIF('BY Class'!B$3:B$71,A99,'BY Class'!#REF!)</f>
        <v>#REF!</v>
      </c>
      <c r="C99" s="502"/>
      <c r="D99" s="103"/>
      <c r="E99" s="103"/>
      <c r="F99" s="103"/>
      <c r="G99" s="103"/>
      <c r="H99" s="103"/>
      <c r="I99" s="103"/>
      <c r="J99" s="103"/>
      <c r="K99" s="102"/>
      <c r="L99" s="102"/>
      <c r="M99" s="102"/>
    </row>
    <row r="100" spans="1:13" ht="15.75" customHeight="1">
      <c r="A100" s="190">
        <v>99</v>
      </c>
      <c r="B100" s="522" t="e">
        <f>SUMIF('BY Class'!B$3:B$71,A100,'BY Class'!#REF!)</f>
        <v>#REF!</v>
      </c>
      <c r="C100" s="502"/>
      <c r="D100" s="103"/>
      <c r="E100" s="103"/>
      <c r="F100" s="103"/>
      <c r="G100" s="103"/>
      <c r="H100" s="103"/>
      <c r="I100" s="103"/>
      <c r="J100" s="103"/>
      <c r="K100" s="102"/>
      <c r="L100" s="102"/>
      <c r="M100" s="102"/>
    </row>
    <row r="101" spans="1:13" ht="15.75" customHeight="1">
      <c r="A101" s="190">
        <v>100</v>
      </c>
      <c r="B101" s="522" t="e">
        <f>SUMIF('BY Class'!B$3:B$71,A101,'BY Class'!#REF!)</f>
        <v>#REF!</v>
      </c>
      <c r="C101" s="502"/>
      <c r="D101" s="103"/>
      <c r="E101" s="103"/>
      <c r="F101" s="103"/>
      <c r="G101" s="103"/>
      <c r="H101" s="103"/>
      <c r="I101" s="103"/>
      <c r="J101" s="103"/>
      <c r="K101" s="102"/>
      <c r="L101" s="102"/>
      <c r="M101" s="102"/>
    </row>
    <row r="102" spans="1:13" ht="15.75" customHeight="1">
      <c r="A102" s="190">
        <v>101</v>
      </c>
      <c r="B102" s="522" t="e">
        <f>SUMIF('BY Class'!B$3:B$71,A102,'BY Class'!#REF!)</f>
        <v>#REF!</v>
      </c>
      <c r="C102" s="502"/>
      <c r="D102" s="103"/>
      <c r="E102" s="103"/>
      <c r="F102" s="103"/>
      <c r="G102" s="103"/>
      <c r="H102" s="103"/>
      <c r="I102" s="103"/>
      <c r="J102" s="103"/>
      <c r="K102" s="102"/>
      <c r="L102" s="102"/>
      <c r="M102" s="102"/>
    </row>
    <row r="103" spans="1:13" ht="15.75" customHeight="1">
      <c r="A103" s="190">
        <v>102</v>
      </c>
      <c r="B103" s="522" t="e">
        <f>SUMIF('BY Class'!B$3:B$71,A103,'BY Class'!#REF!)</f>
        <v>#REF!</v>
      </c>
      <c r="C103" s="502" t="s">
        <v>577</v>
      </c>
      <c r="D103" s="103"/>
      <c r="E103" s="103"/>
      <c r="F103" s="103"/>
      <c r="G103" s="103"/>
      <c r="H103" s="103"/>
      <c r="I103" s="103"/>
      <c r="J103" s="103"/>
      <c r="K103" s="102"/>
      <c r="L103" s="102"/>
      <c r="M103" s="102"/>
    </row>
    <row r="104" spans="1:13" ht="15.75" customHeight="1">
      <c r="A104" s="190">
        <v>103</v>
      </c>
      <c r="B104" s="522" t="e">
        <f>SUMIF('BY Class'!B$3:B$71,A104,'BY Class'!#REF!)</f>
        <v>#REF!</v>
      </c>
      <c r="C104" s="502" t="s">
        <v>578</v>
      </c>
      <c r="D104" s="103"/>
      <c r="E104" s="103"/>
      <c r="F104" s="103"/>
      <c r="G104" s="103"/>
      <c r="H104" s="103"/>
      <c r="I104" s="103"/>
      <c r="J104" s="103"/>
      <c r="K104" s="102"/>
      <c r="L104" s="102"/>
      <c r="M104" s="102"/>
    </row>
    <row r="105" spans="1:13" ht="15.75" customHeight="1">
      <c r="A105" s="190">
        <v>104</v>
      </c>
      <c r="B105" s="522" t="e">
        <f>SUMIF('BY Class'!B$3:B$71,A105,'BY Class'!#REF!)</f>
        <v>#REF!</v>
      </c>
      <c r="C105" s="502"/>
      <c r="D105" s="103"/>
      <c r="E105" s="103"/>
      <c r="F105" s="103"/>
      <c r="G105" s="103"/>
      <c r="H105" s="103"/>
      <c r="I105" s="103"/>
      <c r="J105" s="103"/>
      <c r="K105" s="102"/>
      <c r="L105" s="102"/>
      <c r="M105" s="102"/>
    </row>
    <row r="106" spans="1:13" ht="15.75" customHeight="1">
      <c r="A106" s="190">
        <v>105</v>
      </c>
      <c r="B106" s="522" t="e">
        <f>SUMIF('BY Class'!B$3:B$71,A106,'BY Class'!#REF!)</f>
        <v>#REF!</v>
      </c>
      <c r="C106" s="502"/>
      <c r="D106" s="103"/>
      <c r="E106" s="103"/>
      <c r="F106" s="103"/>
      <c r="G106" s="103"/>
      <c r="H106" s="103"/>
      <c r="I106" s="103"/>
      <c r="J106" s="103"/>
      <c r="K106" s="102"/>
      <c r="L106" s="102"/>
      <c r="M106" s="102"/>
    </row>
    <row r="107" spans="1:13" ht="15.75" customHeight="1">
      <c r="A107" s="190">
        <v>106</v>
      </c>
      <c r="B107" s="522" t="e">
        <f>SUMIF('BY Class'!B$3:B$71,A107,'BY Class'!#REF!)</f>
        <v>#REF!</v>
      </c>
      <c r="C107" s="502"/>
      <c r="D107" s="103"/>
      <c r="E107" s="103"/>
      <c r="F107" s="103"/>
      <c r="G107" s="103"/>
      <c r="H107" s="103"/>
      <c r="I107" s="103"/>
      <c r="J107" s="103"/>
      <c r="K107" s="102"/>
      <c r="L107" s="102"/>
      <c r="M107" s="102"/>
    </row>
    <row r="108" spans="1:13" ht="15.75" customHeight="1">
      <c r="A108" s="190">
        <v>107</v>
      </c>
      <c r="B108" s="522" t="e">
        <f>SUMIF('BY Class'!B$3:B$71,A108,'BY Class'!#REF!)</f>
        <v>#REF!</v>
      </c>
      <c r="C108" s="502"/>
      <c r="D108" s="103"/>
      <c r="E108" s="103"/>
      <c r="F108" s="103"/>
      <c r="G108" s="103"/>
      <c r="H108" s="103"/>
      <c r="I108" s="103"/>
      <c r="J108" s="103"/>
      <c r="K108" s="102"/>
      <c r="L108" s="102"/>
      <c r="M108" s="102"/>
    </row>
    <row r="109" spans="1:13" ht="15.75" customHeight="1">
      <c r="A109" s="190">
        <v>108</v>
      </c>
      <c r="B109" s="522" t="e">
        <f>SUMIF('BY Class'!B$3:B$71,A109,'BY Class'!#REF!)</f>
        <v>#REF!</v>
      </c>
      <c r="C109" s="502"/>
      <c r="D109" s="103"/>
      <c r="E109" s="103"/>
      <c r="F109" s="103"/>
      <c r="G109" s="103"/>
      <c r="H109" s="103"/>
      <c r="I109" s="103"/>
      <c r="J109" s="103"/>
      <c r="K109" s="102"/>
      <c r="L109" s="102"/>
      <c r="M109" s="102"/>
    </row>
    <row r="110" spans="1:13" ht="15.75" customHeight="1">
      <c r="A110" s="190">
        <v>109</v>
      </c>
      <c r="B110" s="522" t="e">
        <f>SUMIF('BY Class'!B$3:B$71,A110,'BY Class'!#REF!)</f>
        <v>#REF!</v>
      </c>
      <c r="C110" s="502"/>
      <c r="D110" s="103"/>
      <c r="E110" s="103"/>
      <c r="F110" s="103"/>
      <c r="G110" s="103"/>
      <c r="H110" s="103"/>
      <c r="I110" s="103"/>
      <c r="J110" s="103"/>
      <c r="K110" s="102"/>
      <c r="L110" s="102"/>
      <c r="M110" s="102"/>
    </row>
    <row r="111" spans="1:13" ht="15.75" customHeight="1">
      <c r="A111" s="190">
        <v>110</v>
      </c>
      <c r="B111" s="522" t="e">
        <f>SUMIF('BY Class'!B$3:B$71,A111,'BY Class'!#REF!)</f>
        <v>#REF!</v>
      </c>
      <c r="C111" s="502"/>
      <c r="D111" s="103"/>
      <c r="E111" s="103"/>
      <c r="F111" s="103"/>
      <c r="G111" s="103"/>
      <c r="H111" s="103"/>
      <c r="I111" s="103"/>
      <c r="J111" s="103"/>
      <c r="K111" s="102"/>
      <c r="L111" s="102"/>
      <c r="M111" s="102"/>
    </row>
    <row r="112" spans="1:13" ht="15.75" customHeight="1">
      <c r="A112" s="190">
        <v>111</v>
      </c>
      <c r="B112" s="522" t="e">
        <f>SUMIF('BY Class'!B$3:B$71,A112,'BY Class'!#REF!)</f>
        <v>#REF!</v>
      </c>
      <c r="C112" s="502" t="s">
        <v>579</v>
      </c>
      <c r="D112" s="103"/>
      <c r="E112" s="103"/>
      <c r="F112" s="103"/>
      <c r="G112" s="103"/>
      <c r="H112" s="103"/>
      <c r="I112" s="103"/>
      <c r="J112" s="103"/>
      <c r="K112" s="102"/>
      <c r="L112" s="102"/>
      <c r="M112" s="102"/>
    </row>
    <row r="113" spans="1:13" ht="15.75" customHeight="1">
      <c r="A113" s="190">
        <v>112</v>
      </c>
      <c r="B113" s="522" t="e">
        <f>SUMIF('BY Class'!B$3:B$71,A113,'BY Class'!#REF!)</f>
        <v>#REF!</v>
      </c>
      <c r="C113" s="502" t="s">
        <v>580</v>
      </c>
      <c r="D113" s="103"/>
      <c r="E113" s="103"/>
      <c r="F113" s="103"/>
      <c r="G113" s="103"/>
      <c r="H113" s="103"/>
      <c r="I113" s="103"/>
      <c r="J113" s="103"/>
      <c r="K113" s="102"/>
      <c r="L113" s="102"/>
      <c r="M113" s="102"/>
    </row>
    <row r="114" spans="1:13" ht="15.75" customHeight="1">
      <c r="A114" s="190">
        <v>113</v>
      </c>
      <c r="B114" s="522" t="e">
        <f>SUMIF('BY Class'!B$3:B$71,A114,'BY Class'!#REF!)</f>
        <v>#REF!</v>
      </c>
      <c r="C114" s="502" t="s">
        <v>581</v>
      </c>
      <c r="D114" s="103"/>
      <c r="E114" s="103"/>
      <c r="F114" s="103"/>
      <c r="G114" s="103"/>
      <c r="H114" s="103"/>
      <c r="I114" s="103"/>
      <c r="J114" s="103"/>
      <c r="K114" s="102"/>
      <c r="L114" s="102"/>
      <c r="M114" s="102"/>
    </row>
    <row r="115" spans="1:13" ht="15.75" customHeight="1">
      <c r="A115" s="190">
        <v>114</v>
      </c>
      <c r="B115" s="522" t="e">
        <f>SUMIF('BY Class'!B$3:B$71,A115,'BY Class'!#REF!)</f>
        <v>#REF!</v>
      </c>
      <c r="C115" s="502" t="s">
        <v>582</v>
      </c>
      <c r="D115" s="103"/>
      <c r="E115" s="103"/>
      <c r="F115" s="103"/>
      <c r="G115" s="103"/>
      <c r="H115" s="103"/>
      <c r="I115" s="103"/>
      <c r="J115" s="103"/>
      <c r="K115" s="102"/>
      <c r="L115" s="102"/>
      <c r="M115" s="102"/>
    </row>
    <row r="116" spans="1:13" ht="15.75" customHeight="1">
      <c r="A116" s="190">
        <v>115</v>
      </c>
      <c r="B116" s="522" t="e">
        <f>SUMIF('BY Class'!B$3:B$71,A116,'BY Class'!#REF!)</f>
        <v>#REF!</v>
      </c>
      <c r="C116" s="502"/>
      <c r="D116" s="103"/>
      <c r="E116" s="103"/>
      <c r="F116" s="103"/>
      <c r="G116" s="103"/>
      <c r="H116" s="103"/>
      <c r="I116" s="103"/>
      <c r="J116" s="103"/>
      <c r="K116" s="102"/>
      <c r="L116" s="102"/>
      <c r="M116" s="102"/>
    </row>
    <row r="117" spans="1:13" ht="15.75" customHeight="1">
      <c r="A117" s="190">
        <v>116</v>
      </c>
      <c r="B117" s="522" t="e">
        <f>SUMIF('BY Class'!B$3:B$71,A117,'BY Class'!#REF!)</f>
        <v>#REF!</v>
      </c>
      <c r="C117" s="502" t="s">
        <v>583</v>
      </c>
      <c r="D117" s="103"/>
      <c r="E117" s="103"/>
      <c r="F117" s="103"/>
      <c r="G117" s="103"/>
      <c r="H117" s="103"/>
      <c r="I117" s="103"/>
      <c r="J117" s="103"/>
      <c r="K117" s="102"/>
      <c r="L117" s="102"/>
      <c r="M117" s="102"/>
    </row>
    <row r="118" spans="1:13" ht="15.75" customHeight="1">
      <c r="A118" s="190">
        <v>117</v>
      </c>
      <c r="B118" s="522" t="e">
        <f>SUMIF('BY Class'!B$3:B$71,A118,'BY Class'!#REF!)</f>
        <v>#REF!</v>
      </c>
      <c r="C118" s="502" t="s">
        <v>584</v>
      </c>
      <c r="D118" s="103"/>
      <c r="E118" s="103"/>
      <c r="F118" s="103"/>
      <c r="G118" s="103"/>
      <c r="H118" s="103"/>
      <c r="I118" s="103"/>
      <c r="J118" s="103"/>
      <c r="K118" s="102"/>
      <c r="L118" s="102"/>
      <c r="M118" s="102"/>
    </row>
    <row r="119" spans="1:13" ht="15.75" customHeight="1">
      <c r="A119" s="190">
        <v>118</v>
      </c>
      <c r="B119" s="522" t="e">
        <f>SUMIF('BY Class'!B$3:B$71,A119,'BY Class'!#REF!)</f>
        <v>#REF!</v>
      </c>
      <c r="C119" s="502" t="s">
        <v>585</v>
      </c>
      <c r="D119" s="103"/>
      <c r="E119" s="103"/>
      <c r="F119" s="103"/>
      <c r="G119" s="103"/>
      <c r="H119" s="103"/>
      <c r="I119" s="103"/>
      <c r="J119" s="103"/>
      <c r="K119" s="102"/>
      <c r="L119" s="102"/>
      <c r="M119" s="102"/>
    </row>
    <row r="120" spans="1:13" ht="15.75" customHeight="1">
      <c r="A120" s="190">
        <v>119</v>
      </c>
      <c r="B120" s="522" t="e">
        <f>SUMIF('BY Class'!B$3:B$71,A120,'BY Class'!#REF!)</f>
        <v>#REF!</v>
      </c>
      <c r="C120" s="502"/>
      <c r="D120" s="103"/>
      <c r="E120" s="103"/>
      <c r="F120" s="103"/>
      <c r="G120" s="103"/>
      <c r="H120" s="103"/>
      <c r="I120" s="103"/>
      <c r="J120" s="103"/>
      <c r="K120" s="102"/>
      <c r="L120" s="102"/>
      <c r="M120" s="102"/>
    </row>
    <row r="121" spans="1:13" ht="15.75" customHeight="1">
      <c r="A121" s="190">
        <v>120</v>
      </c>
      <c r="B121" s="522" t="e">
        <f>SUMIF('BY Class'!B$3:B$71,A121,'BY Class'!#REF!)</f>
        <v>#REF!</v>
      </c>
      <c r="C121" s="502" t="s">
        <v>586</v>
      </c>
      <c r="D121" s="103"/>
      <c r="E121" s="103"/>
      <c r="F121" s="103"/>
      <c r="G121" s="103"/>
      <c r="H121" s="103"/>
      <c r="I121" s="103"/>
      <c r="J121" s="103"/>
      <c r="K121" s="102"/>
      <c r="L121" s="102"/>
      <c r="M121" s="102"/>
    </row>
    <row r="122" spans="1:13" ht="15.75" customHeight="1">
      <c r="A122" s="190">
        <v>121</v>
      </c>
      <c r="B122" s="522" t="e">
        <f>SUMIF('BY Class'!B$3:B$71,A122,'BY Class'!#REF!)</f>
        <v>#REF!</v>
      </c>
      <c r="C122" s="502"/>
      <c r="D122" s="103"/>
      <c r="E122" s="103"/>
      <c r="F122" s="103"/>
      <c r="G122" s="103"/>
      <c r="H122" s="103"/>
      <c r="I122" s="103"/>
      <c r="J122" s="103"/>
      <c r="K122" s="102"/>
      <c r="L122" s="102"/>
      <c r="M122" s="102"/>
    </row>
    <row r="123" spans="1:13" ht="15.75" customHeight="1">
      <c r="A123" s="190">
        <v>122</v>
      </c>
      <c r="B123" s="522" t="e">
        <f>SUMIF('BY Class'!B$3:B$71,A123,'BY Class'!#REF!)</f>
        <v>#REF!</v>
      </c>
      <c r="C123" s="502" t="s">
        <v>587</v>
      </c>
      <c r="D123" s="103"/>
      <c r="E123" s="103"/>
      <c r="F123" s="103"/>
      <c r="G123" s="103"/>
      <c r="H123" s="103"/>
      <c r="I123" s="103"/>
      <c r="J123" s="103"/>
      <c r="K123" s="102"/>
      <c r="L123" s="102"/>
      <c r="M123" s="102"/>
    </row>
    <row r="124" spans="1:13" ht="15.75" customHeight="1">
      <c r="A124" s="190">
        <v>123</v>
      </c>
      <c r="B124" s="522" t="e">
        <f>SUMIF('BY Class'!B$3:B$71,A124,'BY Class'!#REF!)</f>
        <v>#REF!</v>
      </c>
      <c r="C124" s="502" t="s">
        <v>588</v>
      </c>
      <c r="D124" s="103"/>
      <c r="E124" s="103"/>
      <c r="F124" s="103"/>
      <c r="G124" s="103"/>
      <c r="H124" s="103"/>
      <c r="I124" s="103"/>
      <c r="J124" s="103"/>
      <c r="K124" s="102"/>
      <c r="L124" s="102"/>
      <c r="M124" s="102"/>
    </row>
    <row r="125" spans="1:13" ht="15.75" customHeight="1">
      <c r="A125" s="190">
        <v>124</v>
      </c>
      <c r="B125" s="522" t="e">
        <f>SUMIF('BY Class'!B$3:B$71,A125,'BY Class'!#REF!)</f>
        <v>#REF!</v>
      </c>
      <c r="C125" s="502"/>
      <c r="D125" s="103"/>
      <c r="E125" s="103"/>
      <c r="F125" s="103"/>
      <c r="G125" s="103"/>
      <c r="H125" s="103"/>
      <c r="I125" s="103"/>
      <c r="J125" s="103"/>
      <c r="K125" s="102"/>
      <c r="L125" s="102"/>
      <c r="M125" s="102"/>
    </row>
    <row r="126" spans="1:13" ht="15.75" customHeight="1">
      <c r="A126" s="190">
        <v>125</v>
      </c>
      <c r="B126" s="522" t="e">
        <f>SUMIF('BY Class'!B$3:B$71,A126,'BY Class'!#REF!)</f>
        <v>#REF!</v>
      </c>
      <c r="C126" s="502"/>
      <c r="D126" s="103"/>
      <c r="E126" s="103"/>
      <c r="F126" s="103"/>
      <c r="G126" s="103"/>
      <c r="H126" s="103"/>
      <c r="I126" s="103"/>
      <c r="J126" s="103"/>
      <c r="K126" s="102"/>
      <c r="L126" s="102"/>
      <c r="M126" s="102"/>
    </row>
    <row r="127" spans="1:13" ht="15.75" customHeight="1">
      <c r="A127" s="190">
        <v>126</v>
      </c>
      <c r="B127" s="522" t="e">
        <f>SUMIF('BY Class'!B$3:B$71,A127,'BY Class'!#REF!)</f>
        <v>#REF!</v>
      </c>
      <c r="C127" s="502" t="s">
        <v>589</v>
      </c>
      <c r="D127" s="103"/>
      <c r="E127" s="103"/>
      <c r="F127" s="103"/>
      <c r="G127" s="103"/>
      <c r="H127" s="103"/>
      <c r="I127" s="103"/>
      <c r="J127" s="103"/>
      <c r="K127" s="102"/>
      <c r="L127" s="102"/>
      <c r="M127" s="102"/>
    </row>
    <row r="128" spans="1:13" ht="15.75" customHeight="1">
      <c r="A128" s="190">
        <v>127</v>
      </c>
      <c r="B128" s="522" t="e">
        <f>SUMIF('BY Class'!B$3:B$71,A128,'BY Class'!#REF!)</f>
        <v>#REF!</v>
      </c>
      <c r="C128" s="502"/>
      <c r="D128" s="103"/>
      <c r="E128" s="103"/>
      <c r="F128" s="103"/>
      <c r="G128" s="103"/>
      <c r="H128" s="103"/>
      <c r="I128" s="103"/>
      <c r="J128" s="103"/>
      <c r="K128" s="102"/>
      <c r="L128" s="102"/>
      <c r="M128" s="102"/>
    </row>
    <row r="129" spans="1:13" ht="15.75" customHeight="1">
      <c r="A129" s="190">
        <v>128</v>
      </c>
      <c r="B129" s="522" t="e">
        <f>SUMIF('BY Class'!B$3:B$71,A129,'BY Class'!#REF!)</f>
        <v>#REF!</v>
      </c>
      <c r="C129" s="502" t="s">
        <v>590</v>
      </c>
      <c r="D129" s="103"/>
      <c r="E129" s="103"/>
      <c r="F129" s="103"/>
      <c r="G129" s="103"/>
      <c r="H129" s="103"/>
      <c r="I129" s="103"/>
      <c r="J129" s="103"/>
      <c r="K129" s="102"/>
      <c r="L129" s="102"/>
      <c r="M129" s="102"/>
    </row>
    <row r="130" spans="1:13" ht="15.75" customHeight="1">
      <c r="A130" s="190">
        <v>129</v>
      </c>
      <c r="B130" s="522" t="e">
        <f>SUMIF('BY Class'!B$3:B$71,A130,'BY Class'!#REF!)</f>
        <v>#REF!</v>
      </c>
      <c r="C130" s="502" t="s">
        <v>591</v>
      </c>
      <c r="D130" s="103"/>
      <c r="E130" s="103"/>
      <c r="F130" s="103"/>
      <c r="G130" s="103"/>
      <c r="H130" s="103"/>
      <c r="I130" s="103"/>
      <c r="J130" s="103"/>
      <c r="K130" s="102"/>
      <c r="L130" s="102"/>
      <c r="M130" s="102"/>
    </row>
    <row r="131" spans="1:13" ht="15.75" customHeight="1">
      <c r="A131" s="190">
        <v>130</v>
      </c>
      <c r="B131" s="522" t="e">
        <f>SUMIF('BY Class'!B$3:B$71,A131,'BY Class'!#REF!)</f>
        <v>#REF!</v>
      </c>
      <c r="C131" s="502"/>
      <c r="D131" s="103"/>
      <c r="E131" s="103"/>
      <c r="F131" s="103"/>
      <c r="G131" s="103"/>
      <c r="H131" s="103"/>
      <c r="I131" s="103"/>
      <c r="J131" s="103"/>
      <c r="K131" s="102"/>
      <c r="L131" s="102"/>
      <c r="M131" s="102"/>
    </row>
    <row r="132" spans="1:13" ht="15.75" customHeight="1">
      <c r="A132" s="190">
        <v>131</v>
      </c>
      <c r="B132" s="522" t="e">
        <f>SUMIF('BY Class'!B$3:B$71,A132,'BY Class'!#REF!)</f>
        <v>#REF!</v>
      </c>
      <c r="C132" s="502"/>
      <c r="D132" s="103"/>
      <c r="E132" s="103"/>
      <c r="F132" s="103"/>
      <c r="G132" s="103"/>
      <c r="H132" s="103"/>
      <c r="I132" s="103"/>
      <c r="J132" s="103"/>
      <c r="K132" s="102"/>
      <c r="L132" s="102"/>
      <c r="M132" s="102"/>
    </row>
    <row r="133" spans="1:13" ht="15.75" customHeight="1">
      <c r="A133" s="190">
        <v>132</v>
      </c>
      <c r="B133" s="522" t="e">
        <f>SUMIF('BY Class'!B$3:B$71,A133,'BY Class'!#REF!)</f>
        <v>#REF!</v>
      </c>
      <c r="C133" s="502"/>
      <c r="D133" s="103"/>
      <c r="E133" s="103"/>
      <c r="F133" s="103"/>
      <c r="G133" s="103"/>
      <c r="H133" s="103"/>
      <c r="I133" s="103"/>
      <c r="J133" s="103"/>
      <c r="K133" s="102"/>
      <c r="L133" s="102"/>
      <c r="M133" s="102"/>
    </row>
    <row r="134" spans="1:13" ht="15.75" customHeight="1">
      <c r="A134" s="190">
        <v>133</v>
      </c>
      <c r="B134" s="522" t="e">
        <f>SUMIF('BY Class'!B$3:B$71,A134,'BY Class'!#REF!)</f>
        <v>#REF!</v>
      </c>
      <c r="C134" s="502"/>
      <c r="D134" s="103"/>
      <c r="E134" s="103"/>
      <c r="F134" s="103"/>
      <c r="G134" s="103"/>
      <c r="H134" s="103"/>
      <c r="I134" s="103"/>
      <c r="J134" s="103"/>
      <c r="K134" s="102"/>
      <c r="L134" s="102"/>
      <c r="M134" s="102"/>
    </row>
    <row r="135" spans="1:13" ht="15.75" customHeight="1">
      <c r="A135" s="190">
        <v>134</v>
      </c>
      <c r="B135" s="522" t="e">
        <f>SUMIF('BY Class'!B$3:B$71,A135,'BY Class'!#REF!)</f>
        <v>#REF!</v>
      </c>
      <c r="C135" s="502" t="s">
        <v>592</v>
      </c>
      <c r="D135" s="103"/>
      <c r="E135" s="103"/>
      <c r="F135" s="103"/>
      <c r="G135" s="103"/>
      <c r="H135" s="103"/>
      <c r="I135" s="103"/>
      <c r="J135" s="103"/>
      <c r="K135" s="102"/>
      <c r="L135" s="102"/>
      <c r="M135" s="102"/>
    </row>
    <row r="136" spans="1:13" ht="15.75" customHeight="1">
      <c r="A136" s="190">
        <v>135</v>
      </c>
      <c r="B136" s="522" t="e">
        <f>SUMIF('BY Class'!B$3:B$71,A136,'BY Class'!#REF!)</f>
        <v>#REF!</v>
      </c>
      <c r="C136" s="502" t="s">
        <v>593</v>
      </c>
      <c r="D136" s="103"/>
      <c r="E136" s="103"/>
      <c r="F136" s="103"/>
      <c r="G136" s="103"/>
      <c r="H136" s="103"/>
      <c r="I136" s="103"/>
      <c r="J136" s="103"/>
      <c r="K136" s="102"/>
      <c r="L136" s="102"/>
      <c r="M136" s="102"/>
    </row>
    <row r="137" spans="1:13" ht="15.75" customHeight="1">
      <c r="A137" s="190">
        <v>136</v>
      </c>
      <c r="B137" s="522" t="e">
        <f>SUMIF('BY Class'!B$3:B$71,A137,'BY Class'!#REF!)</f>
        <v>#REF!</v>
      </c>
      <c r="C137" s="502"/>
      <c r="D137" s="103"/>
      <c r="E137" s="103"/>
      <c r="F137" s="103"/>
      <c r="G137" s="103"/>
      <c r="H137" s="103"/>
      <c r="I137" s="103"/>
      <c r="J137" s="103"/>
      <c r="K137" s="102"/>
      <c r="L137" s="102"/>
      <c r="M137" s="102"/>
    </row>
    <row r="138" spans="1:13" ht="15.75" customHeight="1">
      <c r="A138" s="190">
        <v>137</v>
      </c>
      <c r="B138" s="522" t="e">
        <f>SUMIF('BY Class'!B$3:B$71,A138,'BY Class'!#REF!)</f>
        <v>#REF!</v>
      </c>
      <c r="C138" s="502" t="s">
        <v>594</v>
      </c>
      <c r="D138" s="103"/>
      <c r="E138" s="103"/>
      <c r="F138" s="103"/>
      <c r="G138" s="103"/>
      <c r="H138" s="103"/>
      <c r="I138" s="103"/>
      <c r="J138" s="103"/>
      <c r="K138" s="102"/>
      <c r="L138" s="102"/>
      <c r="M138" s="102"/>
    </row>
    <row r="139" spans="1:13" ht="15.75" customHeight="1">
      <c r="A139" s="190">
        <v>138</v>
      </c>
      <c r="B139" s="522" t="e">
        <f>SUMIF('BY Class'!B$3:B$71,A139,'BY Class'!#REF!)</f>
        <v>#REF!</v>
      </c>
      <c r="C139" s="502" t="s">
        <v>595</v>
      </c>
      <c r="D139" s="103"/>
      <c r="E139" s="103"/>
      <c r="F139" s="103"/>
      <c r="G139" s="103"/>
      <c r="H139" s="103"/>
      <c r="I139" s="103"/>
      <c r="J139" s="103"/>
      <c r="K139" s="102"/>
      <c r="L139" s="102"/>
      <c r="M139" s="102"/>
    </row>
    <row r="140" spans="1:13" ht="15.75" customHeight="1">
      <c r="A140" s="190">
        <v>139</v>
      </c>
      <c r="B140" s="522" t="e">
        <f>SUMIF('BY Class'!B$3:B$71,A140,'BY Class'!#REF!)</f>
        <v>#REF!</v>
      </c>
      <c r="C140" s="502"/>
      <c r="D140" s="103"/>
      <c r="E140" s="103"/>
      <c r="F140" s="103"/>
      <c r="G140" s="103"/>
      <c r="H140" s="103"/>
      <c r="I140" s="103"/>
      <c r="J140" s="103"/>
      <c r="K140" s="102"/>
      <c r="L140" s="102"/>
      <c r="M140" s="102"/>
    </row>
    <row r="141" spans="1:13" ht="15.75" customHeight="1">
      <c r="A141" s="190">
        <v>140</v>
      </c>
      <c r="B141" s="522" t="e">
        <f>SUMIF('BY Class'!B$3:B$71,A141,'BY Class'!#REF!)</f>
        <v>#REF!</v>
      </c>
      <c r="C141" s="502" t="s">
        <v>596</v>
      </c>
      <c r="D141" s="103"/>
      <c r="E141" s="103"/>
      <c r="F141" s="103"/>
      <c r="G141" s="103"/>
      <c r="H141" s="103"/>
      <c r="I141" s="103"/>
      <c r="J141" s="103"/>
      <c r="K141" s="102"/>
      <c r="L141" s="102"/>
      <c r="M141" s="102"/>
    </row>
    <row r="142" spans="1:13" ht="15.75" customHeight="1">
      <c r="A142" s="190">
        <v>141</v>
      </c>
      <c r="B142" s="522" t="e">
        <f>SUMIF('BY Class'!B$3:B$71,A142,'BY Class'!#REF!)</f>
        <v>#REF!</v>
      </c>
      <c r="C142" s="502" t="s">
        <v>597</v>
      </c>
      <c r="D142" s="103"/>
      <c r="E142" s="103"/>
      <c r="F142" s="103"/>
      <c r="G142" s="103"/>
      <c r="H142" s="103"/>
      <c r="I142" s="103"/>
      <c r="J142" s="103"/>
      <c r="K142" s="102"/>
      <c r="L142" s="102"/>
      <c r="M142" s="102"/>
    </row>
    <row r="143" spans="1:13" ht="15.75" customHeight="1">
      <c r="A143" s="190">
        <v>142</v>
      </c>
      <c r="B143" s="522" t="e">
        <f>SUMIF('BY Class'!B$3:B$71,A143,'BY Class'!#REF!)</f>
        <v>#REF!</v>
      </c>
      <c r="C143" s="502"/>
      <c r="D143" s="103"/>
      <c r="E143" s="103"/>
      <c r="F143" s="103"/>
      <c r="G143" s="103"/>
      <c r="H143" s="103"/>
      <c r="I143" s="103"/>
      <c r="J143" s="103"/>
      <c r="K143" s="102"/>
      <c r="L143" s="102"/>
      <c r="M143" s="102"/>
    </row>
    <row r="144" spans="1:13" ht="15.75" customHeight="1">
      <c r="A144" s="190">
        <v>143</v>
      </c>
      <c r="B144" s="522" t="e">
        <f>SUMIF('BY Class'!B$3:B$71,A144,'BY Class'!#REF!)</f>
        <v>#REF!</v>
      </c>
      <c r="C144" s="502"/>
      <c r="D144" s="103"/>
      <c r="E144" s="103"/>
      <c r="F144" s="103"/>
      <c r="G144" s="103"/>
      <c r="H144" s="103"/>
      <c r="I144" s="103"/>
      <c r="J144" s="103"/>
      <c r="K144" s="102"/>
      <c r="L144" s="102"/>
      <c r="M144" s="102"/>
    </row>
    <row r="145" spans="1:13" ht="15.75" customHeight="1">
      <c r="A145" s="190">
        <v>144</v>
      </c>
      <c r="B145" s="522" t="e">
        <f>SUMIF('BY Class'!B$3:B$71,A145,'BY Class'!#REF!)</f>
        <v>#REF!</v>
      </c>
      <c r="C145" s="502"/>
      <c r="D145" s="103"/>
      <c r="E145" s="103"/>
      <c r="F145" s="103"/>
      <c r="G145" s="103"/>
      <c r="H145" s="103"/>
      <c r="I145" s="103"/>
      <c r="J145" s="103"/>
      <c r="K145" s="102"/>
      <c r="L145" s="102"/>
      <c r="M145" s="102"/>
    </row>
    <row r="146" spans="1:13" ht="15.75" customHeight="1">
      <c r="A146" s="190">
        <v>145</v>
      </c>
      <c r="B146" s="522" t="e">
        <f>SUMIF('BY Class'!B$3:B$71,A146,'BY Class'!#REF!)</f>
        <v>#REF!</v>
      </c>
      <c r="C146" s="502"/>
      <c r="D146" s="103"/>
      <c r="E146" s="103"/>
      <c r="F146" s="103"/>
      <c r="G146" s="103"/>
      <c r="H146" s="103"/>
      <c r="I146" s="103"/>
      <c r="J146" s="103"/>
      <c r="K146" s="102"/>
      <c r="L146" s="102"/>
      <c r="M146" s="102"/>
    </row>
    <row r="147" spans="1:13" ht="15.75" customHeight="1">
      <c r="A147" s="190">
        <v>146</v>
      </c>
      <c r="B147" s="522" t="e">
        <f>SUMIF('BY Class'!B$3:B$71,A147,'BY Class'!#REF!)</f>
        <v>#REF!</v>
      </c>
      <c r="C147" s="502"/>
      <c r="D147" s="103"/>
      <c r="E147" s="103"/>
      <c r="F147" s="103"/>
      <c r="G147" s="103"/>
      <c r="H147" s="103"/>
      <c r="I147" s="103"/>
      <c r="J147" s="103"/>
      <c r="K147" s="102"/>
      <c r="L147" s="102"/>
      <c r="M147" s="102"/>
    </row>
    <row r="148" spans="1:13" ht="15.75" customHeight="1">
      <c r="A148" s="190">
        <v>147</v>
      </c>
      <c r="B148" s="522" t="e">
        <f>SUMIF('BY Class'!B$3:B$71,A148,'BY Class'!#REF!)</f>
        <v>#REF!</v>
      </c>
      <c r="C148" s="502" t="s">
        <v>598</v>
      </c>
      <c r="D148" s="103"/>
      <c r="E148" s="103"/>
      <c r="F148" s="103"/>
      <c r="G148" s="103"/>
      <c r="H148" s="103"/>
      <c r="I148" s="103"/>
      <c r="J148" s="103"/>
      <c r="K148" s="102"/>
      <c r="L148" s="102"/>
      <c r="M148" s="102"/>
    </row>
    <row r="149" spans="1:13" ht="15.75" customHeight="1">
      <c r="A149" s="190">
        <v>148</v>
      </c>
      <c r="B149" s="522" t="e">
        <f>SUMIF('BY Class'!B$3:B$71,A149,'BY Class'!#REF!)</f>
        <v>#REF!</v>
      </c>
      <c r="C149" s="502"/>
      <c r="D149" s="103"/>
      <c r="E149" s="103"/>
      <c r="F149" s="103"/>
      <c r="G149" s="103"/>
      <c r="H149" s="103"/>
      <c r="I149" s="103"/>
      <c r="J149" s="103"/>
      <c r="K149" s="102"/>
      <c r="L149" s="102"/>
      <c r="M149" s="102"/>
    </row>
    <row r="150" spans="1:13" ht="15.75" customHeight="1">
      <c r="A150" s="190">
        <v>149</v>
      </c>
      <c r="B150" s="522" t="e">
        <f>SUMIF('BY Class'!B$3:B$71,A150,'BY Class'!#REF!)</f>
        <v>#REF!</v>
      </c>
      <c r="C150" s="502" t="s">
        <v>599</v>
      </c>
      <c r="D150" s="103"/>
      <c r="E150" s="103"/>
      <c r="F150" s="103"/>
      <c r="G150" s="103"/>
      <c r="H150" s="103"/>
      <c r="I150" s="103"/>
      <c r="J150" s="103"/>
      <c r="K150" s="102"/>
      <c r="L150" s="102"/>
      <c r="M150" s="102"/>
    </row>
    <row r="151" spans="1:13" ht="15.75" customHeight="1">
      <c r="A151" s="190">
        <v>150</v>
      </c>
      <c r="B151" s="522" t="e">
        <f>SUMIF('BY Class'!B$3:B$71,A151,'BY Class'!#REF!)</f>
        <v>#REF!</v>
      </c>
      <c r="C151" s="502"/>
      <c r="D151" s="103"/>
      <c r="E151" s="103"/>
      <c r="F151" s="103"/>
      <c r="G151" s="103"/>
      <c r="H151" s="103"/>
      <c r="I151" s="103"/>
      <c r="J151" s="103"/>
      <c r="K151" s="102"/>
      <c r="L151" s="102"/>
      <c r="M151" s="102"/>
    </row>
    <row r="152" spans="1:13" ht="15.75" customHeight="1">
      <c r="A152" s="190">
        <v>151</v>
      </c>
      <c r="B152" s="522" t="e">
        <f>SUMIF('BY Class'!B$3:B$71,A152,'BY Class'!#REF!)</f>
        <v>#REF!</v>
      </c>
      <c r="C152" s="502"/>
      <c r="D152" s="103"/>
      <c r="E152" s="103"/>
      <c r="F152" s="103"/>
      <c r="G152" s="103"/>
      <c r="H152" s="103"/>
      <c r="I152" s="103"/>
      <c r="J152" s="103"/>
      <c r="K152" s="102"/>
      <c r="L152" s="102"/>
      <c r="M152" s="102"/>
    </row>
    <row r="153" spans="1:13" ht="15.75" customHeight="1">
      <c r="A153" s="190">
        <v>152</v>
      </c>
      <c r="B153" s="522" t="e">
        <f>SUMIF('BY Class'!B$3:B$71,A153,'BY Class'!#REF!)</f>
        <v>#REF!</v>
      </c>
      <c r="C153" s="502" t="s">
        <v>600</v>
      </c>
      <c r="D153" s="103"/>
      <c r="E153" s="103"/>
      <c r="F153" s="103"/>
      <c r="G153" s="103"/>
      <c r="H153" s="103"/>
      <c r="I153" s="103"/>
      <c r="J153" s="103"/>
      <c r="K153" s="102"/>
      <c r="L153" s="102"/>
      <c r="M153" s="102"/>
    </row>
    <row r="154" spans="1:13" ht="15.75" customHeight="1">
      <c r="A154" s="190">
        <v>153</v>
      </c>
      <c r="B154" s="522" t="e">
        <f>SUMIF('BY Class'!B$3:B$71,A154,'BY Class'!#REF!)</f>
        <v>#REF!</v>
      </c>
      <c r="C154" s="502" t="s">
        <v>601</v>
      </c>
      <c r="D154" s="103"/>
      <c r="E154" s="103"/>
      <c r="F154" s="103"/>
      <c r="G154" s="103"/>
      <c r="H154" s="103"/>
      <c r="I154" s="103"/>
      <c r="J154" s="103"/>
      <c r="K154" s="102"/>
      <c r="L154" s="102"/>
      <c r="M154" s="102"/>
    </row>
    <row r="155" spans="1:13" ht="15.75" customHeight="1">
      <c r="A155" s="190">
        <v>154</v>
      </c>
      <c r="B155" s="522" t="e">
        <f>SUMIF('BY Class'!B$3:B$71,A155,'BY Class'!#REF!)</f>
        <v>#REF!</v>
      </c>
      <c r="C155" s="502" t="s">
        <v>602</v>
      </c>
      <c r="D155" s="103"/>
      <c r="E155" s="103"/>
      <c r="F155" s="103"/>
      <c r="G155" s="103"/>
      <c r="H155" s="103"/>
      <c r="I155" s="103"/>
      <c r="J155" s="103"/>
      <c r="K155" s="102"/>
      <c r="L155" s="102"/>
      <c r="M155" s="102"/>
    </row>
    <row r="156" spans="1:13" ht="15.75" customHeight="1">
      <c r="A156" s="190">
        <v>155</v>
      </c>
      <c r="B156" s="522" t="e">
        <f>SUMIF('BY Class'!B$3:B$71,A156,'BY Class'!#REF!)</f>
        <v>#REF!</v>
      </c>
      <c r="C156" s="502"/>
      <c r="D156" s="103"/>
      <c r="E156" s="103"/>
      <c r="F156" s="103"/>
      <c r="G156" s="103"/>
      <c r="H156" s="103"/>
      <c r="I156" s="103"/>
      <c r="J156" s="103"/>
      <c r="K156" s="102"/>
      <c r="L156" s="102"/>
      <c r="M156" s="102"/>
    </row>
    <row r="157" spans="1:13" ht="15.75" customHeight="1">
      <c r="A157" s="190">
        <v>156</v>
      </c>
      <c r="B157" s="522" t="e">
        <f>SUMIF('BY Class'!B$3:B$71,A157,'BY Class'!#REF!)</f>
        <v>#REF!</v>
      </c>
      <c r="C157" s="502"/>
      <c r="D157" s="103"/>
      <c r="E157" s="103"/>
      <c r="F157" s="103"/>
      <c r="G157" s="103"/>
      <c r="H157" s="103"/>
      <c r="I157" s="103"/>
      <c r="J157" s="103"/>
      <c r="K157" s="102"/>
      <c r="L157" s="102"/>
      <c r="M157" s="102"/>
    </row>
    <row r="158" spans="1:13" ht="15.75" customHeight="1">
      <c r="A158" s="190">
        <v>157</v>
      </c>
      <c r="B158" s="522" t="e">
        <f>SUMIF('BY Class'!B$3:B$71,A158,'BY Class'!#REF!)</f>
        <v>#REF!</v>
      </c>
      <c r="C158" s="502"/>
      <c r="D158" s="103"/>
      <c r="E158" s="103"/>
      <c r="F158" s="103"/>
      <c r="G158" s="103"/>
      <c r="H158" s="103"/>
      <c r="I158" s="103"/>
      <c r="J158" s="103"/>
      <c r="K158" s="102"/>
      <c r="L158" s="102"/>
      <c r="M158" s="102"/>
    </row>
    <row r="159" spans="1:13" ht="15.75" customHeight="1">
      <c r="A159" s="190">
        <v>158</v>
      </c>
      <c r="B159" s="522" t="e">
        <f>SUMIF('BY Class'!B$3:B$71,A159,'BY Class'!#REF!)</f>
        <v>#REF!</v>
      </c>
      <c r="C159" s="502" t="s">
        <v>603</v>
      </c>
      <c r="D159" s="103"/>
      <c r="E159" s="103"/>
      <c r="F159" s="103"/>
      <c r="G159" s="103"/>
      <c r="H159" s="103"/>
      <c r="I159" s="103"/>
      <c r="J159" s="103"/>
      <c r="K159" s="102"/>
      <c r="L159" s="102"/>
      <c r="M159" s="102"/>
    </row>
    <row r="160" spans="1:13" ht="15.75" customHeight="1">
      <c r="A160" s="190">
        <v>159</v>
      </c>
      <c r="B160" s="522" t="e">
        <f>SUMIF('BY Class'!B$3:B$71,A160,'BY Class'!#REF!)</f>
        <v>#REF!</v>
      </c>
      <c r="C160" s="502" t="s">
        <v>604</v>
      </c>
      <c r="D160" s="103"/>
      <c r="E160" s="103"/>
      <c r="F160" s="103"/>
      <c r="G160" s="103"/>
      <c r="H160" s="103"/>
      <c r="I160" s="103"/>
      <c r="J160" s="103"/>
      <c r="K160" s="102"/>
      <c r="L160" s="102"/>
      <c r="M160" s="102"/>
    </row>
    <row r="161" spans="1:13" ht="15.75" customHeight="1">
      <c r="A161" s="197">
        <v>160</v>
      </c>
      <c r="B161" s="522" t="e">
        <f>SUMIF('BY Class'!B$3:B$71,A161,'BY Class'!#REF!)</f>
        <v>#REF!</v>
      </c>
      <c r="C161" s="507" t="s">
        <v>605</v>
      </c>
      <c r="D161" s="103"/>
      <c r="E161" s="103"/>
      <c r="F161" s="103"/>
      <c r="G161" s="103"/>
      <c r="H161" s="103"/>
      <c r="I161" s="103"/>
      <c r="J161" s="103"/>
      <c r="K161" s="102"/>
      <c r="L161" s="102"/>
      <c r="M161" s="102"/>
    </row>
    <row r="162" spans="1:13" ht="15.75" customHeight="1">
      <c r="A162" s="183">
        <v>5</v>
      </c>
      <c r="B162" s="521" t="e">
        <f>SUMIF('BY Class'!B$3:B$71,A162,'BY Class'!#REF!)</f>
        <v>#REF!</v>
      </c>
      <c r="C162" s="499" t="s">
        <v>538</v>
      </c>
      <c r="D162" s="103"/>
      <c r="E162" s="103"/>
      <c r="F162" s="103"/>
      <c r="G162" s="103"/>
      <c r="H162" s="103"/>
      <c r="I162" s="103"/>
      <c r="J162" s="103"/>
      <c r="K162" s="102"/>
      <c r="L162" s="102"/>
      <c r="M162" s="102"/>
    </row>
    <row r="163" spans="1:13" ht="15.75" customHeight="1">
      <c r="A163" s="190">
        <v>36</v>
      </c>
      <c r="B163" s="522" t="e">
        <f>SUMIF('BY Class'!B$3:B$71,A163,'BY Class'!#REF!)</f>
        <v>#REF!</v>
      </c>
      <c r="C163" s="502" t="s">
        <v>545</v>
      </c>
      <c r="D163" s="103"/>
      <c r="E163" s="103"/>
      <c r="F163" s="103"/>
      <c r="G163" s="103"/>
      <c r="H163" s="103"/>
      <c r="I163" s="103"/>
      <c r="J163" s="103"/>
      <c r="K163" s="102"/>
      <c r="L163" s="102"/>
      <c r="M163" s="102"/>
    </row>
    <row r="164" spans="1:13" ht="15.75" customHeight="1">
      <c r="A164" s="190">
        <v>43</v>
      </c>
      <c r="B164" s="522" t="e">
        <f>SUMIF('BY Class'!B$3:B$71,A164,'BY Class'!#REF!)</f>
        <v>#REF!</v>
      </c>
      <c r="C164" s="502" t="s">
        <v>548</v>
      </c>
      <c r="D164" s="103"/>
      <c r="E164" s="103"/>
      <c r="F164" s="103"/>
      <c r="G164" s="103"/>
      <c r="H164" s="103"/>
      <c r="I164" s="103"/>
      <c r="J164" s="103"/>
      <c r="K164" s="102"/>
      <c r="L164" s="102"/>
      <c r="M164" s="102"/>
    </row>
    <row r="165" spans="1:13" ht="15.75" customHeight="1">
      <c r="A165" s="197">
        <v>61</v>
      </c>
      <c r="B165" s="523" t="e">
        <f>SUMIF('BY Class'!B$3:B$71,A165,'BY Class'!#REF!)</f>
        <v>#REF!</v>
      </c>
      <c r="C165" s="507" t="s">
        <v>555</v>
      </c>
      <c r="D165" s="103"/>
      <c r="E165" s="103"/>
      <c r="F165" s="103"/>
      <c r="G165" s="103"/>
      <c r="H165" s="103"/>
      <c r="I165" s="103"/>
      <c r="J165" s="103"/>
      <c r="K165" s="102"/>
      <c r="L165" s="102"/>
      <c r="M165" s="102"/>
    </row>
    <row r="166" spans="1:13" ht="15.75" customHeight="1">
      <c r="A166" s="190">
        <v>88</v>
      </c>
      <c r="B166" s="522" t="e">
        <f>SUMIF('BY Class'!B$3:B$71,A166,'BY Class'!#REF!)</f>
        <v>#REF!</v>
      </c>
      <c r="C166" s="502" t="s">
        <v>572</v>
      </c>
      <c r="D166" s="103"/>
      <c r="E166" s="103"/>
      <c r="F166" s="103"/>
      <c r="G166" s="103"/>
      <c r="H166" s="103"/>
      <c r="I166" s="103"/>
      <c r="J166" s="103"/>
      <c r="K166" s="102"/>
      <c r="L166" s="102"/>
      <c r="M166" s="102"/>
    </row>
    <row r="167" spans="1:13" ht="15.75" customHeight="1">
      <c r="A167" s="190">
        <v>123</v>
      </c>
      <c r="B167" s="522" t="e">
        <f>SUMIF('BY Class'!B$3:B$71,A167,'BY Class'!#REF!)</f>
        <v>#REF!</v>
      </c>
      <c r="C167" s="502" t="s">
        <v>588</v>
      </c>
      <c r="D167" s="103"/>
      <c r="E167" s="103"/>
      <c r="F167" s="103"/>
      <c r="G167" s="103"/>
      <c r="H167" s="103"/>
      <c r="I167" s="103"/>
      <c r="J167" s="103"/>
      <c r="K167" s="102"/>
      <c r="L167" s="102"/>
      <c r="M167" s="102"/>
    </row>
    <row r="168" spans="1:13" ht="15.75" customHeight="1">
      <c r="A168" s="190">
        <v>154</v>
      </c>
      <c r="B168" s="522" t="e">
        <f>SUMIF('BY Class'!B$3:B$71,A168,'BY Class'!#REF!)</f>
        <v>#REF!</v>
      </c>
      <c r="C168" s="502" t="s">
        <v>602</v>
      </c>
      <c r="D168" s="103"/>
      <c r="E168" s="103"/>
      <c r="F168" s="103"/>
      <c r="G168" s="103"/>
      <c r="H168" s="103"/>
      <c r="I168" s="103"/>
      <c r="J168" s="103"/>
      <c r="K168" s="102"/>
      <c r="L168" s="102"/>
      <c r="M168" s="102"/>
    </row>
    <row r="169" spans="1:13" ht="15.75" customHeight="1">
      <c r="A169" s="190">
        <v>116</v>
      </c>
      <c r="B169" s="522" t="e">
        <f>SUMIF('BY Class'!B$3:B$71,A169,'BY Class'!#REF!)</f>
        <v>#REF!</v>
      </c>
      <c r="C169" s="502" t="s">
        <v>606</v>
      </c>
      <c r="D169" s="103"/>
      <c r="E169" s="103"/>
      <c r="F169" s="103"/>
      <c r="G169" s="102"/>
      <c r="H169" s="102"/>
      <c r="I169" s="102"/>
      <c r="J169" s="102"/>
      <c r="K169" s="102"/>
      <c r="L169" s="102"/>
      <c r="M169" s="102"/>
    </row>
    <row r="170" spans="1:13" ht="15.75" customHeight="1">
      <c r="A170" s="190" t="s">
        <v>607</v>
      </c>
      <c r="B170" s="522" t="e">
        <f>SUMIF('BY Class'!B$3:B$71,A170,'BY Class'!#REF!)</f>
        <v>#REF!</v>
      </c>
      <c r="C170" s="502" t="s">
        <v>608</v>
      </c>
      <c r="D170" s="103"/>
      <c r="E170" s="103"/>
      <c r="F170" s="103"/>
      <c r="G170" s="103"/>
      <c r="H170" s="103"/>
      <c r="I170" s="103"/>
      <c r="J170" s="103"/>
      <c r="K170" s="102"/>
      <c r="L170" s="102"/>
      <c r="M170" s="102"/>
    </row>
    <row r="171" spans="1:13" ht="15.75" customHeight="1">
      <c r="A171" s="406" t="s">
        <v>609</v>
      </c>
      <c r="B171" s="521" t="e">
        <f>SUMIF('BY Class'!B$3:B$71,A171,'BY Class'!#REF!)</f>
        <v>#REF!</v>
      </c>
      <c r="C171" s="499" t="s">
        <v>610</v>
      </c>
      <c r="D171" s="103"/>
      <c r="E171" s="103"/>
      <c r="F171" s="103"/>
      <c r="G171" s="103"/>
      <c r="H171" s="103"/>
      <c r="I171" s="103"/>
      <c r="J171" s="103"/>
      <c r="K171" s="102"/>
      <c r="L171" s="102"/>
      <c r="M171" s="102"/>
    </row>
    <row r="172" spans="1:13" ht="15.75" customHeight="1">
      <c r="A172" s="220" t="s">
        <v>611</v>
      </c>
      <c r="B172" s="522" t="e">
        <f>SUMIF('BY Class'!B$3:B$71,A172,'BY Class'!#REF!)</f>
        <v>#REF!</v>
      </c>
      <c r="C172" s="502" t="s">
        <v>612</v>
      </c>
      <c r="D172" s="103"/>
      <c r="E172" s="103"/>
      <c r="F172" s="103"/>
      <c r="G172" s="103"/>
      <c r="H172" s="103"/>
      <c r="I172" s="103"/>
      <c r="J172" s="103"/>
      <c r="K172" s="102"/>
      <c r="L172" s="102"/>
      <c r="M172" s="102"/>
    </row>
    <row r="173" spans="1:13" ht="15.75" customHeight="1">
      <c r="A173" s="220" t="s">
        <v>613</v>
      </c>
      <c r="B173" s="522" t="e">
        <f>SUMIF('BY Class'!B$3:B$71,A173,'BY Class'!#REF!)</f>
        <v>#REF!</v>
      </c>
      <c r="C173" s="502" t="s">
        <v>614</v>
      </c>
      <c r="D173" s="103"/>
      <c r="E173" s="103"/>
      <c r="F173" s="103"/>
      <c r="G173" s="103"/>
      <c r="H173" s="103"/>
      <c r="I173" s="103"/>
      <c r="J173" s="103"/>
      <c r="K173" s="102"/>
      <c r="L173" s="102"/>
      <c r="M173" s="102"/>
    </row>
    <row r="174" spans="1:13" ht="15.75" customHeight="1">
      <c r="A174" s="220" t="s">
        <v>615</v>
      </c>
      <c r="B174" s="522" t="e">
        <f>SUMIF('BY Class'!B$3:B$71,A174,'BY Class'!#REF!)</f>
        <v>#REF!</v>
      </c>
      <c r="C174" s="524" t="s">
        <v>616</v>
      </c>
      <c r="D174" s="103"/>
      <c r="E174" s="103"/>
      <c r="F174" s="103"/>
      <c r="G174" s="103"/>
      <c r="H174" s="103"/>
      <c r="I174" s="103"/>
      <c r="J174" s="103"/>
      <c r="K174" s="102"/>
      <c r="L174" s="102"/>
      <c r="M174" s="102"/>
    </row>
    <row r="175" spans="1:13" ht="15.75" customHeight="1">
      <c r="A175" s="220" t="s">
        <v>147</v>
      </c>
      <c r="B175" s="522" t="e">
        <f>SUMIF('BY Class'!B$3:B$71,A175,'BY Class'!#REF!)</f>
        <v>#REF!</v>
      </c>
      <c r="C175" s="502" t="s">
        <v>617</v>
      </c>
      <c r="D175" s="103"/>
      <c r="E175" s="103"/>
      <c r="F175" s="103"/>
      <c r="G175" s="103"/>
      <c r="H175" s="103"/>
      <c r="I175" s="103"/>
      <c r="J175" s="103"/>
      <c r="K175" s="102"/>
      <c r="L175" s="102"/>
      <c r="M175" s="102"/>
    </row>
    <row r="176" spans="1:13" ht="15.75" customHeight="1">
      <c r="A176" s="222"/>
      <c r="B176" s="523" t="e">
        <f>SUMIF('BY Class'!B$3:B$71,A176,'BY Class'!#REF!)</f>
        <v>#REF!</v>
      </c>
      <c r="C176" s="525"/>
      <c r="D176" s="103"/>
      <c r="E176" s="103"/>
      <c r="F176" s="103"/>
      <c r="G176" s="103"/>
      <c r="H176" s="103"/>
      <c r="I176" s="103"/>
      <c r="J176" s="103"/>
      <c r="K176" s="102"/>
      <c r="L176" s="102"/>
      <c r="M176" s="102"/>
    </row>
    <row r="177" spans="1:13" ht="15.75" customHeight="1">
      <c r="A177" s="220" t="s">
        <v>618</v>
      </c>
      <c r="B177" s="522" t="e">
        <f>SUMIF('BY Class'!B$3:B$71,A177,'BY Class'!#REF!)</f>
        <v>#REF!</v>
      </c>
      <c r="C177" s="526"/>
      <c r="D177" s="103"/>
      <c r="E177" s="103"/>
      <c r="F177" s="103"/>
      <c r="G177" s="103"/>
      <c r="H177" s="103"/>
      <c r="I177" s="103"/>
      <c r="J177" s="103"/>
      <c r="K177" s="102"/>
      <c r="L177" s="102"/>
      <c r="M177" s="102"/>
    </row>
    <row r="178" spans="1:13" ht="15.75" customHeight="1">
      <c r="A178" s="220" t="s">
        <v>619</v>
      </c>
      <c r="B178" s="522" t="e">
        <f>SUMIF('BY Class'!B$3:B$71,A178,'BY Class'!#REF!)</f>
        <v>#REF!</v>
      </c>
      <c r="C178" s="526"/>
      <c r="D178" s="103"/>
      <c r="E178" s="103"/>
      <c r="F178" s="103"/>
      <c r="G178" s="103"/>
      <c r="H178" s="103"/>
      <c r="I178" s="103"/>
      <c r="J178" s="103"/>
      <c r="K178" s="102"/>
      <c r="L178" s="102"/>
      <c r="M178" s="102"/>
    </row>
    <row r="179" spans="1:13" ht="15.75" customHeight="1">
      <c r="A179" s="220" t="s">
        <v>620</v>
      </c>
      <c r="B179" s="522" t="e">
        <f>SUMIF('BY Class'!B$3:B$71,A179,'BY Class'!#REF!)</f>
        <v>#REF!</v>
      </c>
      <c r="C179" s="526"/>
      <c r="D179" s="103"/>
      <c r="E179" s="103"/>
      <c r="F179" s="103"/>
      <c r="G179" s="103"/>
      <c r="H179" s="103"/>
      <c r="I179" s="103"/>
      <c r="J179" s="103"/>
      <c r="K179" s="102"/>
      <c r="L179" s="102"/>
      <c r="M179" s="102"/>
    </row>
    <row r="180" spans="1:13" ht="15.75" customHeight="1">
      <c r="A180" s="527"/>
      <c r="B180" s="523"/>
      <c r="C180" s="514"/>
      <c r="D180" s="103"/>
      <c r="E180" s="103"/>
      <c r="F180" s="103"/>
      <c r="G180" s="103"/>
      <c r="H180" s="103"/>
      <c r="I180" s="103"/>
      <c r="J180" s="103"/>
      <c r="K180" s="102"/>
      <c r="L180" s="102"/>
      <c r="M180" s="102"/>
    </row>
    <row r="181" spans="1:13" ht="15.75" customHeight="1">
      <c r="A181" s="21"/>
      <c r="B181" s="103"/>
      <c r="C181" s="103"/>
      <c r="D181" s="103"/>
      <c r="E181" s="103"/>
      <c r="F181" s="103"/>
      <c r="G181" s="103"/>
      <c r="H181" s="103"/>
      <c r="I181" s="103"/>
      <c r="J181" s="103"/>
      <c r="K181" s="102"/>
      <c r="L181" s="102"/>
      <c r="M181" s="102"/>
    </row>
    <row r="182" spans="1:13" ht="15.75" customHeight="1">
      <c r="A182" s="21"/>
      <c r="B182" s="103"/>
      <c r="C182" s="103"/>
      <c r="D182" s="103"/>
      <c r="E182" s="103"/>
      <c r="F182" s="103"/>
      <c r="G182" s="103"/>
      <c r="H182" s="103"/>
      <c r="I182" s="103"/>
      <c r="J182" s="103"/>
      <c r="K182" s="102"/>
      <c r="L182" s="102"/>
      <c r="M182" s="102"/>
    </row>
    <row r="183" spans="1:13" ht="15.75" customHeight="1">
      <c r="A183" s="21"/>
      <c r="B183" s="103"/>
      <c r="C183" s="103"/>
      <c r="D183" s="103"/>
      <c r="E183" s="103"/>
      <c r="F183" s="103"/>
      <c r="G183" s="103"/>
      <c r="H183" s="103"/>
      <c r="I183" s="103"/>
      <c r="J183" s="103"/>
      <c r="K183" s="102"/>
      <c r="L183" s="102"/>
      <c r="M183" s="102"/>
    </row>
    <row r="184" spans="1:13" ht="15.75" customHeight="1">
      <c r="D184" s="103"/>
      <c r="E184" s="103"/>
      <c r="F184" s="103"/>
      <c r="G184" s="103"/>
      <c r="H184" s="103"/>
      <c r="I184" s="103"/>
      <c r="J184" s="103"/>
      <c r="K184" s="102"/>
      <c r="L184" s="102"/>
      <c r="M184" s="102"/>
    </row>
    <row r="185" spans="1:13" ht="15.75" customHeight="1">
      <c r="D185" s="103"/>
      <c r="E185" s="103"/>
      <c r="F185" s="103"/>
      <c r="G185" s="102"/>
      <c r="H185" s="102"/>
      <c r="I185" s="102"/>
      <c r="J185" s="102"/>
      <c r="K185" s="102"/>
      <c r="L185" s="102"/>
      <c r="M185" s="102"/>
    </row>
    <row r="186" spans="1:13" ht="15.75" customHeight="1">
      <c r="D186" s="103"/>
      <c r="E186" s="103"/>
      <c r="F186" s="103"/>
      <c r="G186" s="102"/>
      <c r="H186" s="102"/>
      <c r="I186" s="102"/>
      <c r="J186" s="102"/>
      <c r="K186" s="102"/>
      <c r="L186" s="102"/>
      <c r="M186" s="102"/>
    </row>
    <row r="187" spans="1:13" ht="15.75" customHeight="1">
      <c r="D187" s="103"/>
      <c r="E187" s="103"/>
      <c r="F187" s="103"/>
      <c r="G187" s="102"/>
      <c r="H187" s="102"/>
      <c r="I187" s="102"/>
      <c r="J187" s="102"/>
      <c r="K187" s="102"/>
      <c r="L187" s="102"/>
      <c r="M187" s="102"/>
    </row>
    <row r="188" spans="1:13" ht="15.75" customHeight="1"/>
    <row r="189" spans="1:13" ht="15.75" customHeight="1"/>
    <row r="190" spans="1:13" ht="15.75" customHeight="1"/>
    <row r="191" spans="1:13" ht="15.75" customHeight="1"/>
    <row r="192" spans="1:13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75" right="0.75" top="1" bottom="1" header="0" footer="0"/>
  <pageSetup paperSize="9" orientation="portrait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1.09765625" defaultRowHeight="15" customHeight="1"/>
  <cols>
    <col min="1" max="1" width="4.296875" customWidth="1"/>
    <col min="2" max="2" width="5" customWidth="1"/>
    <col min="3" max="3" width="8.09765625" customWidth="1"/>
    <col min="4" max="4" width="8.296875" customWidth="1"/>
    <col min="5" max="5" width="8" customWidth="1"/>
    <col min="6" max="6" width="19.296875" customWidth="1"/>
    <col min="7" max="7" width="3.09765625" customWidth="1"/>
    <col min="8" max="8" width="3.796875" customWidth="1"/>
    <col min="9" max="26" width="7" customWidth="1"/>
  </cols>
  <sheetData>
    <row r="1" spans="1:26" ht="17.25" customHeight="1">
      <c r="A1" s="169"/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69"/>
      <c r="Y1" s="169"/>
      <c r="Z1" s="169"/>
    </row>
    <row r="2" spans="1:26" ht="33" customHeight="1">
      <c r="A2" s="405" t="s">
        <v>462</v>
      </c>
      <c r="B2" s="171" t="s">
        <v>59</v>
      </c>
      <c r="C2" s="485" t="s">
        <v>621</v>
      </c>
      <c r="D2" s="486" t="s">
        <v>622</v>
      </c>
      <c r="E2" s="486" t="s">
        <v>623</v>
      </c>
      <c r="F2" s="487" t="s">
        <v>68</v>
      </c>
      <c r="G2" s="103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 spans="1:26" ht="16.2">
      <c r="A3" s="405" t="s">
        <v>30</v>
      </c>
      <c r="B3" s="183">
        <v>134</v>
      </c>
      <c r="C3" s="488">
        <v>4.0317460317453403E-2</v>
      </c>
      <c r="D3" s="489">
        <v>0</v>
      </c>
      <c r="E3" s="488">
        <v>4.0317460317453403E-2</v>
      </c>
      <c r="F3" s="490" t="s">
        <v>592</v>
      </c>
      <c r="G3" s="103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</row>
    <row r="4" spans="1:26" ht="16.2">
      <c r="A4" s="407" t="s">
        <v>30</v>
      </c>
      <c r="B4" s="190">
        <v>49</v>
      </c>
      <c r="C4" s="491">
        <v>4.0317460317453403E-2</v>
      </c>
      <c r="D4" s="492">
        <v>0</v>
      </c>
      <c r="E4" s="491">
        <v>4.0317460317453403E-2</v>
      </c>
      <c r="F4" s="493" t="s">
        <v>550</v>
      </c>
      <c r="G4" s="103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</row>
    <row r="5" spans="1:26" ht="16.2">
      <c r="A5" s="407" t="s">
        <v>31</v>
      </c>
      <c r="B5" s="190">
        <v>129</v>
      </c>
      <c r="C5" s="491">
        <v>-6.12634920634921</v>
      </c>
      <c r="D5" s="492">
        <v>-12</v>
      </c>
      <c r="E5" s="491">
        <v>-3.0631746031746099</v>
      </c>
      <c r="F5" s="493" t="s">
        <v>591</v>
      </c>
      <c r="G5" s="103"/>
      <c r="H5" s="169"/>
      <c r="I5" s="503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</row>
    <row r="6" spans="1:26" ht="16.2">
      <c r="A6" s="407" t="s">
        <v>31</v>
      </c>
      <c r="B6" s="190">
        <v>150</v>
      </c>
      <c r="C6" s="491">
        <v>-0.37634920634921099</v>
      </c>
      <c r="D6" s="492">
        <v>0</v>
      </c>
      <c r="E6" s="491">
        <v>-0.18817460317460499</v>
      </c>
      <c r="F6" s="493" t="s">
        <v>624</v>
      </c>
      <c r="G6" s="103"/>
      <c r="H6" s="169"/>
      <c r="I6" s="503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</row>
    <row r="7" spans="1:26" ht="16.2">
      <c r="A7" s="407" t="s">
        <v>32</v>
      </c>
      <c r="B7" s="190">
        <v>111</v>
      </c>
      <c r="C7" s="491">
        <v>0.79031746031746097</v>
      </c>
      <c r="D7" s="492">
        <v>2</v>
      </c>
      <c r="E7" s="491">
        <v>0.79031746031746097</v>
      </c>
      <c r="F7" s="493" t="s">
        <v>579</v>
      </c>
      <c r="G7" s="103"/>
      <c r="H7" s="169"/>
      <c r="I7" s="503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</row>
    <row r="8" spans="1:26" ht="16.2">
      <c r="A8" s="407" t="s">
        <v>32</v>
      </c>
      <c r="B8" s="190">
        <v>152</v>
      </c>
      <c r="C8" s="491">
        <v>-0.37634920634921099</v>
      </c>
      <c r="D8" s="492">
        <v>0</v>
      </c>
      <c r="E8" s="491">
        <v>-0.18817460317460499</v>
      </c>
      <c r="F8" s="493" t="s">
        <v>600</v>
      </c>
      <c r="G8" s="103"/>
      <c r="H8" s="169"/>
      <c r="I8" s="503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</row>
    <row r="9" spans="1:26" ht="16.2">
      <c r="A9" s="407" t="s">
        <v>33</v>
      </c>
      <c r="B9" s="190">
        <v>113</v>
      </c>
      <c r="C9" s="491">
        <v>-0.95968253968254702</v>
      </c>
      <c r="D9" s="492">
        <v>-1</v>
      </c>
      <c r="E9" s="491">
        <v>-0.47984126984127301</v>
      </c>
      <c r="F9" s="493" t="s">
        <v>581</v>
      </c>
      <c r="G9" s="103"/>
      <c r="H9" s="169"/>
      <c r="I9" s="503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</row>
    <row r="10" spans="1:26" ht="16.2">
      <c r="A10" s="417" t="s">
        <v>33</v>
      </c>
      <c r="B10" s="197">
        <v>92</v>
      </c>
      <c r="C10" s="494">
        <v>-2.8463492063492102</v>
      </c>
      <c r="D10" s="495">
        <v>-5</v>
      </c>
      <c r="E10" s="494">
        <v>-1.4231746031746</v>
      </c>
      <c r="F10" s="496" t="s">
        <v>575</v>
      </c>
      <c r="G10" s="103"/>
      <c r="H10" s="169"/>
      <c r="I10" s="503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</row>
    <row r="11" spans="1:26" ht="16.2">
      <c r="A11" s="407" t="s">
        <v>36</v>
      </c>
      <c r="B11" s="190">
        <v>141</v>
      </c>
      <c r="C11" s="491">
        <v>1.7903174603174501</v>
      </c>
      <c r="D11" s="492">
        <v>4</v>
      </c>
      <c r="E11" s="491">
        <v>1.7903174603174501</v>
      </c>
      <c r="F11" s="493" t="s">
        <v>597</v>
      </c>
      <c r="G11" s="103"/>
      <c r="H11" s="169"/>
      <c r="I11" s="503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</row>
    <row r="12" spans="1:26" ht="16.2">
      <c r="A12" s="407" t="s">
        <v>36</v>
      </c>
      <c r="B12" s="190">
        <v>147</v>
      </c>
      <c r="C12" s="491">
        <v>-1.12634920634921</v>
      </c>
      <c r="D12" s="492">
        <v>-2</v>
      </c>
      <c r="E12" s="491">
        <v>-0.56317460317460499</v>
      </c>
      <c r="F12" s="493" t="s">
        <v>598</v>
      </c>
      <c r="G12" s="103"/>
      <c r="H12" s="169"/>
      <c r="I12" s="503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</row>
    <row r="13" spans="1:26" ht="16.2">
      <c r="A13" s="407" t="s">
        <v>37</v>
      </c>
      <c r="B13" s="190">
        <v>67</v>
      </c>
      <c r="C13" s="491">
        <v>-0.62634920634921099</v>
      </c>
      <c r="D13" s="492">
        <v>-1</v>
      </c>
      <c r="E13" s="491">
        <v>-0.31317460317460499</v>
      </c>
      <c r="F13" s="493" t="s">
        <v>558</v>
      </c>
      <c r="G13" s="103"/>
      <c r="H13" s="169"/>
      <c r="I13" s="503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</row>
    <row r="14" spans="1:26" ht="16.2">
      <c r="A14" s="407" t="s">
        <v>37</v>
      </c>
      <c r="B14" s="190">
        <v>78</v>
      </c>
      <c r="C14" s="491">
        <v>-1.9596825396825499</v>
      </c>
      <c r="D14" s="492">
        <v>-3</v>
      </c>
      <c r="E14" s="491">
        <v>-0.97984126984127295</v>
      </c>
      <c r="F14" s="493" t="s">
        <v>565</v>
      </c>
      <c r="G14" s="103"/>
      <c r="H14" s="169"/>
      <c r="I14" s="503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</row>
    <row r="15" spans="1:26" ht="16.2">
      <c r="A15" s="407" t="s">
        <v>38</v>
      </c>
      <c r="B15" s="190">
        <v>59</v>
      </c>
      <c r="C15" s="491">
        <v>-0.62634920634921099</v>
      </c>
      <c r="D15" s="492">
        <v>-1</v>
      </c>
      <c r="E15" s="491">
        <v>-0.31317460317460499</v>
      </c>
      <c r="F15" s="493" t="s">
        <v>554</v>
      </c>
      <c r="G15" s="103"/>
      <c r="H15" s="169"/>
      <c r="I15" s="503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</row>
    <row r="16" spans="1:26" ht="16.2">
      <c r="A16" s="407" t="s">
        <v>38</v>
      </c>
      <c r="B16" s="190">
        <v>149</v>
      </c>
      <c r="C16" s="491">
        <v>0.87365079365078901</v>
      </c>
      <c r="D16" s="492">
        <v>2</v>
      </c>
      <c r="E16" s="491">
        <v>0.87365079365078901</v>
      </c>
      <c r="F16" s="493" t="s">
        <v>599</v>
      </c>
      <c r="G16" s="103"/>
      <c r="H16" s="169"/>
      <c r="I16" s="503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</row>
    <row r="17" spans="1:26" ht="16.2">
      <c r="A17" s="407" t="s">
        <v>39</v>
      </c>
      <c r="B17" s="190">
        <v>58</v>
      </c>
      <c r="C17" s="491">
        <v>0.87365079365078901</v>
      </c>
      <c r="D17" s="492">
        <v>2</v>
      </c>
      <c r="E17" s="491">
        <v>0.87365079365078901</v>
      </c>
      <c r="F17" s="493" t="s">
        <v>553</v>
      </c>
      <c r="G17" s="103"/>
      <c r="H17" s="169"/>
      <c r="I17" s="503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</row>
    <row r="18" spans="1:26" ht="16.2">
      <c r="A18" s="407" t="s">
        <v>39</v>
      </c>
      <c r="B18" s="190">
        <v>65</v>
      </c>
      <c r="C18" s="491">
        <v>-2.7096825396825501</v>
      </c>
      <c r="D18" s="492">
        <v>-5</v>
      </c>
      <c r="E18" s="491">
        <v>-1.35484126984127</v>
      </c>
      <c r="F18" s="493" t="s">
        <v>557</v>
      </c>
      <c r="G18" s="103"/>
      <c r="H18" s="169"/>
      <c r="I18" s="503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</row>
    <row r="19" spans="1:26" ht="16.2">
      <c r="A19" s="407" t="s">
        <v>625</v>
      </c>
      <c r="B19" s="190">
        <v>114</v>
      </c>
      <c r="C19" s="491">
        <v>-0.293015873015882</v>
      </c>
      <c r="D19" s="492">
        <v>0</v>
      </c>
      <c r="E19" s="491">
        <v>-0.146507936507941</v>
      </c>
      <c r="F19" s="493" t="s">
        <v>582</v>
      </c>
      <c r="G19" s="103"/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</row>
    <row r="20" spans="1:26" ht="16.2">
      <c r="A20" s="407" t="s">
        <v>625</v>
      </c>
      <c r="B20" s="190">
        <v>82</v>
      </c>
      <c r="C20" s="491">
        <v>0.123650793650789</v>
      </c>
      <c r="D20" s="492">
        <v>0</v>
      </c>
      <c r="E20" s="491">
        <v>0.123650793650789</v>
      </c>
      <c r="F20" s="493" t="s">
        <v>568</v>
      </c>
      <c r="G20" s="103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</row>
    <row r="21" spans="1:26" ht="15.75" customHeight="1">
      <c r="A21" s="405" t="s">
        <v>40</v>
      </c>
      <c r="B21" s="183">
        <v>90</v>
      </c>
      <c r="C21" s="488">
        <v>0.456984126984118</v>
      </c>
      <c r="D21" s="489">
        <v>1</v>
      </c>
      <c r="E21" s="488">
        <v>0.456984126984118</v>
      </c>
      <c r="F21" s="490" t="s">
        <v>573</v>
      </c>
      <c r="G21" s="103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</row>
    <row r="22" spans="1:26" ht="15.75" customHeight="1">
      <c r="A22" s="407" t="s">
        <v>40</v>
      </c>
      <c r="B22" s="190">
        <v>112</v>
      </c>
      <c r="C22" s="491">
        <v>0.58698412698412705</v>
      </c>
      <c r="D22" s="492">
        <v>1</v>
      </c>
      <c r="E22" s="491">
        <v>0.58698412698412705</v>
      </c>
      <c r="F22" s="493" t="s">
        <v>580</v>
      </c>
      <c r="G22" s="103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</row>
    <row r="23" spans="1:26" ht="15.75" customHeight="1">
      <c r="A23" s="407" t="s">
        <v>41</v>
      </c>
      <c r="B23" s="190">
        <v>75</v>
      </c>
      <c r="C23" s="491">
        <v>4.0317460317453403E-2</v>
      </c>
      <c r="D23" s="492">
        <v>0</v>
      </c>
      <c r="E23" s="491">
        <v>4.0317460317453403E-2</v>
      </c>
      <c r="F23" s="493" t="s">
        <v>562</v>
      </c>
      <c r="G23" s="103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</row>
    <row r="24" spans="1:26" ht="15.75" customHeight="1">
      <c r="A24" s="407" t="s">
        <v>41</v>
      </c>
      <c r="B24" s="190">
        <v>84</v>
      </c>
      <c r="C24" s="491">
        <v>-0.20968253968254699</v>
      </c>
      <c r="D24" s="492">
        <v>0</v>
      </c>
      <c r="E24" s="491">
        <v>-0.104841269841273</v>
      </c>
      <c r="F24" s="493" t="s">
        <v>569</v>
      </c>
      <c r="G24" s="103"/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</row>
    <row r="25" spans="1:26" ht="15.75" customHeight="1">
      <c r="A25" s="407" t="s">
        <v>42</v>
      </c>
      <c r="B25" s="190">
        <v>94</v>
      </c>
      <c r="C25" s="491">
        <v>0.20698412698412499</v>
      </c>
      <c r="D25" s="492">
        <v>0</v>
      </c>
      <c r="E25" s="491">
        <v>0.20698412698412499</v>
      </c>
      <c r="F25" s="493" t="s">
        <v>576</v>
      </c>
      <c r="G25" s="103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</row>
    <row r="26" spans="1:26" ht="15.75" customHeight="1">
      <c r="A26" s="407" t="s">
        <v>42</v>
      </c>
      <c r="B26" s="190">
        <v>77</v>
      </c>
      <c r="C26" s="491">
        <v>-0.54301587301588194</v>
      </c>
      <c r="D26" s="492">
        <v>-1</v>
      </c>
      <c r="E26" s="491">
        <v>-0.27150793650794097</v>
      </c>
      <c r="F26" s="493" t="s">
        <v>564</v>
      </c>
      <c r="G26" s="103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</row>
    <row r="27" spans="1:26" ht="15.75" customHeight="1">
      <c r="A27" s="407" t="s">
        <v>43</v>
      </c>
      <c r="B27" s="190">
        <v>118</v>
      </c>
      <c r="C27" s="491">
        <v>1.37365079365079</v>
      </c>
      <c r="D27" s="492">
        <v>3</v>
      </c>
      <c r="E27" s="491">
        <v>1.37365079365079</v>
      </c>
      <c r="F27" s="493" t="s">
        <v>585</v>
      </c>
      <c r="G27" s="103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</row>
    <row r="28" spans="1:26" ht="15.75" customHeight="1">
      <c r="A28" s="407" t="s">
        <v>43</v>
      </c>
      <c r="B28" s="190">
        <v>122</v>
      </c>
      <c r="C28" s="491">
        <v>0.87365079365078901</v>
      </c>
      <c r="D28" s="492">
        <v>2</v>
      </c>
      <c r="E28" s="491">
        <v>0.87365079365078901</v>
      </c>
      <c r="F28" s="493" t="s">
        <v>587</v>
      </c>
      <c r="G28" s="103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</row>
    <row r="29" spans="1:26" ht="15.75" customHeight="1">
      <c r="A29" s="407" t="s">
        <v>626</v>
      </c>
      <c r="B29" s="190">
        <v>48</v>
      </c>
      <c r="C29" s="491">
        <v>-0.79301587301588194</v>
      </c>
      <c r="D29" s="492">
        <v>-1</v>
      </c>
      <c r="E29" s="491">
        <v>-0.39650793650794097</v>
      </c>
      <c r="F29" s="493" t="s">
        <v>549</v>
      </c>
      <c r="G29" s="103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</row>
    <row r="30" spans="1:26" ht="15.75" customHeight="1">
      <c r="A30" s="417" t="s">
        <v>626</v>
      </c>
      <c r="B30" s="197">
        <v>120</v>
      </c>
      <c r="C30" s="494">
        <v>-0.62634920634921099</v>
      </c>
      <c r="D30" s="495">
        <v>-1</v>
      </c>
      <c r="E30" s="494">
        <v>-0.31317460317460499</v>
      </c>
      <c r="F30" s="496" t="s">
        <v>586</v>
      </c>
      <c r="G30" s="103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</row>
    <row r="31" spans="1:26" ht="15.75" customHeight="1">
      <c r="A31" s="405" t="s">
        <v>627</v>
      </c>
      <c r="B31" s="183">
        <v>71</v>
      </c>
      <c r="C31" s="488">
        <v>-0.87634920634921099</v>
      </c>
      <c r="D31" s="489">
        <v>-1</v>
      </c>
      <c r="E31" s="488">
        <v>-0.43817460317460499</v>
      </c>
      <c r="F31" s="490" t="s">
        <v>559</v>
      </c>
      <c r="G31" s="103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</row>
    <row r="32" spans="1:26" ht="15.75" customHeight="1">
      <c r="A32" s="407" t="s">
        <v>627</v>
      </c>
      <c r="B32" s="190">
        <v>153</v>
      </c>
      <c r="C32" s="491">
        <v>-3.87634920634921</v>
      </c>
      <c r="D32" s="492">
        <v>-7</v>
      </c>
      <c r="E32" s="491">
        <v>-1.9381746031746101</v>
      </c>
      <c r="F32" s="493" t="s">
        <v>601</v>
      </c>
      <c r="G32" s="103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  <c r="Z32" s="169"/>
    </row>
    <row r="33" spans="1:26" ht="15.75" customHeight="1">
      <c r="A33" s="407" t="s">
        <v>628</v>
      </c>
      <c r="B33" s="190">
        <v>53</v>
      </c>
      <c r="C33" s="491">
        <v>-2.2930158730158801</v>
      </c>
      <c r="D33" s="492">
        <v>-4</v>
      </c>
      <c r="E33" s="491">
        <v>-1.14650793650794</v>
      </c>
      <c r="F33" s="493" t="s">
        <v>552</v>
      </c>
      <c r="G33" s="103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</row>
    <row r="34" spans="1:26" ht="15.75" customHeight="1">
      <c r="A34" s="407" t="s">
        <v>628</v>
      </c>
      <c r="B34" s="190">
        <v>137</v>
      </c>
      <c r="C34" s="491">
        <v>-0.70968253968253903</v>
      </c>
      <c r="D34" s="492">
        <v>-1</v>
      </c>
      <c r="E34" s="491">
        <v>-0.35484126984127001</v>
      </c>
      <c r="F34" s="493" t="s">
        <v>594</v>
      </c>
      <c r="G34" s="103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  <c r="Z34" s="169"/>
    </row>
    <row r="35" spans="1:26" ht="15.75" customHeight="1">
      <c r="A35" s="407" t="s">
        <v>629</v>
      </c>
      <c r="B35" s="190">
        <v>135</v>
      </c>
      <c r="C35" s="491">
        <v>0.62365079365078901</v>
      </c>
      <c r="D35" s="492">
        <v>1</v>
      </c>
      <c r="E35" s="491">
        <v>0.62365079365078901</v>
      </c>
      <c r="F35" s="493" t="s">
        <v>593</v>
      </c>
      <c r="G35" s="103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</row>
    <row r="36" spans="1:26" ht="15.75" customHeight="1">
      <c r="A36" s="407" t="s">
        <v>629</v>
      </c>
      <c r="B36" s="190">
        <v>101</v>
      </c>
      <c r="C36" s="491">
        <v>-0.29301587301587501</v>
      </c>
      <c r="D36" s="492">
        <v>0</v>
      </c>
      <c r="E36" s="491">
        <v>-0.146507936507938</v>
      </c>
      <c r="F36" s="493" t="s">
        <v>630</v>
      </c>
      <c r="G36" s="103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</row>
    <row r="37" spans="1:26" ht="15.75" customHeight="1">
      <c r="A37" s="407" t="s">
        <v>631</v>
      </c>
      <c r="B37" s="190">
        <v>151</v>
      </c>
      <c r="C37" s="491">
        <v>0.62365079365078901</v>
      </c>
      <c r="D37" s="492">
        <v>1</v>
      </c>
      <c r="E37" s="491">
        <v>0.62365079365078901</v>
      </c>
      <c r="F37" s="493" t="s">
        <v>632</v>
      </c>
      <c r="G37" s="103"/>
      <c r="H37" s="169"/>
      <c r="I37" s="169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</row>
    <row r="38" spans="1:26" ht="15.75" customHeight="1">
      <c r="A38" s="407" t="s">
        <v>631</v>
      </c>
      <c r="B38" s="190">
        <v>73</v>
      </c>
      <c r="C38" s="491">
        <v>-0.12634920634921101</v>
      </c>
      <c r="D38" s="492">
        <v>0</v>
      </c>
      <c r="E38" s="491">
        <v>-6.3174603174605395E-2</v>
      </c>
      <c r="F38" s="493" t="s">
        <v>561</v>
      </c>
      <c r="G38" s="103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</row>
    <row r="39" spans="1:26" ht="15.75" customHeight="1">
      <c r="A39" s="407" t="s">
        <v>633</v>
      </c>
      <c r="B39" s="190">
        <v>25</v>
      </c>
      <c r="C39" s="491">
        <v>1.2903174603174501</v>
      </c>
      <c r="D39" s="492">
        <v>3</v>
      </c>
      <c r="E39" s="491">
        <v>1.2903174603174501</v>
      </c>
      <c r="F39" s="493" t="s">
        <v>543</v>
      </c>
      <c r="G39" s="103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69"/>
      <c r="T39" s="169"/>
      <c r="U39" s="169"/>
      <c r="V39" s="169"/>
      <c r="W39" s="169"/>
      <c r="X39" s="169"/>
      <c r="Y39" s="169"/>
      <c r="Z39" s="169"/>
    </row>
    <row r="40" spans="1:26" ht="15.75" customHeight="1">
      <c r="A40" s="407" t="s">
        <v>634</v>
      </c>
      <c r="B40" s="190">
        <v>140</v>
      </c>
      <c r="C40" s="491">
        <v>-2.87634920634921</v>
      </c>
      <c r="D40" s="492">
        <v>-5</v>
      </c>
      <c r="E40" s="491">
        <v>-1.4381746031746101</v>
      </c>
      <c r="F40" s="493" t="s">
        <v>596</v>
      </c>
      <c r="G40" s="103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</row>
    <row r="41" spans="1:26" ht="15.75" customHeight="1">
      <c r="A41" s="417" t="s">
        <v>634</v>
      </c>
      <c r="B41" s="197">
        <v>64</v>
      </c>
      <c r="C41" s="494">
        <v>-0.70968253968253903</v>
      </c>
      <c r="D41" s="495">
        <v>-1</v>
      </c>
      <c r="E41" s="494">
        <v>-0.35484126984127001</v>
      </c>
      <c r="F41" s="496" t="s">
        <v>556</v>
      </c>
      <c r="G41" s="103"/>
      <c r="H41" s="169"/>
      <c r="I41" s="169"/>
      <c r="J41" s="169"/>
      <c r="K41" s="169"/>
      <c r="L41" s="169"/>
      <c r="M41" s="169"/>
      <c r="N41" s="169"/>
      <c r="O41" s="169"/>
      <c r="P41" s="169"/>
      <c r="Q41" s="169"/>
      <c r="R41" s="169"/>
      <c r="S41" s="169"/>
      <c r="T41" s="169"/>
      <c r="U41" s="169"/>
      <c r="V41" s="169"/>
      <c r="W41" s="169"/>
      <c r="X41" s="169"/>
      <c r="Y41" s="169"/>
      <c r="Z41" s="169"/>
    </row>
    <row r="42" spans="1:26" ht="15.75" customHeight="1">
      <c r="A42" s="407" t="s">
        <v>635</v>
      </c>
      <c r="B42" s="190">
        <v>138</v>
      </c>
      <c r="C42" s="491">
        <v>-0.87634920634921099</v>
      </c>
      <c r="D42" s="492">
        <v>-1</v>
      </c>
      <c r="E42" s="491">
        <v>-0.43817460317460499</v>
      </c>
      <c r="F42" s="493" t="s">
        <v>595</v>
      </c>
      <c r="G42" s="103"/>
      <c r="H42" s="169"/>
      <c r="I42" s="169"/>
      <c r="J42" s="169"/>
      <c r="K42" s="169"/>
      <c r="L42" s="169"/>
      <c r="M42" s="169"/>
      <c r="N42" s="169"/>
      <c r="O42" s="169"/>
      <c r="P42" s="169"/>
      <c r="Q42" s="169"/>
      <c r="R42" s="169"/>
      <c r="S42" s="169"/>
      <c r="T42" s="169"/>
      <c r="U42" s="169"/>
      <c r="V42" s="169"/>
      <c r="W42" s="169"/>
      <c r="X42" s="169"/>
      <c r="Y42" s="169"/>
      <c r="Z42" s="169"/>
    </row>
    <row r="43" spans="1:26" ht="15.75" customHeight="1">
      <c r="A43" s="407" t="s">
        <v>635</v>
      </c>
      <c r="B43" s="190">
        <v>37</v>
      </c>
      <c r="C43" s="491">
        <v>0.79031746031745298</v>
      </c>
      <c r="D43" s="492">
        <v>2</v>
      </c>
      <c r="E43" s="491">
        <v>0.79031746031745298</v>
      </c>
      <c r="F43" s="493" t="s">
        <v>546</v>
      </c>
      <c r="G43" s="103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</row>
    <row r="44" spans="1:26" ht="15.75" customHeight="1">
      <c r="A44" s="407" t="s">
        <v>636</v>
      </c>
      <c r="B44" s="190">
        <v>102</v>
      </c>
      <c r="C44" s="491">
        <v>-0.95968253968254702</v>
      </c>
      <c r="D44" s="492">
        <v>-1</v>
      </c>
      <c r="E44" s="491">
        <v>-0.47984126984127301</v>
      </c>
      <c r="F44" s="493" t="s">
        <v>577</v>
      </c>
      <c r="G44" s="103"/>
      <c r="H44" s="169"/>
      <c r="I44" s="169"/>
      <c r="J44" s="169"/>
      <c r="K44" s="169"/>
      <c r="L44" s="169"/>
      <c r="M44" s="169"/>
      <c r="N44" s="169"/>
      <c r="O44" s="169"/>
      <c r="P44" s="169"/>
      <c r="Q44" s="169"/>
      <c r="R44" s="169"/>
      <c r="S44" s="169"/>
      <c r="T44" s="169"/>
      <c r="U44" s="169"/>
      <c r="V44" s="169"/>
      <c r="W44" s="169"/>
      <c r="X44" s="169"/>
      <c r="Y44" s="169"/>
      <c r="Z44" s="169"/>
    </row>
    <row r="45" spans="1:26" ht="15.75" customHeight="1">
      <c r="A45" s="407" t="s">
        <v>636</v>
      </c>
      <c r="B45" s="190">
        <v>117</v>
      </c>
      <c r="C45" s="491">
        <v>-0.12634920634921101</v>
      </c>
      <c r="D45" s="492">
        <v>0</v>
      </c>
      <c r="E45" s="491">
        <v>-6.3174603174605395E-2</v>
      </c>
      <c r="F45" s="493" t="s">
        <v>584</v>
      </c>
      <c r="G45" s="103"/>
      <c r="H45" s="169"/>
      <c r="I45" s="169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</row>
    <row r="46" spans="1:26" ht="15.75" customHeight="1">
      <c r="A46" s="407" t="s">
        <v>637</v>
      </c>
      <c r="B46" s="190">
        <v>128</v>
      </c>
      <c r="C46" s="491">
        <v>-0.62634920634921099</v>
      </c>
      <c r="D46" s="492">
        <v>-1</v>
      </c>
      <c r="E46" s="491">
        <v>-0.31317460317460499</v>
      </c>
      <c r="F46" s="493" t="s">
        <v>590</v>
      </c>
      <c r="G46" s="103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</row>
    <row r="47" spans="1:26" ht="15.75" customHeight="1">
      <c r="A47" s="407" t="s">
        <v>637</v>
      </c>
      <c r="B47" s="190">
        <v>50</v>
      </c>
      <c r="C47" s="491">
        <v>-0.79301587301588194</v>
      </c>
      <c r="D47" s="492">
        <v>-1</v>
      </c>
      <c r="E47" s="491">
        <v>-0.39650793650794097</v>
      </c>
      <c r="F47" s="493" t="s">
        <v>551</v>
      </c>
      <c r="G47" s="103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</row>
    <row r="48" spans="1:26" ht="15.75" customHeight="1">
      <c r="A48" s="407" t="s">
        <v>638</v>
      </c>
      <c r="B48" s="190">
        <v>91</v>
      </c>
      <c r="C48" s="491">
        <v>0.54031746031745298</v>
      </c>
      <c r="D48" s="492">
        <v>1</v>
      </c>
      <c r="E48" s="491">
        <v>0.54031746031745298</v>
      </c>
      <c r="F48" s="493" t="s">
        <v>574</v>
      </c>
      <c r="G48" s="103"/>
      <c r="H48" s="169"/>
      <c r="I48" s="169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</row>
    <row r="49" spans="1:26" ht="15.75" customHeight="1">
      <c r="A49" s="407" t="s">
        <v>638</v>
      </c>
      <c r="B49" s="190">
        <v>72</v>
      </c>
      <c r="C49" s="491">
        <v>-1.12634920634921</v>
      </c>
      <c r="D49" s="492">
        <v>-2</v>
      </c>
      <c r="E49" s="491">
        <v>-0.56317460317460499</v>
      </c>
      <c r="F49" s="493" t="s">
        <v>560</v>
      </c>
      <c r="G49" s="103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</row>
    <row r="50" spans="1:26" ht="15.75" customHeight="1">
      <c r="A50" s="407" t="s">
        <v>639</v>
      </c>
      <c r="B50" s="190">
        <v>4</v>
      </c>
      <c r="C50" s="491">
        <v>3.12365079365079</v>
      </c>
      <c r="D50" s="492">
        <v>6</v>
      </c>
      <c r="E50" s="491">
        <v>3.12365079365079</v>
      </c>
      <c r="F50" s="493" t="s">
        <v>537</v>
      </c>
      <c r="G50" s="103"/>
      <c r="H50" s="169"/>
      <c r="I50" s="169"/>
      <c r="J50" s="169"/>
      <c r="K50" s="169"/>
      <c r="L50" s="169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</row>
    <row r="51" spans="1:26" ht="15.75" customHeight="1">
      <c r="A51" s="405" t="s">
        <v>640</v>
      </c>
      <c r="B51" s="183">
        <v>23</v>
      </c>
      <c r="C51" s="488">
        <v>4.4569841269841204</v>
      </c>
      <c r="D51" s="489">
        <v>9</v>
      </c>
      <c r="E51" s="488">
        <v>4.4569841269841204</v>
      </c>
      <c r="F51" s="490" t="s">
        <v>542</v>
      </c>
      <c r="G51" s="103"/>
      <c r="H51" s="169"/>
      <c r="I51" s="169"/>
      <c r="J51" s="169"/>
      <c r="K51" s="169"/>
      <c r="L51" s="169"/>
      <c r="M51" s="169"/>
      <c r="N51" s="169"/>
      <c r="O51" s="169"/>
      <c r="P51" s="169"/>
      <c r="Q51" s="169"/>
      <c r="R51" s="169"/>
      <c r="S51" s="169"/>
      <c r="T51" s="169"/>
      <c r="U51" s="169"/>
      <c r="V51" s="169"/>
      <c r="W51" s="169"/>
      <c r="X51" s="169"/>
      <c r="Y51" s="169"/>
      <c r="Z51" s="169"/>
    </row>
    <row r="52" spans="1:26" ht="15.75" customHeight="1">
      <c r="A52" s="407" t="s">
        <v>640</v>
      </c>
      <c r="B52" s="190">
        <v>20</v>
      </c>
      <c r="C52" s="491">
        <v>4.6736507936507898</v>
      </c>
      <c r="D52" s="492">
        <v>9</v>
      </c>
      <c r="E52" s="491">
        <v>4.6736507936507898</v>
      </c>
      <c r="F52" s="493" t="s">
        <v>540</v>
      </c>
      <c r="G52" s="103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15.75" customHeight="1">
      <c r="A53" s="407" t="s">
        <v>641</v>
      </c>
      <c r="B53" s="190">
        <v>39</v>
      </c>
      <c r="C53" s="491">
        <v>4.0403174603174499</v>
      </c>
      <c r="D53" s="492">
        <v>8</v>
      </c>
      <c r="E53" s="491">
        <v>4.0403174603174499</v>
      </c>
      <c r="F53" s="493" t="s">
        <v>547</v>
      </c>
      <c r="G53" s="103"/>
      <c r="H53" s="169"/>
      <c r="I53" s="169"/>
      <c r="J53" s="169"/>
      <c r="K53" s="169"/>
      <c r="L53" s="169"/>
      <c r="M53" s="169"/>
      <c r="N53" s="169"/>
      <c r="O53" s="169"/>
      <c r="P53" s="169"/>
      <c r="Q53" s="169"/>
      <c r="R53" s="169"/>
      <c r="S53" s="169"/>
      <c r="T53" s="169"/>
      <c r="U53" s="169"/>
      <c r="V53" s="169"/>
      <c r="W53" s="169"/>
      <c r="X53" s="169"/>
      <c r="Y53" s="169"/>
      <c r="Z53" s="169"/>
    </row>
    <row r="54" spans="1:26" ht="15.75" customHeight="1">
      <c r="A54" s="407" t="s">
        <v>641</v>
      </c>
      <c r="B54" s="190">
        <v>103</v>
      </c>
      <c r="C54" s="491">
        <v>-0.70968253968254702</v>
      </c>
      <c r="D54" s="492">
        <v>-1</v>
      </c>
      <c r="E54" s="491">
        <v>-0.35484126984127301</v>
      </c>
      <c r="F54" s="493" t="s">
        <v>578</v>
      </c>
      <c r="G54" s="103"/>
      <c r="H54" s="169"/>
      <c r="I54" s="169"/>
      <c r="J54" s="169"/>
      <c r="K54" s="169"/>
      <c r="L54" s="169"/>
      <c r="M54" s="169"/>
      <c r="N54" s="169"/>
      <c r="O54" s="169"/>
      <c r="P54" s="169"/>
      <c r="Q54" s="169"/>
      <c r="R54" s="169"/>
      <c r="S54" s="169"/>
      <c r="T54" s="169"/>
      <c r="U54" s="169"/>
      <c r="V54" s="169"/>
      <c r="W54" s="169"/>
      <c r="X54" s="169"/>
      <c r="Y54" s="169"/>
      <c r="Z54" s="169"/>
    </row>
    <row r="55" spans="1:26" ht="15.75" customHeight="1">
      <c r="A55" s="407" t="s">
        <v>642</v>
      </c>
      <c r="B55" s="190">
        <v>3</v>
      </c>
      <c r="C55" s="491">
        <v>3.7069841269841199</v>
      </c>
      <c r="D55" s="492">
        <v>7</v>
      </c>
      <c r="E55" s="491">
        <v>3.7069841269841199</v>
      </c>
      <c r="F55" s="493" t="s">
        <v>536</v>
      </c>
      <c r="G55" s="103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</row>
    <row r="56" spans="1:26" ht="15.75" customHeight="1">
      <c r="A56" s="407" t="s">
        <v>642</v>
      </c>
      <c r="B56" s="190">
        <v>80</v>
      </c>
      <c r="C56" s="491">
        <v>-2.7096825396825501</v>
      </c>
      <c r="D56" s="492">
        <v>-5</v>
      </c>
      <c r="E56" s="491">
        <v>-1.35484126984127</v>
      </c>
      <c r="F56" s="493" t="s">
        <v>566</v>
      </c>
      <c r="G56" s="103"/>
      <c r="H56" s="169"/>
      <c r="I56" s="169"/>
      <c r="J56" s="169"/>
      <c r="K56" s="169"/>
      <c r="L56" s="169"/>
      <c r="M56" s="169"/>
      <c r="N56" s="169"/>
      <c r="O56" s="169"/>
      <c r="P56" s="169"/>
      <c r="Q56" s="169"/>
      <c r="R56" s="169"/>
      <c r="S56" s="169"/>
      <c r="T56" s="169"/>
      <c r="U56" s="169"/>
      <c r="V56" s="169"/>
      <c r="W56" s="169"/>
      <c r="X56" s="169"/>
      <c r="Y56" s="169"/>
      <c r="Z56" s="169"/>
    </row>
    <row r="57" spans="1:26" ht="15.75" customHeight="1">
      <c r="A57" s="407" t="s">
        <v>643</v>
      </c>
      <c r="B57" s="190">
        <v>32</v>
      </c>
      <c r="C57" s="491">
        <v>-0.87634920634921099</v>
      </c>
      <c r="D57" s="492">
        <v>-1</v>
      </c>
      <c r="E57" s="491">
        <v>-0.43817460317460499</v>
      </c>
      <c r="F57" s="493" t="s">
        <v>544</v>
      </c>
      <c r="G57" s="103"/>
      <c r="H57" s="169"/>
      <c r="I57" s="169"/>
      <c r="J57" s="169"/>
      <c r="K57" s="169"/>
      <c r="L57" s="169"/>
      <c r="M57" s="169"/>
      <c r="N57" s="169"/>
      <c r="O57" s="169"/>
      <c r="P57" s="169"/>
      <c r="Q57" s="169"/>
      <c r="R57" s="169"/>
      <c r="S57" s="169"/>
      <c r="T57" s="169"/>
      <c r="U57" s="169"/>
      <c r="V57" s="169"/>
      <c r="W57" s="169"/>
      <c r="X57" s="169"/>
      <c r="Y57" s="169"/>
      <c r="Z57" s="169"/>
    </row>
    <row r="58" spans="1:26" ht="15.75" customHeight="1">
      <c r="A58" s="407" t="s">
        <v>643</v>
      </c>
      <c r="B58" s="190">
        <v>86</v>
      </c>
      <c r="C58" s="491">
        <v>2.9569841269841199</v>
      </c>
      <c r="D58" s="492">
        <v>6</v>
      </c>
      <c r="E58" s="491">
        <v>2.9569841269841199</v>
      </c>
      <c r="F58" s="493" t="s">
        <v>571</v>
      </c>
      <c r="G58" s="103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9"/>
    </row>
    <row r="59" spans="1:26" ht="15.75" customHeight="1">
      <c r="A59" s="417" t="s">
        <v>644</v>
      </c>
      <c r="B59" s="197">
        <v>9</v>
      </c>
      <c r="C59" s="494">
        <v>4.0317460317460502E-2</v>
      </c>
      <c r="D59" s="495">
        <v>0</v>
      </c>
      <c r="E59" s="494">
        <v>4.0317460317460502E-2</v>
      </c>
      <c r="F59" s="496" t="s">
        <v>539</v>
      </c>
      <c r="G59" s="103"/>
      <c r="H59" s="169"/>
      <c r="I59" s="169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</row>
    <row r="60" spans="1:26" ht="15.75" customHeight="1">
      <c r="A60" s="407" t="s">
        <v>645</v>
      </c>
      <c r="B60" s="190">
        <v>22</v>
      </c>
      <c r="C60" s="491">
        <v>8.8736507936507891</v>
      </c>
      <c r="D60" s="492">
        <v>18</v>
      </c>
      <c r="E60" s="491">
        <v>8.8736507936507891</v>
      </c>
      <c r="F60" s="493" t="s">
        <v>541</v>
      </c>
      <c r="G60" s="103"/>
      <c r="H60" s="169"/>
      <c r="I60" s="169"/>
      <c r="J60" s="169"/>
      <c r="K60" s="169"/>
      <c r="L60" s="169"/>
      <c r="M60" s="169"/>
      <c r="N60" s="169"/>
      <c r="O60" s="169"/>
      <c r="P60" s="169"/>
      <c r="Q60" s="169"/>
      <c r="R60" s="169"/>
      <c r="S60" s="169"/>
      <c r="T60" s="169"/>
      <c r="U60" s="169"/>
      <c r="V60" s="169"/>
      <c r="W60" s="169"/>
      <c r="X60" s="169"/>
      <c r="Y60" s="169"/>
      <c r="Z60" s="169"/>
    </row>
    <row r="61" spans="1:26" ht="15.75" customHeight="1">
      <c r="A61" s="407" t="s">
        <v>646</v>
      </c>
      <c r="B61" s="190">
        <v>76</v>
      </c>
      <c r="C61" s="491">
        <v>2.12365079365079</v>
      </c>
      <c r="D61" s="492">
        <v>4</v>
      </c>
      <c r="E61" s="491">
        <v>2.12365079365079</v>
      </c>
      <c r="F61" s="493" t="s">
        <v>563</v>
      </c>
      <c r="G61" s="103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</row>
    <row r="62" spans="1:26" ht="15.75" customHeight="1">
      <c r="A62" s="417" t="s">
        <v>647</v>
      </c>
      <c r="B62" s="190">
        <v>85</v>
      </c>
      <c r="C62" s="491">
        <v>-0.20968253968254699</v>
      </c>
      <c r="D62" s="492">
        <v>0</v>
      </c>
      <c r="E62" s="491">
        <v>-0.104841269841273</v>
      </c>
      <c r="F62" s="493" t="s">
        <v>570</v>
      </c>
      <c r="G62" s="103"/>
      <c r="H62" s="169"/>
      <c r="I62" s="169"/>
      <c r="J62" s="169"/>
      <c r="K62" s="169"/>
      <c r="L62" s="169"/>
      <c r="M62" s="169"/>
      <c r="N62" s="169"/>
      <c r="O62" s="169"/>
      <c r="P62" s="169"/>
      <c r="Q62" s="169"/>
      <c r="R62" s="169"/>
      <c r="S62" s="169"/>
      <c r="T62" s="169"/>
      <c r="U62" s="169"/>
      <c r="V62" s="169"/>
      <c r="W62" s="169"/>
      <c r="X62" s="169"/>
      <c r="Y62" s="169"/>
      <c r="Z62" s="169"/>
    </row>
    <row r="63" spans="1:26" ht="15.75" customHeight="1">
      <c r="A63" s="21"/>
      <c r="B63" s="183">
        <v>81</v>
      </c>
      <c r="C63" s="497">
        <v>-0.12634920634921101</v>
      </c>
      <c r="D63" s="498">
        <v>0</v>
      </c>
      <c r="E63" s="497">
        <v>-6.3174603174605395E-2</v>
      </c>
      <c r="F63" s="499" t="s">
        <v>567</v>
      </c>
      <c r="G63" s="103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</row>
    <row r="64" spans="1:26" ht="15.75" customHeight="1">
      <c r="A64" s="21"/>
      <c r="B64" s="190">
        <v>126</v>
      </c>
      <c r="C64" s="500">
        <v>-4.62634920634921</v>
      </c>
      <c r="D64" s="501">
        <v>-9</v>
      </c>
      <c r="E64" s="500">
        <v>-2.3131746031746099</v>
      </c>
      <c r="F64" s="502" t="s">
        <v>589</v>
      </c>
      <c r="G64" s="103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  <c r="T64" s="169"/>
      <c r="U64" s="169"/>
      <c r="V64" s="169"/>
      <c r="W64" s="169"/>
      <c r="X64" s="169"/>
      <c r="Y64" s="169"/>
      <c r="Z64" s="169"/>
    </row>
    <row r="65" spans="1:26" ht="15.75" customHeight="1">
      <c r="A65" s="21"/>
      <c r="B65" s="197">
        <v>5</v>
      </c>
      <c r="C65" s="504">
        <v>-0.79301587301588194</v>
      </c>
      <c r="D65" s="505"/>
      <c r="E65" s="506">
        <v>-0.39650793650794097</v>
      </c>
      <c r="F65" s="507" t="s">
        <v>538</v>
      </c>
      <c r="G65" s="103"/>
      <c r="H65" s="169"/>
      <c r="I65" s="16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9"/>
      <c r="W65" s="169"/>
      <c r="X65" s="169"/>
      <c r="Y65" s="169"/>
      <c r="Z65" s="169"/>
    </row>
    <row r="66" spans="1:26" ht="15.75" customHeight="1">
      <c r="A66" s="21"/>
      <c r="B66" s="190">
        <v>36</v>
      </c>
      <c r="C66" s="508"/>
      <c r="D66" s="508"/>
      <c r="E66" s="508"/>
      <c r="F66" s="493" t="s">
        <v>648</v>
      </c>
      <c r="G66" s="103"/>
      <c r="H66" s="169"/>
      <c r="I66" s="16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9"/>
      <c r="W66" s="169"/>
      <c r="X66" s="169"/>
      <c r="Y66" s="169"/>
      <c r="Z66" s="169"/>
    </row>
    <row r="67" spans="1:26" ht="15.75" customHeight="1">
      <c r="A67" s="21"/>
      <c r="B67" s="190">
        <v>43</v>
      </c>
      <c r="C67" s="508"/>
      <c r="D67" s="508"/>
      <c r="E67" s="508"/>
      <c r="F67" s="493" t="s">
        <v>548</v>
      </c>
      <c r="G67" s="103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</row>
    <row r="68" spans="1:26" ht="15.75" customHeight="1">
      <c r="A68" s="21"/>
      <c r="B68" s="197">
        <v>61</v>
      </c>
      <c r="C68" s="509"/>
      <c r="D68" s="509"/>
      <c r="E68" s="509"/>
      <c r="F68" s="496" t="s">
        <v>555</v>
      </c>
      <c r="G68" s="103"/>
      <c r="H68" s="169"/>
      <c r="I68" s="16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9"/>
      <c r="W68" s="169"/>
      <c r="X68" s="169"/>
      <c r="Y68" s="169"/>
      <c r="Z68" s="169"/>
    </row>
    <row r="69" spans="1:26" ht="15.75" customHeight="1">
      <c r="A69" s="21"/>
      <c r="B69" s="406" t="s">
        <v>649</v>
      </c>
      <c r="C69" s="510"/>
      <c r="D69" s="510"/>
      <c r="E69" s="510"/>
      <c r="F69" s="511" t="s">
        <v>605</v>
      </c>
      <c r="G69" s="103"/>
      <c r="H69" s="229"/>
      <c r="I69" s="16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9"/>
      <c r="W69" s="169"/>
      <c r="X69" s="169"/>
      <c r="Y69" s="169"/>
      <c r="Z69" s="169"/>
    </row>
    <row r="70" spans="1:26" ht="15.75" customHeight="1">
      <c r="A70" s="21"/>
      <c r="B70" s="190">
        <v>88</v>
      </c>
      <c r="C70" s="508"/>
      <c r="D70" s="508"/>
      <c r="E70" s="508"/>
      <c r="F70" s="493" t="s">
        <v>650</v>
      </c>
      <c r="G70" s="103"/>
      <c r="H70" s="512">
        <v>1.25</v>
      </c>
      <c r="I70" s="16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9"/>
      <c r="W70" s="169"/>
      <c r="X70" s="169"/>
      <c r="Y70" s="169"/>
      <c r="Z70" s="169"/>
    </row>
    <row r="71" spans="1:26" ht="15.75" customHeight="1">
      <c r="A71" s="21"/>
      <c r="B71" s="190">
        <v>123</v>
      </c>
      <c r="C71" s="508"/>
      <c r="D71" s="508"/>
      <c r="E71" s="508"/>
      <c r="F71" s="493" t="s">
        <v>651</v>
      </c>
      <c r="G71" s="103"/>
      <c r="H71" s="513">
        <v>1.25</v>
      </c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</row>
    <row r="72" spans="1:26" ht="15.75" customHeight="1">
      <c r="A72" s="21"/>
      <c r="B72" s="190">
        <v>154</v>
      </c>
      <c r="C72" s="508"/>
      <c r="D72" s="508"/>
      <c r="E72" s="508"/>
      <c r="F72" s="493" t="s">
        <v>602</v>
      </c>
      <c r="G72" s="103"/>
      <c r="H72" s="513">
        <v>1.25</v>
      </c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</row>
    <row r="73" spans="1:26" ht="15.75" customHeight="1">
      <c r="A73" s="21"/>
      <c r="B73" s="190">
        <v>116</v>
      </c>
      <c r="C73" s="508"/>
      <c r="D73" s="508"/>
      <c r="E73" s="508"/>
      <c r="F73" s="493" t="s">
        <v>652</v>
      </c>
      <c r="G73" s="103"/>
      <c r="H73" s="513">
        <v>1.25</v>
      </c>
      <c r="I73" s="16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9"/>
      <c r="W73" s="169"/>
      <c r="X73" s="169"/>
      <c r="Y73" s="169"/>
      <c r="Z73" s="169"/>
    </row>
    <row r="74" spans="1:26" ht="15.75" customHeight="1">
      <c r="A74" s="21"/>
      <c r="B74" s="197" t="s">
        <v>607</v>
      </c>
      <c r="C74" s="509"/>
      <c r="D74" s="509"/>
      <c r="E74" s="509"/>
      <c r="F74" s="496"/>
      <c r="G74" s="103"/>
      <c r="H74" s="513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</row>
    <row r="75" spans="1:26" ht="15.75" customHeight="1">
      <c r="A75" s="21"/>
      <c r="B75" s="406" t="s">
        <v>609</v>
      </c>
      <c r="C75" s="510"/>
      <c r="D75" s="510"/>
      <c r="E75" s="510"/>
      <c r="F75" s="490" t="s">
        <v>610</v>
      </c>
      <c r="G75" s="103"/>
      <c r="H75" s="513"/>
      <c r="I75" s="16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9"/>
      <c r="W75" s="169"/>
      <c r="X75" s="169"/>
      <c r="Y75" s="169"/>
      <c r="Z75" s="169"/>
    </row>
    <row r="76" spans="1:26" ht="15.75" customHeight="1">
      <c r="A76" s="21"/>
      <c r="B76" s="220" t="s">
        <v>611</v>
      </c>
      <c r="C76" s="508"/>
      <c r="D76" s="508"/>
      <c r="E76" s="508"/>
      <c r="F76" s="493"/>
      <c r="G76" s="103"/>
      <c r="H76" s="514"/>
      <c r="I76" s="16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9"/>
      <c r="W76" s="169"/>
      <c r="X76" s="169"/>
      <c r="Y76" s="169"/>
      <c r="Z76" s="169"/>
    </row>
    <row r="77" spans="1:26" ht="15.75" customHeight="1">
      <c r="A77" s="21"/>
      <c r="B77" s="220" t="s">
        <v>653</v>
      </c>
      <c r="C77" s="508"/>
      <c r="D77" s="508"/>
      <c r="E77" s="508"/>
      <c r="F77" s="493" t="s">
        <v>654</v>
      </c>
      <c r="G77" s="103"/>
      <c r="H77" s="512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</row>
    <row r="78" spans="1:26" ht="15.75" customHeight="1">
      <c r="A78" s="21"/>
      <c r="B78" s="220" t="s">
        <v>615</v>
      </c>
      <c r="C78" s="508"/>
      <c r="D78" s="508"/>
      <c r="E78" s="508"/>
      <c r="F78" s="515" t="s">
        <v>655</v>
      </c>
      <c r="G78" s="103"/>
      <c r="H78" s="513"/>
      <c r="I78" s="16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9"/>
      <c r="W78" s="169"/>
      <c r="X78" s="169"/>
      <c r="Y78" s="169"/>
      <c r="Z78" s="169"/>
    </row>
    <row r="79" spans="1:26" ht="15.75" customHeight="1">
      <c r="A79" s="21"/>
      <c r="B79" s="220" t="s">
        <v>147</v>
      </c>
      <c r="C79" s="508"/>
      <c r="D79" s="508"/>
      <c r="E79" s="508"/>
      <c r="F79" s="493" t="s">
        <v>617</v>
      </c>
      <c r="G79" s="103"/>
      <c r="H79" s="513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</row>
    <row r="80" spans="1:26" ht="15.75" customHeight="1">
      <c r="A80" s="21"/>
      <c r="B80" s="222" t="s">
        <v>613</v>
      </c>
      <c r="C80" s="232"/>
      <c r="D80" s="232"/>
      <c r="E80" s="232"/>
      <c r="F80" s="496"/>
      <c r="G80" s="103"/>
      <c r="H80" s="513"/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9"/>
      <c r="W80" s="169"/>
      <c r="X80" s="169"/>
      <c r="Y80" s="169"/>
      <c r="Z80" s="169"/>
    </row>
    <row r="81" spans="1:26" ht="15.75" customHeight="1">
      <c r="A81" s="21"/>
      <c r="B81" s="220"/>
      <c r="C81" s="231"/>
      <c r="D81" s="231"/>
      <c r="E81" s="231"/>
      <c r="F81" s="516"/>
      <c r="G81" s="103"/>
      <c r="H81" s="513"/>
      <c r="I81" s="16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9"/>
      <c r="W81" s="169"/>
      <c r="X81" s="169"/>
      <c r="Y81" s="169"/>
      <c r="Z81" s="169"/>
    </row>
    <row r="82" spans="1:26" ht="15.75" customHeight="1">
      <c r="A82" s="21"/>
      <c r="B82" s="220"/>
      <c r="C82" s="231"/>
      <c r="D82" s="231"/>
      <c r="E82" s="231"/>
      <c r="F82" s="516"/>
      <c r="G82" s="103"/>
      <c r="H82" s="513"/>
      <c r="I82" s="16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</row>
    <row r="83" spans="1:26" ht="15.75" customHeight="1">
      <c r="A83" s="21"/>
      <c r="B83" s="220"/>
      <c r="C83" s="231"/>
      <c r="D83" s="231"/>
      <c r="E83" s="231"/>
      <c r="F83" s="516"/>
      <c r="G83" s="103"/>
      <c r="H83" s="514"/>
      <c r="I83" s="16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9"/>
      <c r="W83" s="169"/>
      <c r="X83" s="169"/>
      <c r="Y83" s="169"/>
      <c r="Z83" s="169"/>
    </row>
    <row r="84" spans="1:26" ht="15.75" customHeight="1">
      <c r="A84" s="21"/>
      <c r="B84" s="222"/>
      <c r="C84" s="232"/>
      <c r="D84" s="232"/>
      <c r="E84" s="232"/>
      <c r="F84" s="517"/>
      <c r="G84" s="103"/>
      <c r="H84" s="512"/>
      <c r="I84" s="16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9"/>
      <c r="W84" s="169"/>
      <c r="X84" s="169"/>
      <c r="Y84" s="169"/>
      <c r="Z84" s="169"/>
    </row>
    <row r="85" spans="1:26" ht="15.75" customHeight="1">
      <c r="A85" s="21"/>
      <c r="B85" s="225"/>
      <c r="C85" s="1"/>
      <c r="D85" s="1"/>
      <c r="E85" s="1"/>
      <c r="F85" s="103"/>
      <c r="G85" s="103"/>
      <c r="H85" s="513"/>
      <c r="I85" s="16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9"/>
      <c r="W85" s="169"/>
      <c r="X85" s="169"/>
      <c r="Y85" s="169"/>
      <c r="Z85" s="169"/>
    </row>
    <row r="86" spans="1:26" ht="15.75" customHeight="1">
      <c r="A86" s="21"/>
      <c r="B86" s="21"/>
      <c r="C86" s="1"/>
      <c r="D86" s="1"/>
      <c r="E86" s="1"/>
      <c r="F86" s="103"/>
      <c r="G86" s="103"/>
      <c r="H86" s="513"/>
      <c r="I86" s="16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9"/>
      <c r="W86" s="169"/>
      <c r="X86" s="169"/>
      <c r="Y86" s="169"/>
      <c r="Z86" s="169"/>
    </row>
    <row r="87" spans="1:26" ht="15.75" customHeight="1">
      <c r="A87" s="21"/>
      <c r="B87" s="21"/>
      <c r="C87" s="1"/>
      <c r="D87" s="1"/>
      <c r="E87" s="1"/>
      <c r="F87" s="103"/>
      <c r="G87" s="103"/>
      <c r="H87" s="513"/>
      <c r="I87" s="16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9"/>
      <c r="W87" s="169"/>
      <c r="X87" s="169"/>
      <c r="Y87" s="169"/>
      <c r="Z87" s="169"/>
    </row>
    <row r="88" spans="1:26" ht="15.75" customHeight="1">
      <c r="A88" s="169"/>
      <c r="B88" s="169"/>
      <c r="C88" s="169"/>
      <c r="D88" s="169"/>
      <c r="E88" s="169"/>
      <c r="F88" s="169"/>
      <c r="G88" s="169"/>
      <c r="H88" s="513"/>
      <c r="I88" s="16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9"/>
      <c r="W88" s="169"/>
      <c r="X88" s="169"/>
      <c r="Y88" s="169"/>
      <c r="Z88" s="169"/>
    </row>
    <row r="89" spans="1:26" ht="15.75" customHeight="1">
      <c r="A89" s="169"/>
      <c r="B89" s="169"/>
      <c r="C89" s="169"/>
      <c r="D89" s="169"/>
      <c r="E89" s="169"/>
      <c r="F89" s="169"/>
      <c r="G89" s="169"/>
      <c r="H89" s="513"/>
      <c r="I89" s="16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</row>
    <row r="90" spans="1:26" ht="15.75" customHeight="1">
      <c r="A90" s="169"/>
      <c r="B90" s="169"/>
      <c r="C90" s="169"/>
      <c r="D90" s="169"/>
      <c r="E90" s="169"/>
      <c r="F90" s="169"/>
      <c r="G90" s="169"/>
      <c r="H90" s="518"/>
      <c r="I90" s="16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9"/>
      <c r="W90" s="169"/>
      <c r="X90" s="169"/>
      <c r="Y90" s="169"/>
      <c r="Z90" s="169"/>
    </row>
    <row r="91" spans="1:26" ht="15.75" customHeight="1">
      <c r="A91" s="169"/>
      <c r="B91" s="169"/>
      <c r="C91" s="169"/>
      <c r="D91" s="169"/>
      <c r="E91" s="169"/>
      <c r="F91" s="169"/>
      <c r="G91" s="169"/>
      <c r="H91" s="519">
        <v>5</v>
      </c>
      <c r="I91" s="16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9"/>
      <c r="W91" s="169"/>
      <c r="X91" s="169"/>
      <c r="Y91" s="169"/>
      <c r="Z91" s="169"/>
    </row>
    <row r="92" spans="1:26" ht="15.75" customHeight="1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9"/>
      <c r="W92" s="169"/>
      <c r="X92" s="169"/>
      <c r="Y92" s="169"/>
      <c r="Z92" s="169"/>
    </row>
    <row r="93" spans="1:26" ht="15.75" customHeight="1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9"/>
      <c r="W93" s="169"/>
      <c r="X93" s="169"/>
      <c r="Y93" s="169"/>
      <c r="Z93" s="169"/>
    </row>
    <row r="94" spans="1:26" ht="15.75" customHeight="1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9"/>
      <c r="W94" s="169"/>
      <c r="X94" s="169"/>
      <c r="Y94" s="169"/>
      <c r="Z94" s="169"/>
    </row>
    <row r="95" spans="1:26" ht="15.75" customHeight="1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9"/>
      <c r="W95" s="169"/>
      <c r="X95" s="169"/>
      <c r="Y95" s="169"/>
      <c r="Z95" s="169"/>
    </row>
    <row r="96" spans="1:26" ht="15.75" customHeight="1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</row>
    <row r="97" spans="1:26" ht="15.75" customHeight="1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9"/>
      <c r="W97" s="169"/>
      <c r="X97" s="169"/>
      <c r="Y97" s="169"/>
      <c r="Z97" s="169"/>
    </row>
    <row r="98" spans="1:26" ht="15.75" customHeight="1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9"/>
      <c r="W98" s="169"/>
      <c r="X98" s="169"/>
      <c r="Y98" s="169"/>
      <c r="Z98" s="169"/>
    </row>
    <row r="99" spans="1:26" ht="15.75" customHeight="1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9"/>
      <c r="W99" s="169"/>
      <c r="X99" s="169"/>
      <c r="Y99" s="169"/>
      <c r="Z99" s="169"/>
    </row>
    <row r="100" spans="1:26" ht="15.75" customHeight="1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9"/>
      <c r="W100" s="169"/>
      <c r="X100" s="169"/>
      <c r="Y100" s="169"/>
      <c r="Z100" s="169"/>
    </row>
    <row r="101" spans="1:26" ht="15.75" customHeight="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/>
      <c r="Y101" s="169"/>
      <c r="Z101" s="169"/>
    </row>
    <row r="102" spans="1:26" ht="15.75" customHeight="1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</row>
    <row r="103" spans="1:26" ht="15.75" customHeight="1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</row>
    <row r="104" spans="1:26" ht="15.75" customHeight="1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9"/>
      <c r="W104" s="169"/>
      <c r="X104" s="169"/>
      <c r="Y104" s="169"/>
      <c r="Z104" s="169"/>
    </row>
    <row r="105" spans="1:26" ht="15.75" customHeight="1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9"/>
      <c r="W105" s="169"/>
      <c r="X105" s="169"/>
      <c r="Y105" s="169"/>
      <c r="Z105" s="169"/>
    </row>
    <row r="106" spans="1:26" ht="15.7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</row>
    <row r="107" spans="1:26" ht="15.75" customHeight="1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</row>
    <row r="108" spans="1:26" ht="15.75" customHeight="1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9"/>
      <c r="W108" s="169"/>
      <c r="X108" s="169"/>
      <c r="Y108" s="169"/>
      <c r="Z108" s="169"/>
    </row>
    <row r="109" spans="1:26" ht="15.75" customHeight="1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</row>
    <row r="110" spans="1:26" ht="15.75" customHeight="1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9"/>
      <c r="W110" s="169"/>
      <c r="X110" s="169"/>
      <c r="Y110" s="169"/>
      <c r="Z110" s="169"/>
    </row>
    <row r="111" spans="1:26" ht="15.75" customHeight="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9"/>
      <c r="W111" s="169"/>
      <c r="X111" s="169"/>
      <c r="Y111" s="169"/>
      <c r="Z111" s="169"/>
    </row>
    <row r="112" spans="1:26" ht="15.75" customHeight="1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</row>
    <row r="113" spans="1:26" ht="15.75" customHeight="1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9"/>
      <c r="W113" s="169"/>
      <c r="X113" s="169"/>
      <c r="Y113" s="169"/>
      <c r="Z113" s="169"/>
    </row>
    <row r="114" spans="1:26" ht="15.7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9"/>
      <c r="W114" s="169"/>
      <c r="X114" s="169"/>
      <c r="Y114" s="169"/>
      <c r="Z114" s="169"/>
    </row>
    <row r="115" spans="1:26" ht="15.7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9"/>
      <c r="W115" s="169"/>
      <c r="X115" s="169"/>
      <c r="Y115" s="169"/>
      <c r="Z115" s="169"/>
    </row>
    <row r="116" spans="1:26" ht="15.7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9"/>
      <c r="W116" s="169"/>
      <c r="X116" s="169"/>
      <c r="Y116" s="169"/>
      <c r="Z116" s="169"/>
    </row>
    <row r="117" spans="1:26" ht="15.75" customHeight="1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9"/>
      <c r="W117" s="169"/>
      <c r="X117" s="169"/>
      <c r="Y117" s="169"/>
      <c r="Z117" s="169"/>
    </row>
    <row r="118" spans="1:26" ht="15.75" customHeight="1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9"/>
      <c r="W118" s="169"/>
      <c r="X118" s="169"/>
      <c r="Y118" s="169"/>
      <c r="Z118" s="169"/>
    </row>
    <row r="119" spans="1:26" ht="15.75" customHeight="1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9"/>
      <c r="W119" s="169"/>
      <c r="X119" s="169"/>
      <c r="Y119" s="169"/>
      <c r="Z119" s="169"/>
    </row>
    <row r="120" spans="1:26" ht="15.75" customHeight="1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</row>
    <row r="121" spans="1:26" ht="15.75" customHeight="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9"/>
      <c r="W121" s="169"/>
      <c r="X121" s="169"/>
      <c r="Y121" s="169"/>
      <c r="Z121" s="169"/>
    </row>
    <row r="122" spans="1:26" ht="15.75" customHeight="1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9"/>
      <c r="W122" s="169"/>
      <c r="X122" s="169"/>
      <c r="Y122" s="169"/>
      <c r="Z122" s="169"/>
    </row>
    <row r="123" spans="1:26" ht="15.75" customHeight="1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9"/>
      <c r="W123" s="169"/>
      <c r="X123" s="169"/>
      <c r="Y123" s="169"/>
      <c r="Z123" s="169"/>
    </row>
    <row r="124" spans="1:26" ht="15.75" customHeight="1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9"/>
      <c r="W124" s="169"/>
      <c r="X124" s="169"/>
      <c r="Y124" s="169"/>
      <c r="Z124" s="169"/>
    </row>
    <row r="125" spans="1:26" ht="15.75" customHeight="1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9"/>
      <c r="W125" s="169"/>
      <c r="X125" s="169"/>
      <c r="Y125" s="169"/>
      <c r="Z125" s="169"/>
    </row>
    <row r="126" spans="1:26" ht="15.75" customHeight="1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9"/>
      <c r="W126" s="169"/>
      <c r="X126" s="169"/>
      <c r="Y126" s="169"/>
      <c r="Z126" s="169"/>
    </row>
    <row r="127" spans="1:26" ht="15.75" customHeight="1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</row>
    <row r="128" spans="1:26" ht="15.75" customHeight="1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9"/>
      <c r="W128" s="169"/>
      <c r="X128" s="169"/>
      <c r="Y128" s="169"/>
      <c r="Z128" s="169"/>
    </row>
    <row r="129" spans="1:26" ht="15.75" customHeight="1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9"/>
      <c r="W129" s="169"/>
      <c r="X129" s="169"/>
      <c r="Y129" s="169"/>
      <c r="Z129" s="169"/>
    </row>
    <row r="130" spans="1:26" ht="15.75" customHeight="1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9"/>
      <c r="W130" s="169"/>
      <c r="X130" s="169"/>
      <c r="Y130" s="169"/>
      <c r="Z130" s="169"/>
    </row>
    <row r="131" spans="1:26" ht="15.75" customHeight="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9"/>
      <c r="W131" s="169"/>
      <c r="X131" s="169"/>
      <c r="Y131" s="169"/>
      <c r="Z131" s="169"/>
    </row>
    <row r="132" spans="1:26" ht="15.75" customHeight="1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9"/>
      <c r="W132" s="169"/>
      <c r="X132" s="169"/>
      <c r="Y132" s="169"/>
      <c r="Z132" s="169"/>
    </row>
    <row r="133" spans="1:26" ht="15.75" customHeight="1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9"/>
      <c r="W133" s="169"/>
      <c r="X133" s="169"/>
      <c r="Y133" s="169"/>
      <c r="Z133" s="169"/>
    </row>
    <row r="134" spans="1:26" ht="15.75" customHeight="1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9"/>
      <c r="W134" s="169"/>
      <c r="X134" s="169"/>
      <c r="Y134" s="169"/>
      <c r="Z134" s="169"/>
    </row>
    <row r="135" spans="1:26" ht="15.75" customHeight="1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9"/>
      <c r="W135" s="169"/>
      <c r="X135" s="169"/>
      <c r="Y135" s="169"/>
      <c r="Z135" s="169"/>
    </row>
    <row r="136" spans="1:26" ht="15.75" customHeight="1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9"/>
      <c r="W136" s="169"/>
      <c r="X136" s="169"/>
      <c r="Y136" s="169"/>
      <c r="Z136" s="169"/>
    </row>
    <row r="137" spans="1:26" ht="15.75" customHeight="1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9"/>
      <c r="W137" s="169"/>
      <c r="X137" s="169"/>
      <c r="Y137" s="169"/>
      <c r="Z137" s="169"/>
    </row>
    <row r="138" spans="1:26" ht="15.75" customHeight="1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9"/>
      <c r="W138" s="169"/>
      <c r="X138" s="169"/>
      <c r="Y138" s="169"/>
      <c r="Z138" s="169"/>
    </row>
    <row r="139" spans="1:26" ht="15.75" customHeight="1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9"/>
      <c r="W139" s="169"/>
      <c r="X139" s="169"/>
      <c r="Y139" s="169"/>
      <c r="Z139" s="169"/>
    </row>
    <row r="140" spans="1:26" ht="15.75" customHeight="1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9"/>
      <c r="W140" s="169"/>
      <c r="X140" s="169"/>
      <c r="Y140" s="169"/>
      <c r="Z140" s="169"/>
    </row>
    <row r="141" spans="1:26" ht="15.75" customHeight="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9"/>
      <c r="W141" s="169"/>
      <c r="X141" s="169"/>
      <c r="Y141" s="169"/>
      <c r="Z141" s="169"/>
    </row>
    <row r="142" spans="1:26" ht="15.75" customHeight="1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9"/>
      <c r="W142" s="169"/>
      <c r="X142" s="169"/>
      <c r="Y142" s="169"/>
      <c r="Z142" s="169"/>
    </row>
    <row r="143" spans="1:26" ht="15.75" customHeight="1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9"/>
      <c r="W143" s="169"/>
      <c r="X143" s="169"/>
      <c r="Y143" s="169"/>
      <c r="Z143" s="169"/>
    </row>
    <row r="144" spans="1:26" ht="15.75" customHeight="1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9"/>
      <c r="W144" s="169"/>
      <c r="X144" s="169"/>
      <c r="Y144" s="169"/>
      <c r="Z144" s="169"/>
    </row>
    <row r="145" spans="1:26" ht="15.75" customHeight="1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9"/>
      <c r="W145" s="169"/>
      <c r="X145" s="169"/>
      <c r="Y145" s="169"/>
      <c r="Z145" s="169"/>
    </row>
    <row r="146" spans="1:26" ht="15.75" customHeight="1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9"/>
      <c r="W146" s="169"/>
      <c r="X146" s="169"/>
      <c r="Y146" s="169"/>
      <c r="Z146" s="169"/>
    </row>
    <row r="147" spans="1:26" ht="15.75" customHeight="1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9"/>
      <c r="W147" s="169"/>
      <c r="X147" s="169"/>
      <c r="Y147" s="169"/>
      <c r="Z147" s="169"/>
    </row>
    <row r="148" spans="1:26" ht="15.75" customHeight="1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9"/>
      <c r="W148" s="169"/>
      <c r="X148" s="169"/>
      <c r="Y148" s="169"/>
      <c r="Z148" s="169"/>
    </row>
    <row r="149" spans="1:26" ht="15.75" customHeight="1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9"/>
      <c r="W149" s="169"/>
      <c r="X149" s="169"/>
      <c r="Y149" s="169"/>
      <c r="Z149" s="169"/>
    </row>
    <row r="150" spans="1:26" ht="15.75" customHeight="1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9"/>
      <c r="W150" s="169"/>
      <c r="X150" s="169"/>
      <c r="Y150" s="169"/>
      <c r="Z150" s="169"/>
    </row>
    <row r="151" spans="1:26" ht="15.75" customHeight="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9"/>
      <c r="W151" s="169"/>
      <c r="X151" s="169"/>
      <c r="Y151" s="169"/>
      <c r="Z151" s="169"/>
    </row>
    <row r="152" spans="1:26" ht="15.75" customHeight="1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9"/>
      <c r="W152" s="169"/>
      <c r="X152" s="169"/>
      <c r="Y152" s="169"/>
      <c r="Z152" s="169"/>
    </row>
    <row r="153" spans="1:26" ht="15.75" customHeight="1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9"/>
      <c r="W153" s="169"/>
      <c r="X153" s="169"/>
      <c r="Y153" s="169"/>
      <c r="Z153" s="169"/>
    </row>
    <row r="154" spans="1:26" ht="15.75" customHeight="1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9"/>
      <c r="W154" s="169"/>
      <c r="X154" s="169"/>
      <c r="Y154" s="169"/>
      <c r="Z154" s="169"/>
    </row>
    <row r="155" spans="1:26" ht="15.75" customHeight="1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9"/>
      <c r="W155" s="169"/>
      <c r="X155" s="169"/>
      <c r="Y155" s="169"/>
      <c r="Z155" s="169"/>
    </row>
    <row r="156" spans="1:26" ht="15.75" customHeight="1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9"/>
      <c r="W156" s="169"/>
      <c r="X156" s="169"/>
      <c r="Y156" s="169"/>
      <c r="Z156" s="169"/>
    </row>
    <row r="157" spans="1:26" ht="15.75" customHeight="1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9"/>
      <c r="W157" s="169"/>
      <c r="X157" s="169"/>
      <c r="Y157" s="169"/>
      <c r="Z157" s="169"/>
    </row>
    <row r="158" spans="1:26" ht="15.75" customHeight="1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9"/>
      <c r="W158" s="169"/>
      <c r="X158" s="169"/>
      <c r="Y158" s="169"/>
      <c r="Z158" s="169"/>
    </row>
    <row r="159" spans="1:26" ht="15.75" customHeight="1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9"/>
      <c r="W159" s="169"/>
      <c r="X159" s="169"/>
      <c r="Y159" s="169"/>
      <c r="Z159" s="169"/>
    </row>
    <row r="160" spans="1:26" ht="15.75" customHeight="1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9"/>
      <c r="W160" s="169"/>
      <c r="X160" s="169"/>
      <c r="Y160" s="169"/>
      <c r="Z160" s="169"/>
    </row>
    <row r="161" spans="1:26" ht="15.75" customHeight="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9"/>
      <c r="W161" s="169"/>
      <c r="X161" s="169"/>
      <c r="Y161" s="169"/>
      <c r="Z161" s="169"/>
    </row>
    <row r="162" spans="1:26" ht="15.75" customHeight="1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9"/>
      <c r="W162" s="169"/>
      <c r="X162" s="169"/>
      <c r="Y162" s="169"/>
      <c r="Z162" s="169"/>
    </row>
    <row r="163" spans="1:26" ht="15.75" customHeight="1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9"/>
      <c r="W163" s="169"/>
      <c r="X163" s="169"/>
      <c r="Y163" s="169"/>
      <c r="Z163" s="169"/>
    </row>
    <row r="164" spans="1:26" ht="15.75" customHeight="1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</row>
    <row r="165" spans="1:26" ht="15.75" customHeight="1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9"/>
      <c r="W165" s="169"/>
      <c r="X165" s="169"/>
      <c r="Y165" s="169"/>
      <c r="Z165" s="169"/>
    </row>
    <row r="166" spans="1:26" ht="15.75" customHeight="1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9"/>
      <c r="W166" s="169"/>
      <c r="X166" s="169"/>
      <c r="Y166" s="169"/>
      <c r="Z166" s="169"/>
    </row>
    <row r="167" spans="1:26" ht="15.75" customHeight="1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9"/>
      <c r="W167" s="169"/>
      <c r="X167" s="169"/>
      <c r="Y167" s="169"/>
      <c r="Z167" s="169"/>
    </row>
    <row r="168" spans="1:26" ht="15.75" customHeight="1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9"/>
      <c r="W168" s="169"/>
      <c r="X168" s="169"/>
      <c r="Y168" s="169"/>
      <c r="Z168" s="169"/>
    </row>
    <row r="169" spans="1:26" ht="15.75" customHeight="1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9"/>
      <c r="W169" s="169"/>
      <c r="X169" s="169"/>
      <c r="Y169" s="169"/>
      <c r="Z169" s="169"/>
    </row>
    <row r="170" spans="1:26" ht="15.75" customHeight="1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9"/>
      <c r="W170" s="169"/>
      <c r="X170" s="169"/>
      <c r="Y170" s="169"/>
      <c r="Z170" s="169"/>
    </row>
    <row r="171" spans="1:26" ht="15.75" customHeight="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9"/>
      <c r="W171" s="169"/>
      <c r="X171" s="169"/>
      <c r="Y171" s="169"/>
      <c r="Z171" s="169"/>
    </row>
    <row r="172" spans="1:26" ht="15.75" customHeight="1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9"/>
      <c r="W172" s="169"/>
      <c r="X172" s="169"/>
      <c r="Y172" s="169"/>
      <c r="Z172" s="169"/>
    </row>
    <row r="173" spans="1:26" ht="15.75" customHeight="1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9"/>
      <c r="W173" s="169"/>
      <c r="X173" s="169"/>
      <c r="Y173" s="169"/>
      <c r="Z173" s="169"/>
    </row>
    <row r="174" spans="1:26" ht="15.75" customHeight="1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9"/>
      <c r="W174" s="169"/>
      <c r="X174" s="169"/>
      <c r="Y174" s="169"/>
      <c r="Z174" s="169"/>
    </row>
    <row r="175" spans="1:26" ht="15.75" customHeight="1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9"/>
      <c r="W175" s="169"/>
      <c r="X175" s="169"/>
      <c r="Y175" s="169"/>
      <c r="Z175" s="169"/>
    </row>
    <row r="176" spans="1:26" ht="15.75" customHeight="1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9"/>
      <c r="W176" s="169"/>
      <c r="X176" s="169"/>
      <c r="Y176" s="169"/>
      <c r="Z176" s="169"/>
    </row>
    <row r="177" spans="1:26" ht="15.75" customHeight="1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9"/>
      <c r="W177" s="169"/>
      <c r="X177" s="169"/>
      <c r="Y177" s="169"/>
      <c r="Z177" s="169"/>
    </row>
    <row r="178" spans="1:26" ht="15.75" customHeight="1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9"/>
      <c r="W178" s="169"/>
      <c r="X178" s="169"/>
      <c r="Y178" s="169"/>
      <c r="Z178" s="169"/>
    </row>
    <row r="179" spans="1:26" ht="15.75" customHeight="1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9"/>
      <c r="W179" s="169"/>
      <c r="X179" s="169"/>
      <c r="Y179" s="169"/>
      <c r="Z179" s="169"/>
    </row>
    <row r="180" spans="1:26" ht="15.75" customHeight="1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9"/>
      <c r="W180" s="169"/>
      <c r="X180" s="169"/>
      <c r="Y180" s="169"/>
      <c r="Z180" s="169"/>
    </row>
    <row r="181" spans="1:26" ht="15.75" customHeight="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9"/>
      <c r="W181" s="169"/>
      <c r="X181" s="169"/>
      <c r="Y181" s="169"/>
      <c r="Z181" s="169"/>
    </row>
    <row r="182" spans="1:26" ht="15.75" customHeight="1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9"/>
      <c r="W182" s="169"/>
      <c r="X182" s="169"/>
      <c r="Y182" s="169"/>
      <c r="Z182" s="169"/>
    </row>
    <row r="183" spans="1:26" ht="15.75" customHeight="1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9"/>
      <c r="W183" s="169"/>
      <c r="X183" s="169"/>
      <c r="Y183" s="169"/>
      <c r="Z183" s="169"/>
    </row>
    <row r="184" spans="1:26" ht="15.75" customHeight="1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9"/>
      <c r="W184" s="169"/>
      <c r="X184" s="169"/>
      <c r="Y184" s="169"/>
      <c r="Z184" s="169"/>
    </row>
    <row r="185" spans="1:26" ht="15.75" customHeight="1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9"/>
      <c r="W185" s="169"/>
      <c r="X185" s="169"/>
      <c r="Y185" s="169"/>
      <c r="Z185" s="169"/>
    </row>
    <row r="186" spans="1:26" ht="15.75" customHeight="1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9"/>
      <c r="Z186" s="169"/>
    </row>
    <row r="187" spans="1:26" ht="15.75" customHeight="1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9"/>
      <c r="W187" s="169"/>
      <c r="X187" s="169"/>
      <c r="Y187" s="169"/>
      <c r="Z187" s="169"/>
    </row>
    <row r="188" spans="1:26" ht="15.75" customHeight="1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9"/>
      <c r="W188" s="169"/>
      <c r="X188" s="169"/>
      <c r="Y188" s="169"/>
      <c r="Z188" s="169"/>
    </row>
    <row r="189" spans="1:26" ht="15.75" customHeight="1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9"/>
      <c r="W189" s="169"/>
      <c r="X189" s="169"/>
      <c r="Y189" s="169"/>
      <c r="Z189" s="169"/>
    </row>
    <row r="190" spans="1:26" ht="15.75" customHeight="1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9"/>
      <c r="W190" s="169"/>
      <c r="X190" s="169"/>
      <c r="Y190" s="169"/>
      <c r="Z190" s="169"/>
    </row>
    <row r="191" spans="1:26" ht="15.75" customHeight="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9"/>
      <c r="W191" s="169"/>
      <c r="X191" s="169"/>
      <c r="Y191" s="169"/>
      <c r="Z191" s="169"/>
    </row>
    <row r="192" spans="1:26" ht="15.75" customHeight="1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9"/>
      <c r="W192" s="169"/>
      <c r="X192" s="169"/>
      <c r="Y192" s="169"/>
      <c r="Z192" s="169"/>
    </row>
    <row r="193" spans="1:26" ht="15.75" customHeight="1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9"/>
      <c r="W193" s="169"/>
      <c r="X193" s="169"/>
      <c r="Y193" s="169"/>
      <c r="Z193" s="169"/>
    </row>
    <row r="194" spans="1:26" ht="15.75" customHeight="1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9"/>
      <c r="W194" s="169"/>
      <c r="X194" s="169"/>
      <c r="Y194" s="169"/>
      <c r="Z194" s="169"/>
    </row>
    <row r="195" spans="1:26" ht="15.75" customHeight="1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9"/>
      <c r="W195" s="169"/>
      <c r="X195" s="169"/>
      <c r="Y195" s="169"/>
      <c r="Z195" s="169"/>
    </row>
    <row r="196" spans="1:26" ht="15.75" customHeight="1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9"/>
      <c r="W196" s="169"/>
      <c r="X196" s="169"/>
      <c r="Y196" s="169"/>
      <c r="Z196" s="169"/>
    </row>
    <row r="197" spans="1:26" ht="15.75" customHeight="1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9"/>
      <c r="W197" s="169"/>
      <c r="X197" s="169"/>
      <c r="Y197" s="169"/>
      <c r="Z197" s="169"/>
    </row>
    <row r="198" spans="1:26" ht="15.75" customHeight="1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9"/>
      <c r="W198" s="169"/>
      <c r="X198" s="169"/>
      <c r="Y198" s="169"/>
      <c r="Z198" s="169"/>
    </row>
    <row r="199" spans="1:26" ht="15.75" customHeight="1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9"/>
      <c r="W199" s="169"/>
      <c r="X199" s="169"/>
      <c r="Y199" s="169"/>
      <c r="Z199" s="169"/>
    </row>
    <row r="200" spans="1:26" ht="15.75" customHeight="1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9"/>
      <c r="W200" s="169"/>
      <c r="X200" s="169"/>
      <c r="Y200" s="169"/>
      <c r="Z200" s="169"/>
    </row>
    <row r="201" spans="1:26" ht="15.75" customHeight="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9"/>
      <c r="W201" s="169"/>
      <c r="X201" s="169"/>
      <c r="Y201" s="169"/>
      <c r="Z201" s="169"/>
    </row>
    <row r="202" spans="1:26" ht="15.75" customHeight="1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9"/>
      <c r="W202" s="169"/>
      <c r="X202" s="169"/>
      <c r="Y202" s="169"/>
      <c r="Z202" s="169"/>
    </row>
    <row r="203" spans="1:26" ht="15.75" customHeight="1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9"/>
      <c r="W203" s="169"/>
      <c r="X203" s="169"/>
      <c r="Y203" s="169"/>
      <c r="Z203" s="169"/>
    </row>
    <row r="204" spans="1:26" ht="15.75" customHeight="1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9"/>
      <c r="W204" s="169"/>
      <c r="X204" s="169"/>
      <c r="Y204" s="169"/>
      <c r="Z204" s="169"/>
    </row>
    <row r="205" spans="1:26" ht="15.75" customHeight="1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9"/>
      <c r="W205" s="169"/>
      <c r="X205" s="169"/>
      <c r="Y205" s="169"/>
      <c r="Z205" s="169"/>
    </row>
    <row r="206" spans="1:26" ht="15.75" customHeight="1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9"/>
      <c r="W206" s="169"/>
      <c r="X206" s="169"/>
      <c r="Y206" s="169"/>
      <c r="Z206" s="169"/>
    </row>
    <row r="207" spans="1:26" ht="15.75" customHeight="1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9"/>
      <c r="W207" s="169"/>
      <c r="X207" s="169"/>
      <c r="Y207" s="169"/>
      <c r="Z207" s="169"/>
    </row>
    <row r="208" spans="1:26" ht="15.75" customHeight="1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9"/>
      <c r="W208" s="169"/>
      <c r="X208" s="169"/>
      <c r="Y208" s="169"/>
      <c r="Z208" s="169"/>
    </row>
    <row r="209" spans="1:26" ht="15.75" customHeight="1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9"/>
      <c r="W209" s="169"/>
      <c r="X209" s="169"/>
      <c r="Y209" s="169"/>
      <c r="Z209" s="169"/>
    </row>
    <row r="210" spans="1:26" ht="15.75" customHeight="1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9"/>
      <c r="W210" s="169"/>
      <c r="X210" s="169"/>
      <c r="Y210" s="169"/>
      <c r="Z210" s="169"/>
    </row>
    <row r="211" spans="1:26" ht="15.75" customHeight="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9"/>
      <c r="W211" s="169"/>
      <c r="X211" s="169"/>
      <c r="Y211" s="169"/>
      <c r="Z211" s="169"/>
    </row>
    <row r="212" spans="1:26" ht="15.75" customHeight="1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9"/>
      <c r="W212" s="169"/>
      <c r="X212" s="169"/>
      <c r="Y212" s="169"/>
      <c r="Z212" s="169"/>
    </row>
    <row r="213" spans="1:26" ht="15.75" customHeight="1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9"/>
      <c r="W213" s="169"/>
      <c r="X213" s="169"/>
      <c r="Y213" s="169"/>
      <c r="Z213" s="169"/>
    </row>
    <row r="214" spans="1:26" ht="15.75" customHeight="1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9"/>
      <c r="W214" s="169"/>
      <c r="X214" s="169"/>
      <c r="Y214" s="169"/>
      <c r="Z214" s="169"/>
    </row>
    <row r="215" spans="1:26" ht="15.75" customHeight="1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9"/>
      <c r="W215" s="169"/>
      <c r="X215" s="169"/>
      <c r="Y215" s="169"/>
      <c r="Z215" s="169"/>
    </row>
    <row r="216" spans="1:26" ht="15.75" customHeight="1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9"/>
      <c r="W216" s="169"/>
      <c r="X216" s="169"/>
      <c r="Y216" s="169"/>
      <c r="Z216" s="169"/>
    </row>
    <row r="217" spans="1:26" ht="15.75" customHeight="1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9"/>
      <c r="W217" s="169"/>
      <c r="X217" s="169"/>
      <c r="Y217" s="169"/>
      <c r="Z217" s="169"/>
    </row>
    <row r="218" spans="1:26" ht="15.75" customHeight="1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9"/>
      <c r="W218" s="169"/>
      <c r="X218" s="169"/>
      <c r="Y218" s="169"/>
      <c r="Z218" s="169"/>
    </row>
    <row r="219" spans="1:26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9"/>
      <c r="W219" s="169"/>
      <c r="X219" s="169"/>
      <c r="Y219" s="169"/>
      <c r="Z219" s="169"/>
    </row>
    <row r="220" spans="1:26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9"/>
      <c r="W220" s="169"/>
      <c r="X220" s="169"/>
      <c r="Y220" s="169"/>
      <c r="Z220" s="169"/>
    </row>
    <row r="221" spans="1:26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9"/>
      <c r="W221" s="169"/>
      <c r="X221" s="169"/>
      <c r="Y221" s="169"/>
      <c r="Z221" s="169"/>
    </row>
    <row r="222" spans="1:26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9"/>
      <c r="W222" s="169"/>
      <c r="X222" s="169"/>
      <c r="Y222" s="169"/>
      <c r="Z222" s="169"/>
    </row>
    <row r="223" spans="1:26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9"/>
      <c r="W223" s="169"/>
      <c r="X223" s="169"/>
      <c r="Y223" s="169"/>
      <c r="Z223" s="169"/>
    </row>
    <row r="224" spans="1:26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9"/>
      <c r="W224" s="169"/>
      <c r="X224" s="169"/>
      <c r="Y224" s="169"/>
      <c r="Z224" s="169"/>
    </row>
    <row r="225" spans="1:26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9"/>
      <c r="W225" s="169"/>
      <c r="X225" s="169"/>
      <c r="Y225" s="169"/>
      <c r="Z225" s="169"/>
    </row>
    <row r="226" spans="1:26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9"/>
      <c r="W226" s="169"/>
      <c r="X226" s="169"/>
      <c r="Y226" s="169"/>
      <c r="Z226" s="169"/>
    </row>
    <row r="227" spans="1:26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9"/>
      <c r="W227" s="169"/>
      <c r="X227" s="169"/>
      <c r="Y227" s="169"/>
      <c r="Z227" s="169"/>
    </row>
    <row r="228" spans="1:26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9"/>
      <c r="W228" s="169"/>
      <c r="X228" s="169"/>
      <c r="Y228" s="169"/>
      <c r="Z228" s="169"/>
    </row>
    <row r="229" spans="1:26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9"/>
      <c r="W229" s="169"/>
      <c r="X229" s="169"/>
      <c r="Y229" s="169"/>
      <c r="Z229" s="169"/>
    </row>
    <row r="230" spans="1:26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9"/>
      <c r="W230" s="169"/>
      <c r="X230" s="169"/>
      <c r="Y230" s="169"/>
      <c r="Z230" s="169"/>
    </row>
    <row r="231" spans="1:26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9"/>
      <c r="W231" s="169"/>
      <c r="X231" s="169"/>
      <c r="Y231" s="169"/>
      <c r="Z231" s="169"/>
    </row>
    <row r="232" spans="1:26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9"/>
      <c r="W232" s="169"/>
      <c r="X232" s="169"/>
      <c r="Y232" s="169"/>
      <c r="Z232" s="169"/>
    </row>
    <row r="233" spans="1:26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9"/>
      <c r="W233" s="169"/>
      <c r="X233" s="169"/>
      <c r="Y233" s="169"/>
      <c r="Z233" s="169"/>
    </row>
    <row r="234" spans="1:26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9"/>
      <c r="W234" s="169"/>
      <c r="X234" s="169"/>
      <c r="Y234" s="169"/>
      <c r="Z234" s="169"/>
    </row>
    <row r="235" spans="1:26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9"/>
      <c r="W235" s="169"/>
      <c r="X235" s="169"/>
      <c r="Y235" s="169"/>
      <c r="Z235" s="169"/>
    </row>
    <row r="236" spans="1:26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9"/>
      <c r="W236" s="169"/>
      <c r="X236" s="169"/>
      <c r="Y236" s="169"/>
      <c r="Z236" s="169"/>
    </row>
    <row r="237" spans="1:26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9"/>
      <c r="W237" s="169"/>
      <c r="X237" s="169"/>
      <c r="Y237" s="169"/>
      <c r="Z237" s="169"/>
    </row>
    <row r="238" spans="1:26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9"/>
      <c r="W238" s="169"/>
      <c r="X238" s="169"/>
      <c r="Y238" s="169"/>
      <c r="Z238" s="169"/>
    </row>
    <row r="239" spans="1:26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9"/>
      <c r="W239" s="169"/>
      <c r="X239" s="169"/>
      <c r="Y239" s="169"/>
      <c r="Z239" s="169"/>
    </row>
    <row r="240" spans="1:26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9"/>
      <c r="W240" s="169"/>
      <c r="X240" s="169"/>
      <c r="Y240" s="169"/>
      <c r="Z240" s="169"/>
    </row>
    <row r="241" spans="1:26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9"/>
      <c r="W241" s="169"/>
      <c r="X241" s="169"/>
      <c r="Y241" s="169"/>
      <c r="Z241" s="169"/>
    </row>
    <row r="242" spans="1:26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9"/>
      <c r="W242" s="169"/>
      <c r="X242" s="169"/>
      <c r="Y242" s="169"/>
      <c r="Z242" s="169"/>
    </row>
    <row r="243" spans="1:26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9"/>
      <c r="W243" s="169"/>
      <c r="X243" s="169"/>
      <c r="Y243" s="169"/>
      <c r="Z243" s="169"/>
    </row>
    <row r="244" spans="1:26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9"/>
      <c r="W244" s="169"/>
      <c r="X244" s="169"/>
      <c r="Y244" s="169"/>
      <c r="Z244" s="169"/>
    </row>
    <row r="245" spans="1:26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9"/>
      <c r="W245" s="169"/>
      <c r="X245" s="169"/>
      <c r="Y245" s="169"/>
      <c r="Z245" s="169"/>
    </row>
    <row r="246" spans="1:26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9"/>
      <c r="W246" s="169"/>
      <c r="X246" s="169"/>
      <c r="Y246" s="169"/>
      <c r="Z246" s="169"/>
    </row>
    <row r="247" spans="1:26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9"/>
      <c r="W247" s="169"/>
      <c r="X247" s="169"/>
      <c r="Y247" s="169"/>
      <c r="Z247" s="169"/>
    </row>
    <row r="248" spans="1:26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9"/>
      <c r="W248" s="169"/>
      <c r="X248" s="169"/>
      <c r="Y248" s="169"/>
      <c r="Z248" s="169"/>
    </row>
    <row r="249" spans="1:26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9"/>
      <c r="W249" s="169"/>
      <c r="X249" s="169"/>
      <c r="Y249" s="169"/>
      <c r="Z249" s="169"/>
    </row>
    <row r="250" spans="1:26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9"/>
      <c r="W250" s="169"/>
      <c r="X250" s="169"/>
      <c r="Y250" s="169"/>
      <c r="Z250" s="169"/>
    </row>
    <row r="251" spans="1:26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9"/>
      <c r="W251" s="169"/>
      <c r="X251" s="169"/>
      <c r="Y251" s="169"/>
      <c r="Z251" s="169"/>
    </row>
    <row r="252" spans="1:26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9"/>
      <c r="W252" s="169"/>
      <c r="X252" s="169"/>
      <c r="Y252" s="169"/>
      <c r="Z252" s="169"/>
    </row>
    <row r="253" spans="1:26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9"/>
      <c r="W253" s="169"/>
      <c r="X253" s="169"/>
      <c r="Y253" s="169"/>
      <c r="Z253" s="169"/>
    </row>
    <row r="254" spans="1:26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9"/>
      <c r="W254" s="169"/>
      <c r="X254" s="169"/>
      <c r="Y254" s="169"/>
      <c r="Z254" s="169"/>
    </row>
    <row r="255" spans="1:26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9"/>
      <c r="W255" s="169"/>
      <c r="X255" s="169"/>
      <c r="Y255" s="169"/>
      <c r="Z255" s="169"/>
    </row>
    <row r="256" spans="1:26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9"/>
      <c r="W256" s="169"/>
      <c r="X256" s="169"/>
      <c r="Y256" s="169"/>
      <c r="Z256" s="169"/>
    </row>
    <row r="257" spans="1:26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9"/>
      <c r="W257" s="169"/>
      <c r="X257" s="169"/>
      <c r="Y257" s="169"/>
      <c r="Z257" s="169"/>
    </row>
    <row r="258" spans="1:26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9"/>
      <c r="W258" s="169"/>
      <c r="X258" s="169"/>
      <c r="Y258" s="169"/>
      <c r="Z258" s="169"/>
    </row>
    <row r="259" spans="1:26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9"/>
      <c r="W259" s="169"/>
      <c r="X259" s="169"/>
      <c r="Y259" s="169"/>
      <c r="Z259" s="169"/>
    </row>
    <row r="260" spans="1:26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9"/>
      <c r="W260" s="169"/>
      <c r="X260" s="169"/>
      <c r="Y260" s="169"/>
      <c r="Z260" s="169"/>
    </row>
    <row r="261" spans="1:26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9"/>
      <c r="W261" s="169"/>
      <c r="X261" s="169"/>
      <c r="Y261" s="169"/>
      <c r="Z261" s="169"/>
    </row>
    <row r="262" spans="1:26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9"/>
      <c r="W262" s="169"/>
      <c r="X262" s="169"/>
      <c r="Y262" s="169"/>
      <c r="Z262" s="169"/>
    </row>
    <row r="263" spans="1:26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9"/>
      <c r="W263" s="169"/>
      <c r="X263" s="169"/>
      <c r="Y263" s="169"/>
      <c r="Z263" s="169"/>
    </row>
    <row r="264" spans="1:26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9"/>
      <c r="W264" s="169"/>
      <c r="X264" s="169"/>
      <c r="Y264" s="169"/>
      <c r="Z264" s="169"/>
    </row>
    <row r="265" spans="1:26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9"/>
      <c r="W265" s="169"/>
      <c r="X265" s="169"/>
      <c r="Y265" s="169"/>
      <c r="Z265" s="169"/>
    </row>
    <row r="266" spans="1:26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9"/>
      <c r="W266" s="169"/>
      <c r="X266" s="169"/>
      <c r="Y266" s="169"/>
      <c r="Z266" s="169"/>
    </row>
    <row r="267" spans="1:26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9"/>
      <c r="W267" s="169"/>
      <c r="X267" s="169"/>
      <c r="Y267" s="169"/>
      <c r="Z267" s="169"/>
    </row>
    <row r="268" spans="1:26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9"/>
      <c r="W268" s="169"/>
      <c r="X268" s="169"/>
      <c r="Y268" s="169"/>
      <c r="Z268" s="169"/>
    </row>
    <row r="269" spans="1:26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9"/>
      <c r="W269" s="169"/>
      <c r="X269" s="169"/>
      <c r="Y269" s="169"/>
      <c r="Z269" s="169"/>
    </row>
    <row r="270" spans="1:26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9"/>
      <c r="W270" s="169"/>
      <c r="X270" s="169"/>
      <c r="Y270" s="169"/>
      <c r="Z270" s="169"/>
    </row>
    <row r="271" spans="1:26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9"/>
      <c r="W271" s="169"/>
      <c r="X271" s="169"/>
      <c r="Y271" s="169"/>
      <c r="Z271" s="169"/>
    </row>
    <row r="272" spans="1:26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9"/>
      <c r="W272" s="169"/>
      <c r="X272" s="169"/>
      <c r="Y272" s="169"/>
      <c r="Z272" s="169"/>
    </row>
    <row r="273" spans="1:26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9"/>
      <c r="W273" s="169"/>
      <c r="X273" s="169"/>
      <c r="Y273" s="169"/>
      <c r="Z273" s="169"/>
    </row>
    <row r="274" spans="1:26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9"/>
      <c r="W274" s="169"/>
      <c r="X274" s="169"/>
      <c r="Y274" s="169"/>
      <c r="Z274" s="169"/>
    </row>
    <row r="275" spans="1:26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9"/>
      <c r="W275" s="169"/>
      <c r="X275" s="169"/>
      <c r="Y275" s="169"/>
      <c r="Z275" s="169"/>
    </row>
    <row r="276" spans="1:26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9"/>
      <c r="W276" s="169"/>
      <c r="X276" s="169"/>
      <c r="Y276" s="169"/>
      <c r="Z276" s="169"/>
    </row>
    <row r="277" spans="1:26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69"/>
      <c r="Y277" s="169"/>
      <c r="Z277" s="169"/>
    </row>
    <row r="278" spans="1:26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69"/>
      <c r="Y278" s="169"/>
      <c r="Z278" s="169"/>
    </row>
    <row r="279" spans="1:26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9"/>
      <c r="W279" s="169"/>
      <c r="X279" s="169"/>
      <c r="Y279" s="169"/>
      <c r="Z279" s="169"/>
    </row>
    <row r="280" spans="1:26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9"/>
      <c r="W280" s="169"/>
      <c r="X280" s="169"/>
      <c r="Y280" s="169"/>
      <c r="Z280" s="169"/>
    </row>
    <row r="281" spans="1:26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9"/>
      <c r="W281" s="169"/>
      <c r="X281" s="169"/>
      <c r="Y281" s="169"/>
      <c r="Z281" s="169"/>
    </row>
    <row r="282" spans="1:26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9"/>
      <c r="W282" s="169"/>
      <c r="X282" s="169"/>
      <c r="Y282" s="169"/>
      <c r="Z282" s="169"/>
    </row>
    <row r="283" spans="1:26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9"/>
      <c r="W283" s="169"/>
      <c r="X283" s="169"/>
      <c r="Y283" s="169"/>
      <c r="Z283" s="169"/>
    </row>
    <row r="284" spans="1:26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9"/>
      <c r="W284" s="169"/>
      <c r="X284" s="169"/>
      <c r="Y284" s="169"/>
      <c r="Z284" s="169"/>
    </row>
    <row r="285" spans="1:26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9"/>
      <c r="W285" s="169"/>
      <c r="X285" s="169"/>
      <c r="Y285" s="169"/>
      <c r="Z285" s="169"/>
    </row>
    <row r="286" spans="1:26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9"/>
      <c r="W286" s="169"/>
      <c r="X286" s="169"/>
      <c r="Y286" s="169"/>
      <c r="Z286" s="169"/>
    </row>
    <row r="287" spans="1:26" ht="15.75" customHeight="1">
      <c r="A287" s="169"/>
      <c r="B287" s="169"/>
      <c r="C287" s="169"/>
      <c r="D287" s="169"/>
      <c r="E287" s="169"/>
      <c r="F287" s="169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9"/>
      <c r="W287" s="169"/>
      <c r="X287" s="169"/>
      <c r="Y287" s="169"/>
      <c r="Z287" s="169"/>
    </row>
    <row r="288" spans="1:26" ht="15.75" customHeight="1">
      <c r="A288" s="169"/>
      <c r="B288" s="169"/>
      <c r="C288" s="169"/>
      <c r="D288" s="169"/>
      <c r="E288" s="169"/>
      <c r="F288" s="169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9"/>
      <c r="W288" s="169"/>
      <c r="X288" s="169"/>
      <c r="Y288" s="169"/>
      <c r="Z288" s="169"/>
    </row>
    <row r="289" spans="1:26" ht="15.75" customHeight="1">
      <c r="A289" s="169"/>
      <c r="B289" s="169"/>
      <c r="C289" s="169"/>
      <c r="D289" s="169"/>
      <c r="E289" s="169"/>
      <c r="F289" s="169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9"/>
      <c r="W289" s="169"/>
      <c r="X289" s="169"/>
      <c r="Y289" s="169"/>
      <c r="Z289" s="169"/>
    </row>
    <row r="290" spans="1:26" ht="15.75" customHeight="1">
      <c r="A290" s="169"/>
      <c r="B290" s="169"/>
      <c r="C290" s="169"/>
      <c r="D290" s="169"/>
      <c r="E290" s="169"/>
      <c r="F290" s="169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9"/>
      <c r="W290" s="169"/>
      <c r="X290" s="169"/>
      <c r="Y290" s="169"/>
      <c r="Z290" s="169"/>
    </row>
    <row r="291" spans="1:26" ht="15.75" customHeight="1">
      <c r="A291" s="169"/>
      <c r="B291" s="169"/>
      <c r="C291" s="169"/>
      <c r="D291" s="169"/>
      <c r="E291" s="169"/>
      <c r="F291" s="169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9"/>
      <c r="W291" s="169"/>
      <c r="X291" s="169"/>
      <c r="Y291" s="169"/>
      <c r="Z291" s="169"/>
    </row>
    <row r="292" spans="1:26" ht="15.75" customHeight="1"/>
    <row r="293" spans="1:26" ht="15.75" customHeight="1"/>
    <row r="294" spans="1:26" ht="15.75" customHeight="1"/>
    <row r="295" spans="1:26" ht="15.75" customHeight="1"/>
    <row r="296" spans="1:26" ht="15.75" customHeight="1"/>
    <row r="297" spans="1:26" ht="15.75" customHeight="1"/>
    <row r="298" spans="1:26" ht="15.75" customHeight="1"/>
    <row r="299" spans="1:26" ht="15.75" customHeight="1"/>
    <row r="300" spans="1:26" ht="15.75" customHeight="1"/>
    <row r="301" spans="1:26" ht="15.75" customHeight="1"/>
    <row r="302" spans="1:26" ht="15.75" customHeight="1"/>
    <row r="303" spans="1:26" ht="15.75" customHeight="1"/>
    <row r="304" spans="1:2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75" right="0.75" top="1" bottom="1" header="0" footer="0"/>
  <pageSetup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L1000"/>
  <sheetViews>
    <sheetView workbookViewId="0">
      <selection sqref="A1:X1"/>
    </sheetView>
  </sheetViews>
  <sheetFormatPr defaultColWidth="11.09765625" defaultRowHeight="15" customHeight="1"/>
  <cols>
    <col min="1" max="1" width="8.59765625" customWidth="1"/>
    <col min="2" max="3" width="8.09765625" customWidth="1"/>
    <col min="4" max="4" width="4.296875" customWidth="1"/>
    <col min="5" max="5" width="1.09765625" customWidth="1"/>
    <col min="6" max="6" width="4.09765625" customWidth="1"/>
    <col min="7" max="7" width="3.59765625" customWidth="1"/>
    <col min="8" max="8" width="8.09765625" customWidth="1"/>
    <col min="9" max="9" width="5" customWidth="1"/>
    <col min="10" max="10" width="1.59765625" customWidth="1"/>
    <col min="11" max="12" width="4" customWidth="1"/>
    <col min="13" max="13" width="8.796875" customWidth="1"/>
    <col min="14" max="14" width="9.59765625" customWidth="1"/>
    <col min="15" max="15" width="8.09765625" customWidth="1"/>
    <col min="16" max="16" width="4.09765625" customWidth="1"/>
    <col min="17" max="17" width="1.59765625" customWidth="1"/>
    <col min="18" max="18" width="4.296875" customWidth="1"/>
    <col min="19" max="19" width="4" customWidth="1"/>
    <col min="20" max="20" width="8.09765625" customWidth="1"/>
    <col min="21" max="21" width="4.09765625" customWidth="1"/>
    <col min="22" max="22" width="1.59765625" customWidth="1"/>
    <col min="23" max="24" width="4.09765625" customWidth="1"/>
    <col min="25" max="30" width="8.59765625" customWidth="1"/>
    <col min="31" max="31" width="17.59765625" customWidth="1"/>
    <col min="32" max="32" width="5.09765625" customWidth="1"/>
    <col min="33" max="33" width="7" customWidth="1"/>
    <col min="34" max="34" width="6.09765625" customWidth="1"/>
    <col min="35" max="35" width="8.09765625" customWidth="1"/>
    <col min="36" max="36" width="7.09765625" customWidth="1"/>
    <col min="37" max="37" width="8.59765625" customWidth="1"/>
    <col min="38" max="38" width="36.296875" customWidth="1"/>
  </cols>
  <sheetData>
    <row r="1" spans="1:38" ht="20.25" customHeight="1">
      <c r="A1" s="988" t="s">
        <v>656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/>
      <c r="O1" s="947"/>
      <c r="P1" s="947"/>
      <c r="Q1" s="947"/>
      <c r="R1" s="947"/>
      <c r="S1" s="947"/>
      <c r="T1" s="947"/>
      <c r="U1" s="947"/>
      <c r="V1" s="947"/>
      <c r="W1" s="947"/>
      <c r="X1" s="947"/>
      <c r="Y1" s="225"/>
      <c r="Z1" s="225"/>
      <c r="AA1" s="225"/>
      <c r="AB1" s="225"/>
      <c r="AC1" s="225"/>
      <c r="AD1" s="225"/>
      <c r="AE1" s="225"/>
      <c r="AF1" s="1"/>
      <c r="AG1" s="225"/>
      <c r="AH1" s="209"/>
      <c r="AI1" s="225"/>
      <c r="AJ1" s="225"/>
      <c r="AK1" s="225"/>
      <c r="AL1" s="225"/>
    </row>
    <row r="2" spans="1:38" ht="16.5" customHeight="1">
      <c r="A2" s="989" t="s">
        <v>657</v>
      </c>
      <c r="B2" s="947"/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947"/>
      <c r="U2" s="947"/>
      <c r="V2" s="947"/>
      <c r="W2" s="947"/>
      <c r="X2" s="947"/>
      <c r="Y2" s="225"/>
      <c r="Z2" s="225"/>
      <c r="AA2" s="225"/>
      <c r="AB2" s="225"/>
      <c r="AC2" s="225"/>
      <c r="AD2" s="225"/>
      <c r="AE2" s="225"/>
      <c r="AF2" s="1"/>
      <c r="AG2" s="225"/>
      <c r="AH2" s="209"/>
      <c r="AI2" s="225"/>
      <c r="AJ2" s="225"/>
      <c r="AK2" s="225"/>
      <c r="AL2" s="225"/>
    </row>
    <row r="3" spans="1:38" ht="16.5" customHeight="1">
      <c r="A3" s="169"/>
      <c r="B3" s="453"/>
      <c r="C3" s="453"/>
      <c r="D3" s="453"/>
      <c r="E3" s="453"/>
      <c r="F3" s="453"/>
      <c r="G3" s="454"/>
      <c r="H3" s="1"/>
      <c r="I3" s="353"/>
      <c r="J3" s="353"/>
      <c r="K3" s="353"/>
      <c r="L3" s="477"/>
      <c r="M3" s="477"/>
      <c r="N3" s="477"/>
      <c r="O3" s="169"/>
      <c r="P3" s="169"/>
      <c r="Q3" s="169"/>
      <c r="R3" s="169"/>
      <c r="S3" s="169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225"/>
      <c r="AE3" s="225" t="s">
        <v>658</v>
      </c>
      <c r="AF3" s="1"/>
      <c r="AG3" s="225"/>
      <c r="AH3" s="209"/>
      <c r="AI3" s="225"/>
      <c r="AJ3" s="225"/>
      <c r="AK3" s="225"/>
      <c r="AL3" s="225"/>
    </row>
    <row r="4" spans="1:38" ht="15.75" customHeight="1">
      <c r="A4" s="239" t="s">
        <v>44</v>
      </c>
      <c r="B4" s="990" t="s">
        <v>659</v>
      </c>
      <c r="C4" s="954"/>
      <c r="D4" s="954"/>
      <c r="E4" s="954"/>
      <c r="F4" s="954"/>
      <c r="G4" s="240"/>
      <c r="H4" s="990" t="s">
        <v>660</v>
      </c>
      <c r="I4" s="954"/>
      <c r="J4" s="954"/>
      <c r="K4" s="955"/>
      <c r="L4" s="240"/>
      <c r="M4" s="319"/>
      <c r="N4" s="319" t="s">
        <v>661</v>
      </c>
      <c r="O4" s="990" t="s">
        <v>662</v>
      </c>
      <c r="P4" s="954"/>
      <c r="Q4" s="954"/>
      <c r="R4" s="955"/>
      <c r="S4" s="240"/>
      <c r="T4" s="990" t="s">
        <v>663</v>
      </c>
      <c r="U4" s="954"/>
      <c r="V4" s="954"/>
      <c r="W4" s="954"/>
      <c r="X4" s="240"/>
      <c r="Y4" s="998" t="s">
        <v>155</v>
      </c>
      <c r="Z4" s="991" t="s">
        <v>664</v>
      </c>
      <c r="AA4" s="991" t="s">
        <v>157</v>
      </c>
      <c r="AB4" s="991" t="s">
        <v>665</v>
      </c>
      <c r="AC4" s="994" t="s">
        <v>159</v>
      </c>
      <c r="AD4" s="310"/>
      <c r="AE4" s="310"/>
      <c r="AF4" s="391"/>
      <c r="AG4" s="391"/>
      <c r="AH4" s="391"/>
      <c r="AI4" s="391"/>
      <c r="AJ4" s="391"/>
      <c r="AK4" s="310"/>
      <c r="AL4" s="310"/>
    </row>
    <row r="5" spans="1:38" ht="52.5" customHeight="1">
      <c r="A5" s="241" t="s">
        <v>666</v>
      </c>
      <c r="B5" s="242"/>
      <c r="C5" s="242"/>
      <c r="D5" s="242"/>
      <c r="E5" s="242"/>
      <c r="F5" s="243"/>
      <c r="G5" s="244"/>
      <c r="H5" s="242"/>
      <c r="I5" s="242"/>
      <c r="J5" s="242"/>
      <c r="K5" s="243"/>
      <c r="L5" s="320"/>
      <c r="M5" s="320"/>
      <c r="N5" s="320"/>
      <c r="O5" s="242"/>
      <c r="P5" s="242"/>
      <c r="Q5" s="242"/>
      <c r="R5" s="242"/>
      <c r="S5" s="244"/>
      <c r="T5" s="242"/>
      <c r="U5" s="242"/>
      <c r="V5" s="242"/>
      <c r="W5" s="243"/>
      <c r="X5" s="244"/>
      <c r="Y5" s="992"/>
      <c r="Z5" s="992"/>
      <c r="AA5" s="992"/>
      <c r="AB5" s="992"/>
      <c r="AC5" s="995"/>
      <c r="AD5" s="310"/>
      <c r="AE5" s="310"/>
      <c r="AF5" s="391"/>
      <c r="AG5" s="391"/>
      <c r="AH5" s="391"/>
      <c r="AI5" s="391"/>
      <c r="AJ5" s="391"/>
      <c r="AK5" s="310"/>
      <c r="AL5" s="310"/>
    </row>
    <row r="6" spans="1:38" ht="16.5" hidden="1" customHeight="1">
      <c r="A6" s="245" t="s">
        <v>667</v>
      </c>
      <c r="B6" s="246"/>
      <c r="C6" s="246"/>
      <c r="D6" s="246"/>
      <c r="E6" s="246"/>
      <c r="F6" s="247"/>
      <c r="G6" s="248"/>
      <c r="H6" s="246"/>
      <c r="I6" s="246"/>
      <c r="J6" s="246"/>
      <c r="K6" s="247"/>
      <c r="L6" s="320"/>
      <c r="M6" s="320"/>
      <c r="N6" s="320"/>
      <c r="O6" s="246"/>
      <c r="P6" s="246"/>
      <c r="Q6" s="246"/>
      <c r="R6" s="246"/>
      <c r="S6" s="248"/>
      <c r="T6" s="246"/>
      <c r="U6" s="246"/>
      <c r="V6" s="246"/>
      <c r="W6" s="247"/>
      <c r="X6" s="248"/>
      <c r="Y6" s="992"/>
      <c r="Z6" s="992"/>
      <c r="AA6" s="992"/>
      <c r="AB6" s="992"/>
      <c r="AC6" s="392"/>
      <c r="AD6" s="310"/>
      <c r="AE6" s="310"/>
      <c r="AF6" s="391"/>
      <c r="AG6" s="391"/>
      <c r="AH6" s="391"/>
      <c r="AI6" s="391"/>
      <c r="AJ6" s="391"/>
      <c r="AK6" s="310"/>
      <c r="AL6" s="310"/>
    </row>
    <row r="7" spans="1:38" ht="16.5" hidden="1" customHeight="1">
      <c r="A7" s="245"/>
      <c r="B7" s="249"/>
      <c r="C7" s="249"/>
      <c r="D7" s="249"/>
      <c r="E7" s="249"/>
      <c r="F7" s="250"/>
      <c r="G7" s="251"/>
      <c r="H7" s="249"/>
      <c r="I7" s="249"/>
      <c r="J7" s="249"/>
      <c r="K7" s="250"/>
      <c r="L7" s="320"/>
      <c r="M7" s="320"/>
      <c r="N7" s="320"/>
      <c r="O7" s="249"/>
      <c r="P7" s="249"/>
      <c r="Q7" s="249"/>
      <c r="R7" s="249"/>
      <c r="S7" s="251"/>
      <c r="T7" s="249"/>
      <c r="U7" s="249"/>
      <c r="V7" s="249"/>
      <c r="W7" s="250"/>
      <c r="X7" s="251"/>
      <c r="Y7" s="992"/>
      <c r="Z7" s="992"/>
      <c r="AA7" s="992"/>
      <c r="AB7" s="992"/>
      <c r="AC7" s="392"/>
      <c r="AD7" s="310"/>
      <c r="AE7" s="310"/>
      <c r="AF7" s="391"/>
      <c r="AG7" s="391"/>
      <c r="AH7" s="391"/>
      <c r="AI7" s="391"/>
      <c r="AJ7" s="391"/>
      <c r="AK7" s="310"/>
      <c r="AL7" s="310"/>
    </row>
    <row r="8" spans="1:38" ht="16.5" hidden="1" customHeight="1">
      <c r="A8" s="252"/>
      <c r="B8" s="253" t="s">
        <v>668</v>
      </c>
      <c r="C8" s="253" t="s">
        <v>669</v>
      </c>
      <c r="D8" s="996" t="s">
        <v>35</v>
      </c>
      <c r="E8" s="954"/>
      <c r="F8" s="954"/>
      <c r="G8" s="254"/>
      <c r="H8" s="253" t="s">
        <v>669</v>
      </c>
      <c r="I8" s="997" t="str">
        <f>P8</f>
        <v>Time</v>
      </c>
      <c r="J8" s="987"/>
      <c r="K8" s="951"/>
      <c r="L8" s="321"/>
      <c r="M8" s="321"/>
      <c r="N8" s="321"/>
      <c r="O8" s="253" t="s">
        <v>669</v>
      </c>
      <c r="P8" s="996" t="s">
        <v>35</v>
      </c>
      <c r="Q8" s="954"/>
      <c r="R8" s="955"/>
      <c r="S8" s="254"/>
      <c r="T8" s="253" t="s">
        <v>669</v>
      </c>
      <c r="U8" s="996" t="s">
        <v>35</v>
      </c>
      <c r="V8" s="954"/>
      <c r="W8" s="954"/>
      <c r="X8" s="355"/>
      <c r="Y8" s="993"/>
      <c r="Z8" s="993"/>
      <c r="AA8" s="993"/>
      <c r="AB8" s="993"/>
      <c r="AC8" s="393"/>
      <c r="AD8" s="310"/>
      <c r="AE8" s="310"/>
      <c r="AF8" s="391"/>
      <c r="AG8" s="391"/>
      <c r="AH8" s="391"/>
      <c r="AI8" s="391"/>
      <c r="AJ8" s="391"/>
      <c r="AK8" s="310"/>
      <c r="AL8" s="310"/>
    </row>
    <row r="9" spans="1:38" ht="15.75" customHeight="1">
      <c r="A9" s="241">
        <v>44931</v>
      </c>
      <c r="B9" s="455">
        <v>201</v>
      </c>
      <c r="C9" s="456">
        <v>213</v>
      </c>
      <c r="D9" s="257">
        <v>0.33680555555555602</v>
      </c>
      <c r="E9" s="258" t="s">
        <v>145</v>
      </c>
      <c r="F9" s="259">
        <v>0.38680555555555601</v>
      </c>
      <c r="G9" s="260">
        <f>F9-D9</f>
        <v>4.9999999999999989E-2</v>
      </c>
      <c r="H9" s="455">
        <v>85</v>
      </c>
      <c r="I9" s="322">
        <v>0.33680555555555602</v>
      </c>
      <c r="J9" s="323" t="s">
        <v>145</v>
      </c>
      <c r="K9" s="324">
        <v>0.39583333333333298</v>
      </c>
      <c r="L9" s="260">
        <f>K9-I9</f>
        <v>5.9027777777776957E-2</v>
      </c>
      <c r="M9" s="478">
        <v>140</v>
      </c>
      <c r="N9" s="325" t="s">
        <v>670</v>
      </c>
      <c r="O9" s="326"/>
      <c r="P9" s="296"/>
      <c r="Q9" s="356"/>
      <c r="R9" s="297"/>
      <c r="S9" s="325"/>
      <c r="T9" s="326"/>
      <c r="U9" s="257"/>
      <c r="V9" s="258"/>
      <c r="W9" s="259"/>
      <c r="X9" s="260"/>
      <c r="Y9" s="394" t="s">
        <v>671</v>
      </c>
      <c r="Z9" s="394" t="s">
        <v>671</v>
      </c>
      <c r="AA9" s="394" t="s">
        <v>671</v>
      </c>
      <c r="AB9" s="394" t="s">
        <v>671</v>
      </c>
      <c r="AC9" s="395" t="s">
        <v>672</v>
      </c>
      <c r="AD9" s="310"/>
      <c r="AE9" s="310"/>
      <c r="AF9" s="391"/>
      <c r="AG9" s="391"/>
      <c r="AH9" s="391"/>
      <c r="AI9" s="391"/>
      <c r="AJ9" s="391"/>
      <c r="AK9" s="310"/>
      <c r="AL9" s="310"/>
    </row>
    <row r="10" spans="1:38" ht="15" customHeight="1">
      <c r="A10" s="245"/>
      <c r="B10" s="457">
        <v>201</v>
      </c>
      <c r="C10" s="458"/>
      <c r="D10" s="263">
        <v>0.40625</v>
      </c>
      <c r="E10" s="264" t="s">
        <v>145</v>
      </c>
      <c r="F10" s="265">
        <v>0.42708333333333298</v>
      </c>
      <c r="G10" s="260">
        <f>F10-D10</f>
        <v>2.0833333333332982E-2</v>
      </c>
      <c r="H10" s="457">
        <v>140</v>
      </c>
      <c r="I10" s="327">
        <v>0.39583333333333298</v>
      </c>
      <c r="J10" s="328"/>
      <c r="K10" s="329">
        <v>0.45833333333333298</v>
      </c>
      <c r="L10" s="260">
        <f>K10-I10</f>
        <v>6.25E-2</v>
      </c>
      <c r="M10" s="479" t="s">
        <v>50</v>
      </c>
      <c r="N10" s="330" t="s">
        <v>673</v>
      </c>
      <c r="O10" s="331"/>
      <c r="P10" s="332"/>
      <c r="Q10" s="357"/>
      <c r="R10" s="358"/>
      <c r="S10" s="330"/>
      <c r="T10" s="457">
        <v>213</v>
      </c>
      <c r="U10" s="263">
        <v>0.40625</v>
      </c>
      <c r="V10" s="264" t="s">
        <v>145</v>
      </c>
      <c r="W10" s="265">
        <v>0.42708333333333298</v>
      </c>
      <c r="X10" s="260">
        <f>W10-U10</f>
        <v>2.0833333333332982E-2</v>
      </c>
      <c r="Y10" s="396" t="s">
        <v>674</v>
      </c>
      <c r="Z10" s="397"/>
      <c r="AA10" s="396" t="s">
        <v>674</v>
      </c>
      <c r="AB10" s="398"/>
      <c r="AC10" s="399"/>
      <c r="AD10" s="310"/>
      <c r="AE10" s="310"/>
      <c r="AF10" s="400"/>
      <c r="AG10" s="391" t="s">
        <v>675</v>
      </c>
      <c r="AH10" s="391"/>
      <c r="AI10" s="391"/>
      <c r="AJ10" s="391"/>
      <c r="AK10" s="310"/>
      <c r="AL10" s="440" t="s">
        <v>676</v>
      </c>
    </row>
    <row r="11" spans="1:38" ht="15" customHeight="1">
      <c r="A11" s="266" t="s">
        <v>677</v>
      </c>
      <c r="B11" s="333"/>
      <c r="C11" s="459"/>
      <c r="D11" s="269"/>
      <c r="E11" s="270"/>
      <c r="F11" s="271"/>
      <c r="G11" s="260"/>
      <c r="H11" s="460">
        <v>140</v>
      </c>
      <c r="I11" s="263">
        <v>0.47222222222222199</v>
      </c>
      <c r="J11" s="264" t="s">
        <v>145</v>
      </c>
      <c r="K11" s="265">
        <v>0.55972222222222201</v>
      </c>
      <c r="L11" s="260">
        <f>K11-I11</f>
        <v>8.7500000000000022E-2</v>
      </c>
      <c r="M11" s="479" t="s">
        <v>149</v>
      </c>
      <c r="N11" s="330" t="s">
        <v>678</v>
      </c>
      <c r="O11" s="333"/>
      <c r="P11" s="269"/>
      <c r="Q11" s="270"/>
      <c r="R11" s="359"/>
      <c r="S11" s="341"/>
      <c r="T11" s="333"/>
      <c r="U11" s="269"/>
      <c r="V11" s="270"/>
      <c r="W11" s="271"/>
      <c r="X11" s="260"/>
      <c r="Y11" s="401"/>
      <c r="Z11" s="402"/>
      <c r="AA11" s="401"/>
      <c r="AB11" s="403"/>
      <c r="AC11" s="404" t="s">
        <v>679</v>
      </c>
      <c r="AD11" s="310"/>
      <c r="AE11" s="405" t="s">
        <v>475</v>
      </c>
      <c r="AF11" s="406">
        <v>3</v>
      </c>
      <c r="AG11" s="441">
        <f>SUMIF($B$9:$T$36,AF11,'SEN COUNT'!$B$9:$T$36)</f>
        <v>0</v>
      </c>
      <c r="AH11" s="441"/>
      <c r="AI11" s="442"/>
      <c r="AJ11" s="441"/>
      <c r="AK11" s="310"/>
      <c r="AL11" s="443" t="s">
        <v>680</v>
      </c>
    </row>
    <row r="12" spans="1:38" ht="15" customHeight="1">
      <c r="A12" s="241">
        <v>44932</v>
      </c>
      <c r="B12" s="455">
        <v>201</v>
      </c>
      <c r="C12" s="456">
        <v>92</v>
      </c>
      <c r="D12" s="257">
        <v>0.33680555555555602</v>
      </c>
      <c r="E12" s="258" t="s">
        <v>145</v>
      </c>
      <c r="F12" s="259">
        <v>0.38680555555555601</v>
      </c>
      <c r="G12" s="260">
        <f>F12-D12</f>
        <v>4.9999999999999989E-2</v>
      </c>
      <c r="H12" s="326"/>
      <c r="I12" s="257"/>
      <c r="J12" s="258"/>
      <c r="K12" s="259"/>
      <c r="L12" s="260"/>
      <c r="M12" s="478"/>
      <c r="N12" s="325"/>
      <c r="O12" s="326"/>
      <c r="P12" s="296"/>
      <c r="Q12" s="356"/>
      <c r="R12" s="297"/>
      <c r="S12" s="325"/>
      <c r="T12" s="326"/>
      <c r="U12" s="257"/>
      <c r="V12" s="258"/>
      <c r="W12" s="259"/>
      <c r="X12" s="325"/>
      <c r="Y12" s="394" t="s">
        <v>671</v>
      </c>
      <c r="Z12" s="394" t="s">
        <v>671</v>
      </c>
      <c r="AA12" s="394" t="s">
        <v>671</v>
      </c>
      <c r="AB12" s="395"/>
      <c r="AC12" s="395"/>
      <c r="AD12" s="310"/>
      <c r="AE12" s="407" t="s">
        <v>476</v>
      </c>
      <c r="AF12" s="220">
        <v>4</v>
      </c>
      <c r="AG12" s="441">
        <f>SUMIF($B$9:$T$36,AF12,'SEN COUNT'!$B$9:$T$36)</f>
        <v>0</v>
      </c>
      <c r="AH12" s="441"/>
      <c r="AI12" s="442"/>
      <c r="AJ12" s="441"/>
      <c r="AK12" s="310"/>
      <c r="AL12" s="443" t="s">
        <v>681</v>
      </c>
    </row>
    <row r="13" spans="1:38" ht="15" customHeight="1">
      <c r="A13" s="220"/>
      <c r="B13" s="457">
        <v>201</v>
      </c>
      <c r="C13" s="461">
        <v>92</v>
      </c>
      <c r="D13" s="275">
        <v>0.40625</v>
      </c>
      <c r="E13" s="276" t="s">
        <v>145</v>
      </c>
      <c r="F13" s="277">
        <v>0.46875</v>
      </c>
      <c r="G13" s="260">
        <f>F13-D13</f>
        <v>6.25E-2</v>
      </c>
      <c r="H13" s="457">
        <v>140</v>
      </c>
      <c r="I13" s="257">
        <v>0.40625</v>
      </c>
      <c r="J13" s="258" t="s">
        <v>145</v>
      </c>
      <c r="K13" s="259">
        <v>0.47222222222222199</v>
      </c>
      <c r="L13" s="260">
        <f>K13-I13</f>
        <v>6.5972222222221988E-2</v>
      </c>
      <c r="M13" s="479" t="s">
        <v>148</v>
      </c>
      <c r="N13" s="330" t="s">
        <v>682</v>
      </c>
      <c r="O13" s="331"/>
      <c r="P13" s="332"/>
      <c r="Q13" s="357"/>
      <c r="R13" s="358"/>
      <c r="S13" s="330"/>
      <c r="T13" s="331"/>
      <c r="U13" s="282"/>
      <c r="V13" s="283"/>
      <c r="W13" s="284"/>
      <c r="X13" s="330"/>
      <c r="Y13" s="398" t="s">
        <v>683</v>
      </c>
      <c r="Z13" s="398" t="s">
        <v>683</v>
      </c>
      <c r="AA13" s="398" t="s">
        <v>684</v>
      </c>
      <c r="AB13" s="395" t="s">
        <v>684</v>
      </c>
      <c r="AC13" s="395" t="s">
        <v>685</v>
      </c>
      <c r="AD13" s="310"/>
      <c r="AE13" s="407" t="s">
        <v>477</v>
      </c>
      <c r="AF13" s="220">
        <v>5</v>
      </c>
      <c r="AG13" s="441">
        <f>SUMIF($B$9:$T$36,AF13,'SEN COUNT'!$B$9:$T$36)</f>
        <v>0</v>
      </c>
      <c r="AH13" s="441"/>
      <c r="AI13" s="442"/>
      <c r="AJ13" s="441"/>
      <c r="AK13" s="310"/>
      <c r="AL13" s="444" t="s">
        <v>686</v>
      </c>
    </row>
    <row r="14" spans="1:38" ht="15" customHeight="1">
      <c r="A14" s="222" t="s">
        <v>687</v>
      </c>
      <c r="B14" s="333"/>
      <c r="C14" s="459"/>
      <c r="D14" s="275"/>
      <c r="E14" s="276"/>
      <c r="F14" s="277"/>
      <c r="G14" s="260"/>
      <c r="H14" s="460">
        <v>85</v>
      </c>
      <c r="I14" s="263">
        <v>0.47916666666666702</v>
      </c>
      <c r="J14" s="264" t="s">
        <v>145</v>
      </c>
      <c r="K14" s="265">
        <v>0.52083333333333304</v>
      </c>
      <c r="L14" s="260">
        <f>K14-I14</f>
        <v>4.1666666666666019E-2</v>
      </c>
      <c r="M14" s="479" t="s">
        <v>149</v>
      </c>
      <c r="N14" s="330" t="s">
        <v>688</v>
      </c>
      <c r="O14" s="333"/>
      <c r="P14" s="269"/>
      <c r="Q14" s="270"/>
      <c r="R14" s="359"/>
      <c r="S14" s="341"/>
      <c r="T14" s="333"/>
      <c r="U14" s="269"/>
      <c r="V14" s="270"/>
      <c r="W14" s="271"/>
      <c r="X14" s="341"/>
      <c r="Y14" s="401"/>
      <c r="Z14" s="401"/>
      <c r="AA14" s="401"/>
      <c r="AB14" s="408" t="s">
        <v>689</v>
      </c>
      <c r="AC14" s="403"/>
      <c r="AD14" s="310"/>
      <c r="AE14" s="407" t="s">
        <v>478</v>
      </c>
      <c r="AF14" s="220">
        <v>22</v>
      </c>
      <c r="AG14" s="441">
        <f>SUMIF($B$9:$T$36,AF14,'SEN COUNT'!$B$9:$T$36)</f>
        <v>0</v>
      </c>
      <c r="AH14" s="441"/>
      <c r="AI14" s="442"/>
      <c r="AJ14" s="441"/>
      <c r="AK14" s="310"/>
      <c r="AL14" s="443" t="s">
        <v>690</v>
      </c>
    </row>
    <row r="15" spans="1:38" ht="15" customHeight="1">
      <c r="A15" s="241">
        <v>44935</v>
      </c>
      <c r="B15" s="455">
        <v>25</v>
      </c>
      <c r="C15" s="456">
        <v>200</v>
      </c>
      <c r="D15" s="257">
        <v>0.34375</v>
      </c>
      <c r="E15" s="258" t="s">
        <v>145</v>
      </c>
      <c r="F15" s="259">
        <v>0.39374999999999999</v>
      </c>
      <c r="G15" s="260">
        <f>F15-D15</f>
        <v>4.9999999999999989E-2</v>
      </c>
      <c r="H15" s="455">
        <v>114</v>
      </c>
      <c r="I15" s="322">
        <v>0.34375</v>
      </c>
      <c r="J15" s="323" t="s">
        <v>145</v>
      </c>
      <c r="K15" s="324">
        <v>0.42708333333333298</v>
      </c>
      <c r="L15" s="260">
        <f>K15-I15</f>
        <v>8.3333333333332982E-2</v>
      </c>
      <c r="M15" s="478" t="s">
        <v>148</v>
      </c>
      <c r="N15" s="325" t="s">
        <v>691</v>
      </c>
      <c r="O15" s="334"/>
      <c r="P15" s="335"/>
      <c r="Q15" s="360"/>
      <c r="R15" s="361"/>
      <c r="S15" s="336"/>
      <c r="T15" s="334"/>
      <c r="U15" s="335"/>
      <c r="V15" s="360"/>
      <c r="W15" s="361"/>
      <c r="X15" s="362"/>
      <c r="Y15" s="409" t="s">
        <v>692</v>
      </c>
      <c r="Z15" s="409" t="s">
        <v>692</v>
      </c>
      <c r="AA15" s="410" t="s">
        <v>692</v>
      </c>
      <c r="AB15" s="411" t="s">
        <v>693</v>
      </c>
      <c r="AC15" s="411" t="s">
        <v>694</v>
      </c>
      <c r="AD15" s="310"/>
      <c r="AE15" s="412" t="s">
        <v>479</v>
      </c>
      <c r="AF15" s="220">
        <v>25</v>
      </c>
      <c r="AG15" s="441">
        <f>SUMIF($B$9:$T$36,AF15,'SEN COUNT'!$B$9:$T$36)</f>
        <v>13.899999999999999</v>
      </c>
      <c r="AH15" s="441"/>
      <c r="AI15" s="442"/>
      <c r="AJ15" s="441"/>
      <c r="AK15" s="310"/>
      <c r="AL15" s="443" t="s">
        <v>695</v>
      </c>
    </row>
    <row r="16" spans="1:38" ht="15" customHeight="1">
      <c r="A16" s="245"/>
      <c r="B16" s="457">
        <v>25</v>
      </c>
      <c r="C16" s="458"/>
      <c r="D16" s="269">
        <v>0.41666666666666702</v>
      </c>
      <c r="E16" s="276" t="s">
        <v>145</v>
      </c>
      <c r="F16" s="271">
        <v>0.46666666666666701</v>
      </c>
      <c r="G16" s="260">
        <f>F16-D16</f>
        <v>4.9999999999999989E-2</v>
      </c>
      <c r="H16" s="457">
        <v>152</v>
      </c>
      <c r="I16" s="322">
        <v>0.42708333333333298</v>
      </c>
      <c r="J16" s="323" t="s">
        <v>145</v>
      </c>
      <c r="K16" s="324">
        <v>0.51041666666666696</v>
      </c>
      <c r="L16" s="260">
        <f>K16-I16</f>
        <v>8.3333333333333981E-2</v>
      </c>
      <c r="M16" s="480" t="s">
        <v>50</v>
      </c>
      <c r="N16" s="336" t="s">
        <v>696</v>
      </c>
      <c r="O16" s="334"/>
      <c r="P16" s="335"/>
      <c r="Q16" s="360"/>
      <c r="R16" s="363"/>
      <c r="S16" s="336"/>
      <c r="T16" s="334"/>
      <c r="U16" s="335"/>
      <c r="V16" s="360"/>
      <c r="W16" s="363"/>
      <c r="X16" s="362"/>
      <c r="Y16" s="409"/>
      <c r="Z16" s="409"/>
      <c r="AA16" s="410" t="s">
        <v>697</v>
      </c>
      <c r="AB16" s="411" t="s">
        <v>698</v>
      </c>
      <c r="AC16" s="411"/>
      <c r="AD16" s="310"/>
      <c r="AE16" s="407" t="s">
        <v>480</v>
      </c>
      <c r="AF16" s="220">
        <v>32</v>
      </c>
      <c r="AG16" s="441">
        <f>SUMIF($B$9:$T$36,AF16,'SEN COUNT'!$B$9:$T$36)</f>
        <v>0</v>
      </c>
      <c r="AH16" s="441"/>
      <c r="AI16" s="442"/>
      <c r="AJ16" s="441"/>
      <c r="AK16" s="310"/>
      <c r="AL16" s="443" t="s">
        <v>699</v>
      </c>
    </row>
    <row r="17" spans="1:38" ht="15" customHeight="1">
      <c r="A17" s="266" t="s">
        <v>452</v>
      </c>
      <c r="B17" s="386"/>
      <c r="C17" s="462"/>
      <c r="D17" s="269"/>
      <c r="E17" s="276"/>
      <c r="F17" s="271"/>
      <c r="G17" s="260"/>
      <c r="H17" s="386"/>
      <c r="I17" s="269"/>
      <c r="J17" s="270"/>
      <c r="K17" s="271"/>
      <c r="L17" s="337"/>
      <c r="M17" s="480"/>
      <c r="N17" s="336"/>
      <c r="O17" s="334"/>
      <c r="P17" s="338"/>
      <c r="Q17" s="364"/>
      <c r="R17" s="365"/>
      <c r="S17" s="337"/>
      <c r="T17" s="334"/>
      <c r="U17" s="338"/>
      <c r="V17" s="364"/>
      <c r="W17" s="365"/>
      <c r="X17" s="337"/>
      <c r="Y17" s="413"/>
      <c r="Z17" s="413"/>
      <c r="AA17" s="414"/>
      <c r="AB17" s="415"/>
      <c r="AC17" s="416"/>
      <c r="AD17" s="310"/>
      <c r="AE17" s="407" t="s">
        <v>481</v>
      </c>
      <c r="AF17" s="220">
        <v>37</v>
      </c>
      <c r="AG17" s="441">
        <f>SUMIF($B$9:$T$36,AF17,'SEN COUNT'!$B$9:$T$36)</f>
        <v>0</v>
      </c>
      <c r="AH17" s="441"/>
      <c r="AI17" s="442"/>
      <c r="AJ17" s="441"/>
      <c r="AK17" s="310"/>
      <c r="AL17" s="445" t="s">
        <v>700</v>
      </c>
    </row>
    <row r="18" spans="1:38" ht="15" customHeight="1">
      <c r="A18" s="241">
        <v>44936</v>
      </c>
      <c r="B18" s="455">
        <v>213</v>
      </c>
      <c r="C18" s="463"/>
      <c r="D18" s="257">
        <v>0.34375</v>
      </c>
      <c r="E18" s="258" t="s">
        <v>145</v>
      </c>
      <c r="F18" s="259">
        <v>0.38680555555555601</v>
      </c>
      <c r="G18" s="260">
        <f>F18-D18</f>
        <v>4.3055555555556013E-2</v>
      </c>
      <c r="H18" s="455">
        <v>140</v>
      </c>
      <c r="I18" s="322">
        <v>0.33680555555555602</v>
      </c>
      <c r="J18" s="323" t="s">
        <v>145</v>
      </c>
      <c r="K18" s="324">
        <v>0.41666666666666702</v>
      </c>
      <c r="L18" s="260">
        <f>K18-I18</f>
        <v>7.9861111111110994E-2</v>
      </c>
      <c r="M18" s="478"/>
      <c r="N18" s="325"/>
      <c r="O18" s="326"/>
      <c r="P18" s="296"/>
      <c r="Q18" s="356"/>
      <c r="R18" s="297"/>
      <c r="S18" s="325"/>
      <c r="T18" s="326"/>
      <c r="U18" s="296"/>
      <c r="V18" s="356"/>
      <c r="W18" s="366"/>
      <c r="X18" s="260"/>
      <c r="Y18" s="394" t="s">
        <v>215</v>
      </c>
      <c r="Z18" s="394" t="s">
        <v>215</v>
      </c>
      <c r="AA18" s="394" t="s">
        <v>671</v>
      </c>
      <c r="AB18" s="395" t="s">
        <v>701</v>
      </c>
      <c r="AC18" s="395" t="s">
        <v>702</v>
      </c>
      <c r="AD18" s="310"/>
      <c r="AE18" s="417" t="s">
        <v>482</v>
      </c>
      <c r="AF18" s="222">
        <v>39</v>
      </c>
      <c r="AG18" s="441">
        <f>SUMIF($B$9:$T$36,AF18,'SEN COUNT'!$B$9:$T$36)</f>
        <v>0</v>
      </c>
      <c r="AH18" s="441"/>
      <c r="AI18" s="442"/>
      <c r="AJ18" s="441"/>
      <c r="AK18" s="310"/>
      <c r="AL18" s="310"/>
    </row>
    <row r="19" spans="1:38" ht="15" customHeight="1">
      <c r="A19" s="245"/>
      <c r="B19" s="457">
        <v>213</v>
      </c>
      <c r="C19" s="458"/>
      <c r="D19" s="263">
        <v>0.40625</v>
      </c>
      <c r="E19" s="264" t="s">
        <v>145</v>
      </c>
      <c r="F19" s="265">
        <v>0.42708333333333298</v>
      </c>
      <c r="G19" s="260">
        <f>F19-D19</f>
        <v>2.0833333333332982E-2</v>
      </c>
      <c r="H19" s="457">
        <v>25</v>
      </c>
      <c r="I19" s="322">
        <v>0.41666666666666702</v>
      </c>
      <c r="J19" s="323" t="s">
        <v>145</v>
      </c>
      <c r="K19" s="324">
        <v>0.5</v>
      </c>
      <c r="L19" s="260">
        <f>K19-I19</f>
        <v>8.3333333333332982E-2</v>
      </c>
      <c r="M19" s="480" t="s">
        <v>148</v>
      </c>
      <c r="N19" s="336" t="s">
        <v>673</v>
      </c>
      <c r="O19" s="334"/>
      <c r="P19" s="335"/>
      <c r="Q19" s="360"/>
      <c r="R19" s="363"/>
      <c r="S19" s="336"/>
      <c r="T19" s="334"/>
      <c r="U19" s="335"/>
      <c r="V19" s="360"/>
      <c r="W19" s="363"/>
      <c r="X19" s="362"/>
      <c r="Y19" s="409"/>
      <c r="Z19" s="409"/>
      <c r="AA19" s="418" t="s">
        <v>674</v>
      </c>
      <c r="AB19" s="411"/>
      <c r="AC19" s="411"/>
      <c r="AD19" s="310"/>
      <c r="AE19" s="405" t="s">
        <v>483</v>
      </c>
      <c r="AF19" s="406">
        <v>49</v>
      </c>
      <c r="AG19" s="441">
        <f>SUMIF($B$9:$T$36,AF19,'SEN COUNT'!$B$9:$T$36)</f>
        <v>3.3666666666666667</v>
      </c>
      <c r="AH19" s="441"/>
      <c r="AI19" s="442"/>
      <c r="AJ19" s="441"/>
      <c r="AK19" s="310"/>
      <c r="AL19" s="310"/>
    </row>
    <row r="20" spans="1:38" ht="15" customHeight="1">
      <c r="A20" s="245"/>
      <c r="B20" s="331"/>
      <c r="C20" s="458"/>
      <c r="D20" s="282"/>
      <c r="E20" s="283"/>
      <c r="F20" s="284"/>
      <c r="G20" s="260"/>
      <c r="H20" s="457">
        <v>201</v>
      </c>
      <c r="I20" s="322">
        <v>0.5</v>
      </c>
      <c r="J20" s="323" t="s">
        <v>145</v>
      </c>
      <c r="K20" s="324">
        <v>0.56041666666666701</v>
      </c>
      <c r="L20" s="260">
        <f>K20-I20</f>
        <v>6.0416666666667007E-2</v>
      </c>
      <c r="M20" s="480" t="s">
        <v>50</v>
      </c>
      <c r="N20" s="336" t="s">
        <v>703</v>
      </c>
      <c r="O20" s="334"/>
      <c r="P20" s="335"/>
      <c r="Q20" s="360"/>
      <c r="R20" s="363"/>
      <c r="S20" s="336"/>
      <c r="T20" s="334"/>
      <c r="U20" s="335"/>
      <c r="V20" s="360"/>
      <c r="W20" s="363"/>
      <c r="X20" s="362"/>
      <c r="Y20" s="409"/>
      <c r="Z20" s="409"/>
      <c r="AA20" s="409"/>
      <c r="AB20" s="411"/>
      <c r="AC20" s="411"/>
      <c r="AD20" s="310"/>
      <c r="AE20" s="407" t="s">
        <v>485</v>
      </c>
      <c r="AF20" s="220">
        <v>67</v>
      </c>
      <c r="AG20" s="441">
        <f>SUMIF($B$9:$T$36,AF20,'SEN COUNT'!$B$9:$T$36)</f>
        <v>0</v>
      </c>
      <c r="AH20" s="441"/>
      <c r="AI20" s="442"/>
      <c r="AJ20" s="441"/>
      <c r="AK20" s="310"/>
      <c r="AL20" s="310"/>
    </row>
    <row r="21" spans="1:38" ht="15" customHeight="1">
      <c r="A21" s="266" t="s">
        <v>704</v>
      </c>
      <c r="B21" s="333"/>
      <c r="C21" s="459"/>
      <c r="D21" s="269"/>
      <c r="E21" s="270"/>
      <c r="F21" s="271"/>
      <c r="G21" s="260"/>
      <c r="H21" s="333"/>
      <c r="I21" s="275"/>
      <c r="J21" s="276"/>
      <c r="K21" s="277"/>
      <c r="L21" s="337"/>
      <c r="M21" s="481"/>
      <c r="N21" s="339"/>
      <c r="O21" s="340"/>
      <c r="P21" s="338"/>
      <c r="Q21" s="364"/>
      <c r="R21" s="365"/>
      <c r="S21" s="339"/>
      <c r="T21" s="340"/>
      <c r="U21" s="338"/>
      <c r="V21" s="364"/>
      <c r="W21" s="365"/>
      <c r="X21" s="337"/>
      <c r="Y21" s="409"/>
      <c r="Z21" s="409"/>
      <c r="AA21" s="413"/>
      <c r="AB21" s="413" t="s">
        <v>705</v>
      </c>
      <c r="AC21" s="416"/>
      <c r="AD21" s="310"/>
      <c r="AE21" s="407" t="s">
        <v>487</v>
      </c>
      <c r="AF21" s="220">
        <v>72</v>
      </c>
      <c r="AG21" s="441">
        <f>SUMIF($B$9:$T$36,AF21,'SEN COUNT'!$B$9:$T$36)</f>
        <v>3.2</v>
      </c>
      <c r="AH21" s="441"/>
      <c r="AI21" s="442"/>
      <c r="AJ21" s="441"/>
      <c r="AK21" s="310"/>
      <c r="AL21" s="310"/>
    </row>
    <row r="22" spans="1:38" ht="15" customHeight="1">
      <c r="A22" s="241">
        <v>44937</v>
      </c>
      <c r="B22" s="455">
        <v>213</v>
      </c>
      <c r="C22" s="456">
        <v>200</v>
      </c>
      <c r="D22" s="257">
        <v>0.33680555555555602</v>
      </c>
      <c r="E22" s="258" t="s">
        <v>145</v>
      </c>
      <c r="F22" s="285">
        <v>0.38680555555555601</v>
      </c>
      <c r="G22" s="260">
        <f t="shared" ref="G22:G28" si="0">F22-D22</f>
        <v>4.9999999999999989E-2</v>
      </c>
      <c r="H22" s="455">
        <v>140</v>
      </c>
      <c r="I22" s="257">
        <v>0.33680555555555602</v>
      </c>
      <c r="J22" s="258" t="s">
        <v>145</v>
      </c>
      <c r="K22" s="259">
        <v>0.44722222222222202</v>
      </c>
      <c r="L22" s="260">
        <f>K22-I22</f>
        <v>0.110416666666666</v>
      </c>
      <c r="M22" s="478"/>
      <c r="N22" s="325"/>
      <c r="O22" s="326"/>
      <c r="P22" s="296"/>
      <c r="Q22" s="356"/>
      <c r="R22" s="297"/>
      <c r="S22" s="325"/>
      <c r="T22" s="326"/>
      <c r="U22" s="296"/>
      <c r="V22" s="356"/>
      <c r="W22" s="297"/>
      <c r="X22" s="260"/>
      <c r="Y22" s="394" t="s">
        <v>671</v>
      </c>
      <c r="Z22" s="394" t="s">
        <v>671</v>
      </c>
      <c r="AA22" s="394" t="s">
        <v>215</v>
      </c>
      <c r="AB22" s="394" t="s">
        <v>671</v>
      </c>
      <c r="AC22" s="395" t="s">
        <v>706</v>
      </c>
      <c r="AD22" s="310"/>
      <c r="AE22" s="407" t="s">
        <v>488</v>
      </c>
      <c r="AF22" s="220">
        <v>73</v>
      </c>
      <c r="AG22" s="441">
        <f>SUMIF($B$9:$T$36,AF22,'SEN COUNT'!$B$9:$T$36)</f>
        <v>0</v>
      </c>
      <c r="AH22" s="441"/>
      <c r="AI22" s="442"/>
      <c r="AJ22" s="441"/>
      <c r="AK22" s="310"/>
      <c r="AL22" s="310"/>
    </row>
    <row r="23" spans="1:38" ht="15" customHeight="1">
      <c r="A23" s="266" t="s">
        <v>707</v>
      </c>
      <c r="B23" s="460">
        <v>213</v>
      </c>
      <c r="C23" s="459"/>
      <c r="D23" s="263">
        <v>0.40625</v>
      </c>
      <c r="E23" s="264" t="s">
        <v>145</v>
      </c>
      <c r="F23" s="265">
        <v>0.42708333333333298</v>
      </c>
      <c r="G23" s="260">
        <f t="shared" si="0"/>
        <v>2.0833333333332982E-2</v>
      </c>
      <c r="H23" s="333"/>
      <c r="I23" s="275"/>
      <c r="J23" s="276"/>
      <c r="K23" s="277"/>
      <c r="L23" s="298"/>
      <c r="M23" s="482" t="s">
        <v>148</v>
      </c>
      <c r="N23" s="341" t="s">
        <v>708</v>
      </c>
      <c r="O23" s="333"/>
      <c r="P23" s="269"/>
      <c r="Q23" s="270"/>
      <c r="R23" s="359"/>
      <c r="S23" s="341"/>
      <c r="T23" s="333"/>
      <c r="U23" s="269"/>
      <c r="V23" s="270"/>
      <c r="W23" s="271"/>
      <c r="X23" s="337"/>
      <c r="Y23" s="409"/>
      <c r="Z23" s="418" t="s">
        <v>674</v>
      </c>
      <c r="AA23" s="414"/>
      <c r="AB23" s="413"/>
      <c r="AC23" s="416"/>
      <c r="AD23" s="310"/>
      <c r="AE23" s="407" t="s">
        <v>490</v>
      </c>
      <c r="AF23" s="220">
        <v>78</v>
      </c>
      <c r="AG23" s="441">
        <f>SUMIF($B$9:$T$36,AF23,'SEN COUNT'!$B$9:$T$36)</f>
        <v>0</v>
      </c>
      <c r="AH23" s="441"/>
      <c r="AI23" s="442"/>
      <c r="AJ23" s="441"/>
      <c r="AK23" s="310"/>
      <c r="AL23" s="310"/>
    </row>
    <row r="24" spans="1:38" ht="15" customHeight="1">
      <c r="A24" s="241">
        <v>44938</v>
      </c>
      <c r="B24" s="455">
        <v>25</v>
      </c>
      <c r="C24" s="456">
        <v>201</v>
      </c>
      <c r="D24" s="286">
        <v>0.33680555555555602</v>
      </c>
      <c r="E24" s="287" t="s">
        <v>145</v>
      </c>
      <c r="F24" s="288">
        <v>0.38888888888888901</v>
      </c>
      <c r="G24" s="260">
        <f t="shared" si="0"/>
        <v>5.2083333333332982E-2</v>
      </c>
      <c r="H24" s="326"/>
      <c r="I24" s="257"/>
      <c r="J24" s="258"/>
      <c r="K24" s="259"/>
      <c r="L24" s="260"/>
      <c r="M24" s="478"/>
      <c r="N24" s="325"/>
      <c r="O24" s="326"/>
      <c r="P24" s="257"/>
      <c r="Q24" s="258"/>
      <c r="R24" s="259"/>
      <c r="S24" s="325"/>
      <c r="T24" s="326"/>
      <c r="U24" s="257"/>
      <c r="V24" s="258"/>
      <c r="W24" s="259"/>
      <c r="X24" s="362"/>
      <c r="Y24" s="394" t="s">
        <v>709</v>
      </c>
      <c r="Z24" s="394" t="s">
        <v>709</v>
      </c>
      <c r="AA24" s="419" t="s">
        <v>710</v>
      </c>
      <c r="AB24" s="395"/>
      <c r="AC24" s="395"/>
      <c r="AD24" s="310"/>
      <c r="AE24" s="407" t="s">
        <v>492</v>
      </c>
      <c r="AF24" s="220">
        <v>84</v>
      </c>
      <c r="AG24" s="441">
        <f>SUMIF($B$9:$T$36,AF24,'SEN COUNT'!$B$9:$T$36)</f>
        <v>0</v>
      </c>
      <c r="AH24" s="441"/>
      <c r="AI24" s="442"/>
      <c r="AJ24" s="441"/>
      <c r="AK24" s="310"/>
      <c r="AL24" s="310"/>
    </row>
    <row r="25" spans="1:38" ht="15" customHeight="1">
      <c r="A25" s="245" t="s">
        <v>677</v>
      </c>
      <c r="B25" s="464">
        <v>25</v>
      </c>
      <c r="C25" s="465"/>
      <c r="D25" s="286">
        <v>0.38888888888888901</v>
      </c>
      <c r="E25" s="287" t="s">
        <v>145</v>
      </c>
      <c r="F25" s="288">
        <v>0.420833333333333</v>
      </c>
      <c r="G25" s="260">
        <f t="shared" si="0"/>
        <v>3.1944444444443998E-2</v>
      </c>
      <c r="H25" s="464">
        <v>85</v>
      </c>
      <c r="I25" s="257">
        <v>0.40625</v>
      </c>
      <c r="J25" s="258" t="s">
        <v>145</v>
      </c>
      <c r="K25" s="259">
        <v>0.50486111111111098</v>
      </c>
      <c r="L25" s="260">
        <f>K25-I25</f>
        <v>9.8611111111110983E-2</v>
      </c>
      <c r="M25" s="480" t="s">
        <v>50</v>
      </c>
      <c r="N25" s="336" t="s">
        <v>711</v>
      </c>
      <c r="O25" s="340"/>
      <c r="P25" s="338"/>
      <c r="Q25" s="364"/>
      <c r="R25" s="365"/>
      <c r="S25" s="339"/>
      <c r="T25" s="340"/>
      <c r="U25" s="338"/>
      <c r="V25" s="364"/>
      <c r="W25" s="367"/>
      <c r="X25" s="362"/>
      <c r="Y25" s="420" t="s">
        <v>712</v>
      </c>
      <c r="Z25" s="420" t="s">
        <v>712</v>
      </c>
      <c r="AA25" s="421" t="s">
        <v>713</v>
      </c>
      <c r="AB25" s="395" t="s">
        <v>697</v>
      </c>
      <c r="AC25" s="395" t="s">
        <v>714</v>
      </c>
      <c r="AD25" s="310"/>
      <c r="AE25" s="412" t="s">
        <v>494</v>
      </c>
      <c r="AF25" s="220">
        <v>85</v>
      </c>
      <c r="AG25" s="441">
        <f>SUMIF($B$9:$T$36,AF25,'SEN COUNT'!$B$9:$T$36)</f>
        <v>10.649999999999999</v>
      </c>
      <c r="AH25" s="441"/>
      <c r="AI25" s="442"/>
      <c r="AJ25" s="441"/>
      <c r="AK25" s="310"/>
      <c r="AL25" s="310"/>
    </row>
    <row r="26" spans="1:38" ht="15" customHeight="1">
      <c r="A26" s="222"/>
      <c r="B26" s="333"/>
      <c r="C26" s="459" t="s">
        <v>715</v>
      </c>
      <c r="D26" s="263">
        <v>0.40625</v>
      </c>
      <c r="E26" s="264" t="s">
        <v>145</v>
      </c>
      <c r="F26" s="265">
        <v>0.42708333333333298</v>
      </c>
      <c r="G26" s="260">
        <f t="shared" si="0"/>
        <v>2.0833333333332982E-2</v>
      </c>
      <c r="H26" s="460">
        <v>140</v>
      </c>
      <c r="I26" s="342">
        <v>0.52430555555555602</v>
      </c>
      <c r="J26" s="343" t="s">
        <v>145</v>
      </c>
      <c r="K26" s="344">
        <v>0.60416666666666696</v>
      </c>
      <c r="L26" s="260">
        <f>K26-I26</f>
        <v>7.9861111111110938E-2</v>
      </c>
      <c r="M26" s="479" t="s">
        <v>148</v>
      </c>
      <c r="N26" s="330" t="s">
        <v>716</v>
      </c>
      <c r="O26" s="333"/>
      <c r="P26" s="275"/>
      <c r="Q26" s="276"/>
      <c r="R26" s="368"/>
      <c r="S26" s="341"/>
      <c r="T26" s="484">
        <v>201</v>
      </c>
      <c r="U26" s="370">
        <v>0.40625</v>
      </c>
      <c r="V26" s="371" t="s">
        <v>145</v>
      </c>
      <c r="W26" s="372">
        <v>0.42708333333333298</v>
      </c>
      <c r="X26" s="260">
        <f>W26-U26</f>
        <v>2.0833333333332982E-2</v>
      </c>
      <c r="Y26" s="420"/>
      <c r="Z26" s="422" t="s">
        <v>674</v>
      </c>
      <c r="AA26" s="423"/>
      <c r="AB26" s="424"/>
      <c r="AC26" s="424" t="s">
        <v>717</v>
      </c>
      <c r="AD26" s="310"/>
      <c r="AE26" s="407" t="s">
        <v>495</v>
      </c>
      <c r="AF26" s="220">
        <v>86</v>
      </c>
      <c r="AG26" s="441">
        <f>SUMIF($B$9:$T$36,AF26,'SEN COUNT'!$B$9:$T$36)</f>
        <v>0</v>
      </c>
      <c r="AH26" s="441"/>
      <c r="AI26" s="442"/>
      <c r="AJ26" s="441"/>
      <c r="AK26" s="310"/>
      <c r="AL26" s="310"/>
    </row>
    <row r="27" spans="1:38" ht="15.75" customHeight="1">
      <c r="A27" s="241">
        <v>44939</v>
      </c>
      <c r="B27" s="455">
        <v>213</v>
      </c>
      <c r="C27" s="456">
        <v>72</v>
      </c>
      <c r="D27" s="257">
        <v>0.33680555555555602</v>
      </c>
      <c r="E27" s="258" t="s">
        <v>145</v>
      </c>
      <c r="F27" s="285">
        <v>0.38680555555555601</v>
      </c>
      <c r="G27" s="260">
        <f t="shared" si="0"/>
        <v>4.9999999999999989E-2</v>
      </c>
      <c r="H27" s="455">
        <v>25</v>
      </c>
      <c r="I27" s="257">
        <v>0.33680555555555602</v>
      </c>
      <c r="J27" s="258" t="s">
        <v>145</v>
      </c>
      <c r="K27" s="259">
        <v>0.41666666666666702</v>
      </c>
      <c r="L27" s="260">
        <f>K27-I27</f>
        <v>7.9861111111110994E-2</v>
      </c>
      <c r="M27" s="478"/>
      <c r="N27" s="325"/>
      <c r="O27" s="326"/>
      <c r="P27" s="345"/>
      <c r="Q27" s="373"/>
      <c r="R27" s="374"/>
      <c r="S27" s="375"/>
      <c r="T27" s="326"/>
      <c r="U27" s="296"/>
      <c r="V27" s="356"/>
      <c r="W27" s="297"/>
      <c r="X27" s="260"/>
      <c r="Y27" s="425" t="s">
        <v>671</v>
      </c>
      <c r="Z27" s="425" t="s">
        <v>671</v>
      </c>
      <c r="AA27" s="419" t="s">
        <v>710</v>
      </c>
      <c r="AB27" s="426" t="s">
        <v>718</v>
      </c>
      <c r="AC27" s="426" t="s">
        <v>719</v>
      </c>
      <c r="AD27" s="310"/>
      <c r="AE27" s="405" t="s">
        <v>497</v>
      </c>
      <c r="AF27" s="406">
        <v>90</v>
      </c>
      <c r="AG27" s="441">
        <f>SUMIF($B$9:$T$36,AF27,'SEN COUNT'!$B$9:$T$36)</f>
        <v>0</v>
      </c>
      <c r="AH27" s="441"/>
      <c r="AI27" s="442"/>
      <c r="AJ27" s="441"/>
      <c r="AK27" s="310"/>
      <c r="AL27" s="310"/>
    </row>
    <row r="28" spans="1:38" ht="15" customHeight="1">
      <c r="A28" s="220"/>
      <c r="B28" s="460">
        <v>72</v>
      </c>
      <c r="C28" s="466"/>
      <c r="D28" s="269">
        <v>0.39583333333333298</v>
      </c>
      <c r="E28" s="276" t="s">
        <v>145</v>
      </c>
      <c r="F28" s="271">
        <v>0.45833333333333298</v>
      </c>
      <c r="G28" s="260">
        <f t="shared" si="0"/>
        <v>6.25E-2</v>
      </c>
      <c r="H28" s="460">
        <v>85</v>
      </c>
      <c r="I28" s="257">
        <v>0.41666666666666702</v>
      </c>
      <c r="J28" s="258" t="s">
        <v>145</v>
      </c>
      <c r="K28" s="259">
        <v>0.5</v>
      </c>
      <c r="L28" s="260">
        <f>K28-I28</f>
        <v>8.3333333333332982E-2</v>
      </c>
      <c r="M28" s="479" t="s">
        <v>50</v>
      </c>
      <c r="N28" s="330" t="s">
        <v>720</v>
      </c>
      <c r="O28" s="460">
        <v>213</v>
      </c>
      <c r="P28" s="263">
        <v>0.40625</v>
      </c>
      <c r="Q28" s="264" t="s">
        <v>145</v>
      </c>
      <c r="R28" s="376">
        <v>0.42708333333333298</v>
      </c>
      <c r="S28" s="260">
        <f>R28-P28</f>
        <v>2.0833333333332982E-2</v>
      </c>
      <c r="T28" s="331"/>
      <c r="U28" s="332"/>
      <c r="V28" s="357"/>
      <c r="W28" s="377"/>
      <c r="X28" s="362"/>
      <c r="Y28" s="427" t="s">
        <v>674</v>
      </c>
      <c r="Z28" s="409"/>
      <c r="AA28" s="414" t="s">
        <v>721</v>
      </c>
      <c r="AB28" s="428"/>
      <c r="AC28" s="428"/>
      <c r="AD28" s="310"/>
      <c r="AE28" s="407" t="s">
        <v>498</v>
      </c>
      <c r="AF28" s="220">
        <v>91</v>
      </c>
      <c r="AG28" s="441">
        <f>SUMIF($B$9:$T$36,AF28,'SEN COUNT'!$B$9:$T$36)</f>
        <v>0</v>
      </c>
      <c r="AH28" s="441"/>
      <c r="AI28" s="442"/>
      <c r="AJ28" s="441"/>
      <c r="AK28" s="310"/>
      <c r="AL28" s="310"/>
    </row>
    <row r="29" spans="1:38" ht="15" customHeight="1">
      <c r="A29" s="220"/>
      <c r="B29" s="467"/>
      <c r="C29" s="468"/>
      <c r="D29" s="282"/>
      <c r="E29" s="283"/>
      <c r="F29" s="294"/>
      <c r="G29" s="260"/>
      <c r="H29" s="457">
        <v>201</v>
      </c>
      <c r="I29" s="257">
        <v>0.5</v>
      </c>
      <c r="J29" s="258" t="s">
        <v>145</v>
      </c>
      <c r="K29" s="259">
        <v>0.61458333333333304</v>
      </c>
      <c r="L29" s="260">
        <f>K29-I29</f>
        <v>0.11458333333333304</v>
      </c>
      <c r="M29" s="479" t="s">
        <v>149</v>
      </c>
      <c r="N29" s="330" t="s">
        <v>722</v>
      </c>
      <c r="O29" s="331"/>
      <c r="P29" s="282"/>
      <c r="Q29" s="283"/>
      <c r="R29" s="378"/>
      <c r="S29" s="375"/>
      <c r="T29" s="331"/>
      <c r="U29" s="332"/>
      <c r="V29" s="357"/>
      <c r="W29" s="377"/>
      <c r="X29" s="362"/>
      <c r="Y29" s="429"/>
      <c r="Z29" s="429"/>
      <c r="AA29" s="410"/>
      <c r="AB29" s="428"/>
      <c r="AC29" s="413" t="s">
        <v>722</v>
      </c>
      <c r="AD29" s="310"/>
      <c r="AE29" s="407" t="s">
        <v>489</v>
      </c>
      <c r="AF29" s="220">
        <v>92</v>
      </c>
      <c r="AG29" s="441">
        <f>SUMIF($B$9:$T$36,AF29,'SEN COUNT'!$B$9:$T$36)</f>
        <v>3.2</v>
      </c>
      <c r="AH29" s="441"/>
      <c r="AI29" s="442"/>
      <c r="AJ29" s="441"/>
      <c r="AK29" s="310"/>
      <c r="AL29" s="310"/>
    </row>
    <row r="30" spans="1:38" ht="15" customHeight="1">
      <c r="A30" s="222" t="s">
        <v>687</v>
      </c>
      <c r="B30" s="346"/>
      <c r="C30" s="466"/>
      <c r="D30" s="269"/>
      <c r="E30" s="276"/>
      <c r="F30" s="271"/>
      <c r="G30" s="260"/>
      <c r="H30" s="346"/>
      <c r="I30" s="269"/>
      <c r="J30" s="270"/>
      <c r="K30" s="271"/>
      <c r="L30" s="298"/>
      <c r="M30" s="482"/>
      <c r="N30" s="341"/>
      <c r="O30" s="346"/>
      <c r="P30" s="269"/>
      <c r="Q30" s="270"/>
      <c r="R30" s="359"/>
      <c r="S30" s="260"/>
      <c r="T30" s="333"/>
      <c r="U30" s="269"/>
      <c r="V30" s="270"/>
      <c r="W30" s="271"/>
      <c r="X30" s="337"/>
      <c r="Y30" s="409"/>
      <c r="Z30" s="409"/>
      <c r="AA30" s="414"/>
      <c r="AB30" s="415"/>
      <c r="AC30" s="413"/>
      <c r="AD30" s="310"/>
      <c r="AE30" s="407" t="s">
        <v>499</v>
      </c>
      <c r="AF30" s="220">
        <v>102</v>
      </c>
      <c r="AG30" s="441">
        <f>SUMIF($B$9:$T$36,AF30,'SEN COUNT'!$B$9:$T$36)</f>
        <v>0</v>
      </c>
      <c r="AH30" s="441"/>
      <c r="AI30" s="442"/>
      <c r="AJ30" s="441"/>
      <c r="AK30" s="310"/>
      <c r="AL30" s="310"/>
    </row>
    <row r="31" spans="1:38" ht="15" customHeight="1">
      <c r="A31" s="241">
        <v>44942</v>
      </c>
      <c r="B31" s="455">
        <v>213</v>
      </c>
      <c r="C31" s="456">
        <v>201</v>
      </c>
      <c r="D31" s="296">
        <v>0.34375</v>
      </c>
      <c r="E31" s="258" t="s">
        <v>145</v>
      </c>
      <c r="F31" s="297">
        <v>0.39374999999999999</v>
      </c>
      <c r="G31" s="260">
        <f>F31-D31</f>
        <v>4.9999999999999989E-2</v>
      </c>
      <c r="H31" s="455">
        <v>140</v>
      </c>
      <c r="I31" s="296">
        <v>0.34375</v>
      </c>
      <c r="J31" s="258" t="s">
        <v>145</v>
      </c>
      <c r="K31" s="297">
        <v>0.44791666666666702</v>
      </c>
      <c r="L31" s="260">
        <f>K31-I31</f>
        <v>0.10416666666666702</v>
      </c>
      <c r="M31" s="478" t="s">
        <v>148</v>
      </c>
      <c r="N31" s="325" t="s">
        <v>723</v>
      </c>
      <c r="O31" s="326"/>
      <c r="P31" s="345"/>
      <c r="Q31" s="373"/>
      <c r="R31" s="379"/>
      <c r="S31" s="380"/>
      <c r="T31" s="326"/>
      <c r="U31" s="296"/>
      <c r="V31" s="356"/>
      <c r="W31" s="297"/>
      <c r="X31" s="260"/>
      <c r="Y31" s="394" t="s">
        <v>215</v>
      </c>
      <c r="Z31" s="430" t="s">
        <v>692</v>
      </c>
      <c r="AA31" s="419" t="s">
        <v>724</v>
      </c>
      <c r="AB31" s="430" t="s">
        <v>692</v>
      </c>
      <c r="AC31" s="395" t="s">
        <v>725</v>
      </c>
      <c r="AD31" s="310"/>
      <c r="AE31" s="407" t="s">
        <v>500</v>
      </c>
      <c r="AF31" s="220">
        <v>103</v>
      </c>
      <c r="AG31" s="441">
        <f>SUMIF($B$9:$T$36,AF31,'SEN COUNT'!$B$9:$T$36)</f>
        <v>0</v>
      </c>
      <c r="AH31" s="441"/>
      <c r="AI31" s="442"/>
      <c r="AJ31" s="441"/>
      <c r="AK31" s="310"/>
      <c r="AL31" s="310"/>
    </row>
    <row r="32" spans="1:38" ht="15.75" customHeight="1">
      <c r="A32" s="266" t="s">
        <v>452</v>
      </c>
      <c r="B32" s="333"/>
      <c r="C32" s="459"/>
      <c r="D32" s="269"/>
      <c r="E32" s="270"/>
      <c r="F32" s="271"/>
      <c r="G32" s="298"/>
      <c r="H32" s="333"/>
      <c r="I32" s="269"/>
      <c r="J32" s="270"/>
      <c r="K32" s="271"/>
      <c r="L32" s="298"/>
      <c r="M32" s="482"/>
      <c r="N32" s="341"/>
      <c r="O32" s="333"/>
      <c r="P32" s="269"/>
      <c r="Q32" s="270"/>
      <c r="R32" s="271"/>
      <c r="S32" s="381"/>
      <c r="T32" s="333"/>
      <c r="U32" s="269"/>
      <c r="V32" s="270"/>
      <c r="W32" s="271"/>
      <c r="X32" s="382"/>
      <c r="Y32" s="413"/>
      <c r="Z32" s="431"/>
      <c r="AA32" s="414"/>
      <c r="AB32" s="415"/>
      <c r="AC32" s="415"/>
      <c r="AD32" s="310"/>
      <c r="AE32" s="407" t="s">
        <v>501</v>
      </c>
      <c r="AF32" s="220">
        <v>112</v>
      </c>
      <c r="AG32" s="441">
        <f>SUMIF($B$9:$T$36,AF32,'SEN COUNT'!$B$9:$T$36)</f>
        <v>0</v>
      </c>
      <c r="AH32" s="441"/>
      <c r="AI32" s="442"/>
      <c r="AJ32" s="441"/>
      <c r="AK32" s="310"/>
      <c r="AL32" s="310"/>
    </row>
    <row r="33" spans="1:38" ht="15.75" customHeight="1">
      <c r="A33" s="241">
        <v>44943</v>
      </c>
      <c r="B33" s="469">
        <v>25</v>
      </c>
      <c r="C33" s="456">
        <v>201</v>
      </c>
      <c r="D33" s="257">
        <v>0.33680555555555602</v>
      </c>
      <c r="E33" s="258" t="s">
        <v>145</v>
      </c>
      <c r="F33" s="285">
        <v>0.38680555555555601</v>
      </c>
      <c r="G33" s="260">
        <f>F33-D33</f>
        <v>4.9999999999999989E-2</v>
      </c>
      <c r="H33" s="469">
        <v>49</v>
      </c>
      <c r="I33" s="347">
        <v>0.33680555555555602</v>
      </c>
      <c r="J33" s="258" t="s">
        <v>145</v>
      </c>
      <c r="K33" s="259">
        <v>0.41875000000000001</v>
      </c>
      <c r="L33" s="260">
        <f>K33-I33</f>
        <v>8.1944444444443987E-2</v>
      </c>
      <c r="M33" s="478" t="s">
        <v>50</v>
      </c>
      <c r="N33" s="325" t="s">
        <v>726</v>
      </c>
      <c r="O33" s="326"/>
      <c r="P33" s="296"/>
      <c r="Q33" s="356"/>
      <c r="R33" s="297"/>
      <c r="S33" s="325"/>
      <c r="T33" s="326"/>
      <c r="U33" s="296"/>
      <c r="V33" s="356"/>
      <c r="W33" s="297"/>
      <c r="X33" s="260"/>
      <c r="Y33" s="394" t="s">
        <v>671</v>
      </c>
      <c r="Z33" s="394" t="s">
        <v>215</v>
      </c>
      <c r="AA33" s="419" t="s">
        <v>710</v>
      </c>
      <c r="AB33" s="395" t="s">
        <v>701</v>
      </c>
      <c r="AC33" s="395" t="s">
        <v>727</v>
      </c>
      <c r="AD33" s="310"/>
      <c r="AE33" s="407" t="s">
        <v>502</v>
      </c>
      <c r="AF33" s="220">
        <v>113</v>
      </c>
      <c r="AG33" s="441">
        <f>SUMIF($B$9:$T$36,AF33,'SEN COUNT'!$B$9:$T$36)</f>
        <v>0</v>
      </c>
      <c r="AH33" s="441"/>
      <c r="AI33" s="442"/>
      <c r="AJ33" s="441"/>
      <c r="AK33" s="310"/>
      <c r="AL33" s="310"/>
    </row>
    <row r="34" spans="1:38" ht="15.75" customHeight="1">
      <c r="A34" s="266" t="s">
        <v>704</v>
      </c>
      <c r="B34" s="470"/>
      <c r="C34" s="471"/>
      <c r="D34" s="302"/>
      <c r="E34" s="303"/>
      <c r="F34" s="304"/>
      <c r="G34" s="305"/>
      <c r="H34" s="472">
        <v>49</v>
      </c>
      <c r="I34" s="302">
        <v>0.4375</v>
      </c>
      <c r="J34" s="276" t="s">
        <v>145</v>
      </c>
      <c r="K34" s="304">
        <v>0.47499999999999998</v>
      </c>
      <c r="L34" s="260">
        <f>K34-I34</f>
        <v>3.7499999999999978E-2</v>
      </c>
      <c r="M34" s="479" t="s">
        <v>149</v>
      </c>
      <c r="N34" s="330" t="s">
        <v>728</v>
      </c>
      <c r="O34" s="348"/>
      <c r="P34" s="349"/>
      <c r="Q34" s="383"/>
      <c r="R34" s="384"/>
      <c r="S34" s="385"/>
      <c r="T34" s="386"/>
      <c r="U34" s="269"/>
      <c r="V34" s="270"/>
      <c r="W34" s="271"/>
      <c r="X34" s="387"/>
      <c r="Y34" s="398"/>
      <c r="Z34" s="397"/>
      <c r="AA34" s="432"/>
      <c r="AB34" s="433" t="s">
        <v>729</v>
      </c>
      <c r="AC34" s="434"/>
      <c r="AD34" s="310"/>
      <c r="AE34" s="417" t="s">
        <v>503</v>
      </c>
      <c r="AF34" s="222">
        <v>114</v>
      </c>
      <c r="AG34" s="441">
        <f>SUMIF($B$9:$T$36,AF34,'SEN COUNT'!$B$9:$T$36)</f>
        <v>2.25</v>
      </c>
      <c r="AH34" s="441"/>
      <c r="AI34" s="442"/>
      <c r="AJ34" s="441"/>
      <c r="AK34" s="310"/>
      <c r="AL34" s="310"/>
    </row>
    <row r="35" spans="1:38" ht="15.75" customHeight="1">
      <c r="A35" s="241">
        <v>44944</v>
      </c>
      <c r="B35" s="456">
        <v>25</v>
      </c>
      <c r="C35" s="456">
        <v>85</v>
      </c>
      <c r="D35" s="257">
        <v>0.33680555555555602</v>
      </c>
      <c r="E35" s="258" t="s">
        <v>145</v>
      </c>
      <c r="F35" s="285">
        <v>0.39583333333333298</v>
      </c>
      <c r="G35" s="260">
        <f>F35-D35</f>
        <v>5.9027777777776957E-2</v>
      </c>
      <c r="H35" s="473"/>
      <c r="I35" s="257"/>
      <c r="J35" s="258"/>
      <c r="K35" s="259"/>
      <c r="L35" s="260"/>
      <c r="M35" s="478"/>
      <c r="N35" s="325"/>
      <c r="O35" s="350"/>
      <c r="P35" s="351"/>
      <c r="Q35" s="388"/>
      <c r="R35" s="389"/>
      <c r="S35" s="375"/>
      <c r="T35" s="326"/>
      <c r="U35" s="296"/>
      <c r="V35" s="356"/>
      <c r="W35" s="297"/>
      <c r="X35" s="260"/>
      <c r="Y35" s="394" t="s">
        <v>671</v>
      </c>
      <c r="Z35" s="394" t="s">
        <v>671</v>
      </c>
      <c r="AA35" s="419" t="s">
        <v>710</v>
      </c>
      <c r="AB35" s="395"/>
      <c r="AC35" s="395"/>
      <c r="AD35" s="310"/>
      <c r="AE35" s="435" t="s">
        <v>504</v>
      </c>
      <c r="AF35" s="220">
        <v>118</v>
      </c>
      <c r="AG35" s="441">
        <f>SUMIF($B$9:$T$36,AF35,'SEN COUNT'!$B$9:$T$36)</f>
        <v>0</v>
      </c>
      <c r="AH35" s="441"/>
      <c r="AI35" s="442"/>
      <c r="AJ35" s="441"/>
      <c r="AK35" s="310"/>
      <c r="AL35" s="310"/>
    </row>
    <row r="36" spans="1:38" ht="15.75" customHeight="1">
      <c r="A36" s="266" t="s">
        <v>707</v>
      </c>
      <c r="B36" s="474">
        <v>25</v>
      </c>
      <c r="C36" s="474">
        <v>85</v>
      </c>
      <c r="D36" s="257">
        <v>0.39583333333333298</v>
      </c>
      <c r="E36" s="258" t="s">
        <v>145</v>
      </c>
      <c r="F36" s="285">
        <v>0.45624999999999999</v>
      </c>
      <c r="G36" s="260">
        <f>F36-D36</f>
        <v>6.0416666666667007E-2</v>
      </c>
      <c r="H36" s="475">
        <v>140</v>
      </c>
      <c r="I36" s="257">
        <v>0.40625</v>
      </c>
      <c r="J36" s="258" t="s">
        <v>145</v>
      </c>
      <c r="K36" s="259">
        <v>0.5</v>
      </c>
      <c r="L36" s="260">
        <f>K36-I36</f>
        <v>9.375E-2</v>
      </c>
      <c r="M36" s="479" t="s">
        <v>148</v>
      </c>
      <c r="N36" s="330" t="s">
        <v>721</v>
      </c>
      <c r="O36" s="346"/>
      <c r="P36" s="269"/>
      <c r="Q36" s="270"/>
      <c r="R36" s="271"/>
      <c r="S36" s="298"/>
      <c r="T36" s="333"/>
      <c r="U36" s="269"/>
      <c r="V36" s="270"/>
      <c r="W36" s="271"/>
      <c r="X36" s="337"/>
      <c r="Y36" s="401" t="s">
        <v>684</v>
      </c>
      <c r="Z36" s="401" t="s">
        <v>684</v>
      </c>
      <c r="AA36" s="436" t="s">
        <v>730</v>
      </c>
      <c r="AB36" s="395" t="s">
        <v>685</v>
      </c>
      <c r="AC36" s="395" t="s">
        <v>731</v>
      </c>
      <c r="AD36" s="310"/>
      <c r="AE36" s="435" t="s">
        <v>505</v>
      </c>
      <c r="AF36" s="220">
        <v>120</v>
      </c>
      <c r="AG36" s="441">
        <f>SUMIF($B$9:$T$36,AF36,'SEN COUNT'!$B$9:$T$36)</f>
        <v>0</v>
      </c>
      <c r="AH36" s="441"/>
      <c r="AI36" s="442"/>
      <c r="AJ36" s="441"/>
      <c r="AK36" s="310"/>
      <c r="AL36" s="310"/>
    </row>
    <row r="37" spans="1:38" ht="15" customHeight="1">
      <c r="A37" s="310"/>
      <c r="B37" s="310"/>
      <c r="C37" s="310"/>
      <c r="D37" s="310"/>
      <c r="E37" s="310"/>
      <c r="F37" s="311"/>
      <c r="G37" s="311"/>
      <c r="H37" s="476">
        <v>201</v>
      </c>
      <c r="I37" s="257">
        <v>0.5</v>
      </c>
      <c r="J37" s="258" t="s">
        <v>145</v>
      </c>
      <c r="K37" s="259">
        <v>0.55208333333333304</v>
      </c>
      <c r="L37" s="260">
        <f>K37-I37</f>
        <v>5.2083333333333037E-2</v>
      </c>
      <c r="M37" s="483" t="s">
        <v>50</v>
      </c>
      <c r="N37" s="352" t="s">
        <v>732</v>
      </c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310"/>
      <c r="AB37" s="403" t="s">
        <v>733</v>
      </c>
      <c r="AC37" s="403"/>
      <c r="AD37" s="310"/>
      <c r="AE37" s="435" t="s">
        <v>506</v>
      </c>
      <c r="AF37" s="220">
        <v>128</v>
      </c>
      <c r="AG37" s="441">
        <f>SUMIF($B$9:$T$36,AF37,'SEN COUNT'!$B$9:$T$36)</f>
        <v>0</v>
      </c>
      <c r="AH37" s="441"/>
      <c r="AI37" s="442"/>
      <c r="AJ37" s="441"/>
      <c r="AK37" s="310"/>
      <c r="AL37" s="310"/>
    </row>
    <row r="38" spans="1:38" ht="15" customHeight="1">
      <c r="A38" s="310"/>
      <c r="B38" s="310"/>
      <c r="C38" s="310"/>
      <c r="D38" s="310"/>
      <c r="E38" s="310"/>
      <c r="F38" s="311"/>
      <c r="G38" s="311"/>
      <c r="H38" s="1"/>
      <c r="I38" s="353"/>
      <c r="J38" s="353"/>
      <c r="K38" s="353"/>
      <c r="L38" s="353"/>
      <c r="M38" s="353"/>
      <c r="N38" s="353"/>
      <c r="O38" s="310"/>
      <c r="P38" s="310"/>
      <c r="Q38" s="310"/>
      <c r="R38" s="310"/>
      <c r="S38" s="310"/>
      <c r="T38" s="310"/>
      <c r="U38" s="390"/>
      <c r="V38" s="310"/>
      <c r="W38" s="310"/>
      <c r="X38" s="310"/>
      <c r="Y38" s="310"/>
      <c r="Z38" s="310"/>
      <c r="AA38" s="310"/>
      <c r="AB38" s="310"/>
      <c r="AC38" s="310"/>
      <c r="AD38" s="310"/>
      <c r="AE38" s="435" t="s">
        <v>491</v>
      </c>
      <c r="AF38" s="220">
        <v>129</v>
      </c>
      <c r="AG38" s="441">
        <f>SUMIF($B$9:$T$36,AF38,'SEN COUNT'!$B$9:$T$36)</f>
        <v>0</v>
      </c>
      <c r="AH38" s="441"/>
      <c r="AI38" s="442"/>
      <c r="AJ38" s="441"/>
      <c r="AK38" s="310"/>
      <c r="AL38" s="310"/>
    </row>
    <row r="39" spans="1:38" ht="15" customHeight="1">
      <c r="A39" s="313" t="s">
        <v>734</v>
      </c>
      <c r="B39" s="310"/>
      <c r="C39" s="310"/>
      <c r="D39" s="310"/>
      <c r="E39" s="310"/>
      <c r="F39" s="311"/>
      <c r="G39" s="311"/>
      <c r="H39" s="1"/>
      <c r="I39" s="353"/>
      <c r="J39" s="353"/>
      <c r="K39" s="353"/>
      <c r="L39" s="353"/>
      <c r="M39" s="353"/>
      <c r="N39" s="353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435" t="s">
        <v>484</v>
      </c>
      <c r="AF39" s="220">
        <v>134</v>
      </c>
      <c r="AG39" s="441">
        <f>SUMIF($B$9:$T$36,AF39,'SEN COUNT'!$B$9:$T$36)</f>
        <v>0</v>
      </c>
      <c r="AH39" s="441"/>
      <c r="AI39" s="442"/>
      <c r="AJ39" s="441"/>
      <c r="AK39" s="310"/>
      <c r="AL39" s="310"/>
    </row>
    <row r="40" spans="1:38" ht="15" customHeight="1">
      <c r="A40" s="310"/>
      <c r="B40" s="310"/>
      <c r="C40" s="310"/>
      <c r="D40" s="310"/>
      <c r="E40" s="310"/>
      <c r="F40" s="311"/>
      <c r="G40" s="311"/>
      <c r="H40" s="1"/>
      <c r="I40" s="353"/>
      <c r="J40" s="353"/>
      <c r="K40" s="353"/>
      <c r="L40" s="353"/>
      <c r="M40" s="353"/>
      <c r="N40" s="353"/>
      <c r="O40" s="310"/>
      <c r="P40" s="310"/>
      <c r="Q40" s="310"/>
      <c r="R40" s="310"/>
      <c r="S40" s="310"/>
      <c r="T40" s="310"/>
      <c r="U40" s="310"/>
      <c r="V40" s="310"/>
      <c r="W40" s="310"/>
      <c r="X40" s="310"/>
      <c r="Y40" s="310"/>
      <c r="Z40" s="310"/>
      <c r="AA40" s="310"/>
      <c r="AB40" s="310"/>
      <c r="AC40" s="310"/>
      <c r="AD40" s="310"/>
      <c r="AE40" s="435" t="s">
        <v>486</v>
      </c>
      <c r="AF40" s="220">
        <v>135</v>
      </c>
      <c r="AG40" s="441">
        <f>SUMIF($B$9:$T$36,AF40,'SEN COUNT'!$B$9:$T$36)</f>
        <v>0</v>
      </c>
      <c r="AH40" s="441"/>
      <c r="AI40" s="442"/>
      <c r="AJ40" s="441"/>
      <c r="AK40" s="310"/>
      <c r="AL40" s="310"/>
    </row>
    <row r="41" spans="1:38" ht="15" customHeight="1">
      <c r="A41" s="310"/>
      <c r="B41" s="310"/>
      <c r="C41" s="310"/>
      <c r="D41" s="310"/>
      <c r="E41" s="310"/>
      <c r="F41" s="311"/>
      <c r="G41" s="311"/>
      <c r="H41" s="1"/>
      <c r="I41" s="353"/>
      <c r="J41" s="353"/>
      <c r="K41" s="353"/>
      <c r="L41" s="353"/>
      <c r="M41" s="353"/>
      <c r="N41" s="353"/>
      <c r="O41" s="310"/>
      <c r="P41" s="310"/>
      <c r="Q41" s="310"/>
      <c r="R41" s="310"/>
      <c r="S41" s="310"/>
      <c r="T41" s="310"/>
      <c r="U41" s="310"/>
      <c r="V41" s="310"/>
      <c r="W41" s="310"/>
      <c r="X41" s="310"/>
      <c r="Y41" s="310"/>
      <c r="Z41" s="310"/>
      <c r="AA41" s="310"/>
      <c r="AB41" s="310"/>
      <c r="AC41" s="310"/>
      <c r="AD41" s="310"/>
      <c r="AE41" s="435" t="s">
        <v>493</v>
      </c>
      <c r="AF41" s="220">
        <v>137</v>
      </c>
      <c r="AG41" s="441">
        <f>SUMIF($B$9:$T$36,AF41,'SEN COUNT'!$B$9:$T$36)</f>
        <v>0</v>
      </c>
      <c r="AH41" s="441"/>
      <c r="AI41" s="442"/>
      <c r="AJ41" s="441"/>
      <c r="AK41" s="310"/>
      <c r="AL41" s="310"/>
    </row>
    <row r="42" spans="1:38" ht="15" customHeight="1">
      <c r="A42" s="310"/>
      <c r="B42" s="310"/>
      <c r="C42" s="310"/>
      <c r="D42" s="310"/>
      <c r="E42" s="310"/>
      <c r="F42" s="311"/>
      <c r="G42" s="311"/>
      <c r="H42" s="1"/>
      <c r="I42" s="353"/>
      <c r="J42" s="353"/>
      <c r="K42" s="353"/>
      <c r="L42" s="353"/>
      <c r="M42" s="353"/>
      <c r="N42" s="353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  <c r="Z42" s="310"/>
      <c r="AA42" s="310"/>
      <c r="AB42" s="310"/>
      <c r="AC42" s="310"/>
      <c r="AD42" s="310"/>
      <c r="AE42" s="437" t="s">
        <v>507</v>
      </c>
      <c r="AF42" s="406">
        <v>138</v>
      </c>
      <c r="AG42" s="441">
        <f>SUMIF($B$9:$T$36,AF42,'SEN COUNT'!$B$9:$T$36)</f>
        <v>0</v>
      </c>
      <c r="AH42" s="441"/>
      <c r="AI42" s="442"/>
      <c r="AJ42" s="441"/>
      <c r="AK42" s="310"/>
      <c r="AL42" s="310"/>
    </row>
    <row r="43" spans="1:38" ht="15" customHeight="1">
      <c r="A43" s="310"/>
      <c r="B43" s="310"/>
      <c r="C43" s="310"/>
      <c r="D43" s="310"/>
      <c r="E43" s="310"/>
      <c r="F43" s="311"/>
      <c r="G43" s="311"/>
      <c r="H43" s="1"/>
      <c r="I43" s="353"/>
      <c r="J43" s="353"/>
      <c r="K43" s="353"/>
      <c r="L43" s="353"/>
      <c r="M43" s="353"/>
      <c r="N43" s="353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0"/>
      <c r="AB43" s="310"/>
      <c r="AC43" s="310"/>
      <c r="AD43" s="310"/>
      <c r="AE43" s="412" t="s">
        <v>508</v>
      </c>
      <c r="AF43" s="220">
        <v>140</v>
      </c>
      <c r="AG43" s="441">
        <f>SUMIF($B$9:$T$36,AF43,'SEN COUNT'!$B$9:$T$36)</f>
        <v>18.5</v>
      </c>
      <c r="AH43" s="441"/>
      <c r="AI43" s="442"/>
      <c r="AJ43" s="441"/>
      <c r="AK43" s="310"/>
      <c r="AL43" s="310"/>
    </row>
    <row r="44" spans="1:38" ht="15" customHeight="1">
      <c r="A44" s="310"/>
      <c r="B44" s="310"/>
      <c r="C44" s="310"/>
      <c r="D44" s="310"/>
      <c r="E44" s="310"/>
      <c r="F44" s="311"/>
      <c r="G44" s="311"/>
      <c r="H44" s="1"/>
      <c r="I44" s="353"/>
      <c r="J44" s="353"/>
      <c r="K44" s="353"/>
      <c r="L44" s="353"/>
      <c r="M44" s="353"/>
      <c r="N44" s="353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435" t="s">
        <v>509</v>
      </c>
      <c r="AF44" s="220">
        <v>141</v>
      </c>
      <c r="AG44" s="441">
        <f>SUMIF($B$9:$T$36,AF44,'SEN COUNT'!$B$9:$T$36)</f>
        <v>0</v>
      </c>
      <c r="AH44" s="441"/>
      <c r="AI44" s="442"/>
      <c r="AJ44" s="441"/>
      <c r="AK44" s="310"/>
      <c r="AL44" s="310"/>
    </row>
    <row r="45" spans="1:38" ht="15.75" customHeight="1">
      <c r="A45" s="310"/>
      <c r="B45" s="310"/>
      <c r="C45" s="310"/>
      <c r="D45" s="310"/>
      <c r="E45" s="310"/>
      <c r="F45" s="311"/>
      <c r="G45" s="311"/>
      <c r="H45" s="1"/>
      <c r="I45" s="353"/>
      <c r="J45" s="353"/>
      <c r="K45" s="353"/>
      <c r="L45" s="353"/>
      <c r="M45" s="353"/>
      <c r="N45" s="353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310"/>
      <c r="AB45" s="310"/>
      <c r="AC45" s="310"/>
      <c r="AD45" s="310"/>
      <c r="AE45" s="435" t="s">
        <v>510</v>
      </c>
      <c r="AF45" s="220">
        <v>147</v>
      </c>
      <c r="AG45" s="441">
        <f>SUMIF($B$9:$T$36,AF45,'SEN COUNT'!$B$9:$T$36)</f>
        <v>0</v>
      </c>
      <c r="AH45" s="441"/>
      <c r="AI45" s="442"/>
      <c r="AJ45" s="441"/>
      <c r="AK45" s="310"/>
      <c r="AL45" s="310"/>
    </row>
    <row r="46" spans="1:38" ht="15.75" customHeight="1">
      <c r="A46" s="310"/>
      <c r="B46" s="310"/>
      <c r="C46" s="310"/>
      <c r="D46" s="310"/>
      <c r="E46" s="310"/>
      <c r="F46" s="311"/>
      <c r="G46" s="311"/>
      <c r="H46" s="1"/>
      <c r="I46" s="353"/>
      <c r="J46" s="353"/>
      <c r="K46" s="353"/>
      <c r="L46" s="353"/>
      <c r="M46" s="353"/>
      <c r="N46" s="353"/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  <c r="AA46" s="310"/>
      <c r="AB46" s="310"/>
      <c r="AC46" s="310"/>
      <c r="AD46" s="310"/>
      <c r="AE46" s="435" t="s">
        <v>511</v>
      </c>
      <c r="AF46" s="220">
        <v>152</v>
      </c>
      <c r="AG46" s="441">
        <f>SUMIF($B$9:$T$36,AF46,'SEN COUNT'!$B$9:$T$36)</f>
        <v>2</v>
      </c>
      <c r="AH46" s="441"/>
      <c r="AI46" s="442"/>
      <c r="AJ46" s="441"/>
      <c r="AK46" s="310"/>
      <c r="AL46" s="310"/>
    </row>
    <row r="47" spans="1:38" ht="15.75" customHeight="1">
      <c r="A47" s="310"/>
      <c r="B47" s="310"/>
      <c r="C47" s="310"/>
      <c r="D47" s="310"/>
      <c r="E47" s="310"/>
      <c r="F47" s="311"/>
      <c r="G47" s="311"/>
      <c r="H47" s="1"/>
      <c r="I47" s="353"/>
      <c r="J47" s="353"/>
      <c r="K47" s="353"/>
      <c r="L47" s="353"/>
      <c r="M47" s="353"/>
      <c r="N47" s="353"/>
      <c r="O47" s="310"/>
      <c r="P47" s="310"/>
      <c r="Q47" s="310"/>
      <c r="R47" s="310"/>
      <c r="S47" s="310"/>
      <c r="T47" s="310"/>
      <c r="U47" s="310"/>
      <c r="V47" s="310"/>
      <c r="W47" s="310"/>
      <c r="X47" s="310"/>
      <c r="Y47" s="310"/>
      <c r="Z47" s="310"/>
      <c r="AA47" s="310"/>
      <c r="AB47" s="310"/>
      <c r="AC47" s="310"/>
      <c r="AD47" s="310"/>
      <c r="AE47" s="435" t="s">
        <v>512</v>
      </c>
      <c r="AF47" s="220">
        <v>153</v>
      </c>
      <c r="AG47" s="441">
        <f>SUMIF($B$9:$T$36,AF47,'SEN COUNT'!$B$9:$T$36)</f>
        <v>0</v>
      </c>
      <c r="AH47" s="441"/>
      <c r="AI47" s="442"/>
      <c r="AJ47" s="441"/>
      <c r="AK47" s="310"/>
      <c r="AL47" s="310"/>
    </row>
    <row r="48" spans="1:38" ht="15.75" customHeight="1">
      <c r="A48" s="310"/>
      <c r="B48" s="310"/>
      <c r="C48" s="310"/>
      <c r="D48" s="310"/>
      <c r="E48" s="310"/>
      <c r="F48" s="311"/>
      <c r="G48" s="311"/>
      <c r="H48" s="1"/>
      <c r="I48" s="353"/>
      <c r="J48" s="353"/>
      <c r="K48" s="353"/>
      <c r="L48" s="353"/>
      <c r="M48" s="353"/>
      <c r="N48" s="353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  <c r="Z48" s="310"/>
      <c r="AA48" s="310"/>
      <c r="AB48" s="310"/>
      <c r="AC48" s="310"/>
      <c r="AD48" s="310"/>
      <c r="AE48" s="435" t="s">
        <v>513</v>
      </c>
      <c r="AF48" s="245">
        <v>161</v>
      </c>
      <c r="AG48" s="441">
        <f>SUMIF($B$9:$T$36,AF48,'SEN COUNT'!$B$9:$T$36)</f>
        <v>0</v>
      </c>
      <c r="AH48" s="441"/>
      <c r="AI48" s="442"/>
      <c r="AJ48" s="441"/>
      <c r="AK48" s="310"/>
      <c r="AL48" s="310"/>
    </row>
    <row r="49" spans="1:38" ht="15.75" customHeight="1">
      <c r="A49" s="310"/>
      <c r="B49" s="310"/>
      <c r="C49" s="310"/>
      <c r="D49" s="310"/>
      <c r="E49" s="310"/>
      <c r="F49" s="311"/>
      <c r="G49" s="311"/>
      <c r="H49" s="1"/>
      <c r="I49" s="353"/>
      <c r="J49" s="353"/>
      <c r="K49" s="353"/>
      <c r="L49" s="353"/>
      <c r="M49" s="353"/>
      <c r="N49" s="353"/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  <c r="Z49" s="310"/>
      <c r="AA49" s="310"/>
      <c r="AB49" s="310"/>
      <c r="AC49" s="310"/>
      <c r="AD49" s="310"/>
      <c r="AE49" s="438" t="s">
        <v>514</v>
      </c>
      <c r="AF49" s="222">
        <v>178</v>
      </c>
      <c r="AG49" s="441">
        <f>SUMIF($B$9:$T$36,AF49,'SEN COUNT'!$B$9:$T$36)</f>
        <v>0</v>
      </c>
      <c r="AH49" s="441"/>
      <c r="AI49" s="442"/>
      <c r="AJ49" s="441"/>
      <c r="AK49" s="310"/>
      <c r="AL49" s="310"/>
    </row>
    <row r="50" spans="1:38" ht="15.75" customHeight="1">
      <c r="A50" s="310"/>
      <c r="B50" s="310"/>
      <c r="C50" s="310"/>
      <c r="D50" s="310"/>
      <c r="E50" s="310"/>
      <c r="F50" s="311"/>
      <c r="G50" s="311"/>
      <c r="H50" s="1"/>
      <c r="I50" s="353"/>
      <c r="J50" s="353"/>
      <c r="K50" s="353"/>
      <c r="L50" s="353"/>
      <c r="M50" s="353"/>
      <c r="N50" s="353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10"/>
      <c r="AC50" s="310"/>
      <c r="AD50" s="310"/>
      <c r="AE50" s="435" t="s">
        <v>515</v>
      </c>
      <c r="AF50" s="220">
        <v>181</v>
      </c>
      <c r="AG50" s="441">
        <f>SUMIF($B$9:$T$36,AF50,'SEN COUNT'!$B$9:$T$36)</f>
        <v>0</v>
      </c>
      <c r="AH50" s="441"/>
      <c r="AI50" s="442"/>
      <c r="AJ50" s="441"/>
      <c r="AK50" s="310"/>
      <c r="AL50" s="310"/>
    </row>
    <row r="51" spans="1:38" ht="15.75" customHeight="1">
      <c r="A51" s="310"/>
      <c r="B51" s="310"/>
      <c r="C51" s="310"/>
      <c r="D51" s="310"/>
      <c r="E51" s="310"/>
      <c r="F51" s="311"/>
      <c r="G51" s="311"/>
      <c r="H51" s="1"/>
      <c r="I51" s="353"/>
      <c r="J51" s="353"/>
      <c r="K51" s="353"/>
      <c r="L51" s="353"/>
      <c r="M51" s="353"/>
      <c r="N51" s="353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0"/>
      <c r="AA51" s="310"/>
      <c r="AB51" s="310"/>
      <c r="AC51" s="310"/>
      <c r="AD51" s="310"/>
      <c r="AE51" s="435" t="s">
        <v>516</v>
      </c>
      <c r="AF51" s="220">
        <v>186</v>
      </c>
      <c r="AG51" s="441">
        <f>SUMIF($B$9:$T$36,AF51,'SEN COUNT'!$B$9:$T$36)</f>
        <v>0</v>
      </c>
      <c r="AH51" s="441"/>
      <c r="AI51" s="442"/>
      <c r="AJ51" s="441"/>
      <c r="AK51" s="310"/>
      <c r="AL51" s="310"/>
    </row>
    <row r="52" spans="1:38" ht="15.75" customHeight="1">
      <c r="A52" s="310"/>
      <c r="B52" s="310"/>
      <c r="C52" s="310"/>
      <c r="D52" s="310"/>
      <c r="E52" s="310"/>
      <c r="F52" s="311"/>
      <c r="G52" s="311"/>
      <c r="H52" s="1"/>
      <c r="I52" s="353"/>
      <c r="J52" s="353"/>
      <c r="K52" s="353"/>
      <c r="L52" s="353"/>
      <c r="M52" s="353"/>
      <c r="N52" s="353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435" t="s">
        <v>517</v>
      </c>
      <c r="AF52" s="220">
        <v>190</v>
      </c>
      <c r="AG52" s="441">
        <f>SUMIF($B$9:$T$36,AF52,'SEN COUNT'!$B$9:$T$36)</f>
        <v>0</v>
      </c>
      <c r="AH52" s="441"/>
      <c r="AI52" s="442"/>
      <c r="AJ52" s="441"/>
      <c r="AK52" s="310"/>
      <c r="AL52" s="310"/>
    </row>
    <row r="53" spans="1:38" ht="15.75" customHeight="1">
      <c r="A53" s="310"/>
      <c r="B53" s="310"/>
      <c r="C53" s="310"/>
      <c r="D53" s="310"/>
      <c r="E53" s="310"/>
      <c r="F53" s="311"/>
      <c r="G53" s="311"/>
      <c r="H53" s="1"/>
      <c r="I53" s="353"/>
      <c r="J53" s="353"/>
      <c r="K53" s="353"/>
      <c r="L53" s="353"/>
      <c r="M53" s="353"/>
      <c r="N53" s="353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435" t="s">
        <v>518</v>
      </c>
      <c r="AF53" s="220">
        <v>196</v>
      </c>
      <c r="AG53" s="441">
        <f>SUMIF($B$9:$T$36,AF53,'SEN COUNT'!$B$9:$T$36)</f>
        <v>0</v>
      </c>
      <c r="AH53" s="441"/>
      <c r="AI53" s="442"/>
      <c r="AJ53" s="441"/>
      <c r="AK53" s="310"/>
      <c r="AL53" s="310"/>
    </row>
    <row r="54" spans="1:38" ht="15.75" customHeight="1">
      <c r="A54" s="310"/>
      <c r="B54" s="310"/>
      <c r="C54" s="310"/>
      <c r="D54" s="310"/>
      <c r="E54" s="310"/>
      <c r="F54" s="311"/>
      <c r="G54" s="311"/>
      <c r="H54" s="1"/>
      <c r="I54" s="353"/>
      <c r="J54" s="353"/>
      <c r="K54" s="353"/>
      <c r="L54" s="353"/>
      <c r="M54" s="353"/>
      <c r="N54" s="353"/>
      <c r="O54" s="310"/>
      <c r="P54" s="310"/>
      <c r="Q54" s="310"/>
      <c r="R54" s="310"/>
      <c r="S54" s="310"/>
      <c r="T54" s="310"/>
      <c r="U54" s="310"/>
      <c r="V54" s="310"/>
      <c r="W54" s="310"/>
      <c r="X54" s="310"/>
      <c r="Y54" s="310"/>
      <c r="Z54" s="310"/>
      <c r="AA54" s="310"/>
      <c r="AB54" s="310"/>
      <c r="AC54" s="310"/>
      <c r="AD54" s="310"/>
      <c r="AE54" s="435" t="s">
        <v>519</v>
      </c>
      <c r="AF54" s="220">
        <v>197</v>
      </c>
      <c r="AG54" s="441">
        <f>SUMIF($B$9:$T$36,AF54,'SEN COUNT'!$B$9:$T$36)</f>
        <v>0</v>
      </c>
      <c r="AH54" s="441"/>
      <c r="AI54" s="442"/>
      <c r="AJ54" s="441"/>
      <c r="AK54" s="310"/>
      <c r="AL54" s="310"/>
    </row>
    <row r="55" spans="1:38" ht="15.75" customHeight="1">
      <c r="A55" s="310"/>
      <c r="B55" s="310"/>
      <c r="C55" s="310"/>
      <c r="D55" s="310"/>
      <c r="E55" s="310"/>
      <c r="F55" s="311"/>
      <c r="G55" s="311"/>
      <c r="H55" s="1"/>
      <c r="I55" s="353"/>
      <c r="J55" s="353"/>
      <c r="K55" s="353"/>
      <c r="L55" s="353"/>
      <c r="M55" s="353"/>
      <c r="N55" s="353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435" t="s">
        <v>520</v>
      </c>
      <c r="AF55" s="220">
        <v>198</v>
      </c>
      <c r="AG55" s="441">
        <f>SUMIF($B$9:$T$36,AF55,'SEN COUNT'!$B$9:$T$36)</f>
        <v>0</v>
      </c>
      <c r="AH55" s="441"/>
      <c r="AI55" s="442"/>
      <c r="AJ55" s="441"/>
      <c r="AK55" s="310"/>
      <c r="AL55" s="310"/>
    </row>
    <row r="56" spans="1:38" ht="15.75" customHeight="1">
      <c r="A56" s="310"/>
      <c r="B56" s="310"/>
      <c r="C56" s="310"/>
      <c r="D56" s="310"/>
      <c r="E56" s="310"/>
      <c r="F56" s="311"/>
      <c r="G56" s="311"/>
      <c r="H56" s="1"/>
      <c r="I56" s="353"/>
      <c r="J56" s="353"/>
      <c r="K56" s="353"/>
      <c r="L56" s="353"/>
      <c r="M56" s="353"/>
      <c r="N56" s="353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0"/>
      <c r="AB56" s="310"/>
      <c r="AC56" s="310"/>
      <c r="AD56" s="310"/>
      <c r="AE56" s="435" t="s">
        <v>521</v>
      </c>
      <c r="AF56" s="220">
        <v>199</v>
      </c>
      <c r="AG56" s="441">
        <f>SUMIF($B$9:$T$36,AF56,'SEN COUNT'!$B$9:$T$36)</f>
        <v>0</v>
      </c>
      <c r="AH56" s="441"/>
      <c r="AI56" s="442"/>
      <c r="AJ56" s="441"/>
      <c r="AK56" s="310"/>
      <c r="AL56" s="310"/>
    </row>
    <row r="57" spans="1:38" ht="15.75" customHeight="1">
      <c r="A57" s="310"/>
      <c r="B57" s="310"/>
      <c r="C57" s="310"/>
      <c r="D57" s="310"/>
      <c r="E57" s="310"/>
      <c r="F57" s="311"/>
      <c r="G57" s="311"/>
      <c r="H57" s="1"/>
      <c r="I57" s="353"/>
      <c r="J57" s="353"/>
      <c r="K57" s="353"/>
      <c r="L57" s="353"/>
      <c r="M57" s="353"/>
      <c r="N57" s="353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438" t="s">
        <v>522</v>
      </c>
      <c r="AF57" s="222">
        <v>200</v>
      </c>
      <c r="AG57" s="441">
        <f>SUMIF($B$9:$T$36,AF57,'SEN COUNT'!$B$9:$T$36)</f>
        <v>2.9</v>
      </c>
      <c r="AH57" s="441"/>
      <c r="AI57" s="442"/>
      <c r="AJ57" s="441"/>
      <c r="AK57" s="310"/>
      <c r="AL57" s="310"/>
    </row>
    <row r="58" spans="1:38" ht="15.75" customHeight="1">
      <c r="A58" s="310"/>
      <c r="B58" s="310"/>
      <c r="C58" s="310"/>
      <c r="D58" s="310"/>
      <c r="E58" s="310"/>
      <c r="F58" s="311"/>
      <c r="G58" s="311"/>
      <c r="H58" s="1"/>
      <c r="I58" s="353"/>
      <c r="J58" s="353"/>
      <c r="K58" s="353"/>
      <c r="L58" s="353"/>
      <c r="M58" s="353"/>
      <c r="N58" s="353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310"/>
      <c r="AB58" s="310"/>
      <c r="AC58" s="310"/>
      <c r="AD58" s="310"/>
      <c r="AE58" s="412" t="s">
        <v>523</v>
      </c>
      <c r="AF58" s="220">
        <v>201</v>
      </c>
      <c r="AG58" s="441">
        <f>SUMIF($B$9:$T$36,AF58,'SEN COUNT'!$B$9:$T$36)</f>
        <v>14.75</v>
      </c>
      <c r="AH58" s="441"/>
      <c r="AI58" s="442"/>
      <c r="AJ58" s="441"/>
      <c r="AK58" s="310"/>
      <c r="AL58" s="310"/>
    </row>
    <row r="59" spans="1:38" ht="15.75" customHeight="1">
      <c r="A59" s="310"/>
      <c r="B59" s="310"/>
      <c r="C59" s="310"/>
      <c r="D59" s="310"/>
      <c r="E59" s="310"/>
      <c r="F59" s="311"/>
      <c r="G59" s="311"/>
      <c r="H59" s="1"/>
      <c r="I59" s="353"/>
      <c r="J59" s="353"/>
      <c r="K59" s="353"/>
      <c r="L59" s="353"/>
      <c r="M59" s="353"/>
      <c r="N59" s="353"/>
      <c r="O59" s="310"/>
      <c r="P59" s="310"/>
      <c r="Q59" s="310"/>
      <c r="R59" s="310"/>
      <c r="S59" s="310"/>
      <c r="T59" s="310"/>
      <c r="U59" s="310"/>
      <c r="V59" s="310"/>
      <c r="W59" s="310"/>
      <c r="X59" s="310"/>
      <c r="Y59" s="310"/>
      <c r="Z59" s="310"/>
      <c r="AA59" s="310"/>
      <c r="AB59" s="310"/>
      <c r="AC59" s="310"/>
      <c r="AD59" s="310"/>
      <c r="AE59" s="439"/>
      <c r="AF59" s="220">
        <v>202</v>
      </c>
      <c r="AG59" s="441">
        <f>SUMIF($B$9:$T$36,AF59,'SEN COUNT'!$B$9:$T$36)</f>
        <v>0</v>
      </c>
      <c r="AH59" s="441"/>
      <c r="AI59" s="442"/>
      <c r="AJ59" s="441"/>
      <c r="AK59" s="310"/>
      <c r="AL59" s="310"/>
    </row>
    <row r="60" spans="1:38" ht="15.75" customHeight="1">
      <c r="A60" s="310"/>
      <c r="B60" s="310"/>
      <c r="C60" s="310"/>
      <c r="D60" s="310"/>
      <c r="E60" s="310"/>
      <c r="F60" s="311"/>
      <c r="G60" s="311"/>
      <c r="H60" s="1"/>
      <c r="I60" s="353"/>
      <c r="J60" s="353"/>
      <c r="K60" s="353"/>
      <c r="L60" s="353"/>
      <c r="M60" s="353"/>
      <c r="N60" s="353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439"/>
      <c r="AF60" s="220">
        <v>203</v>
      </c>
      <c r="AG60" s="441">
        <f>SUMIF($B$9:$T$36,AF60,'SEN COUNT'!$B$9:$T$36)</f>
        <v>0</v>
      </c>
      <c r="AH60" s="441"/>
      <c r="AI60" s="442"/>
      <c r="AJ60" s="441"/>
      <c r="AK60" s="310"/>
      <c r="AL60" s="310"/>
    </row>
    <row r="61" spans="1:38" ht="15.75" customHeight="1">
      <c r="A61" s="310"/>
      <c r="B61" s="310"/>
      <c r="C61" s="310"/>
      <c r="D61" s="310"/>
      <c r="E61" s="310"/>
      <c r="F61" s="311"/>
      <c r="G61" s="311"/>
      <c r="H61" s="1"/>
      <c r="I61" s="353"/>
      <c r="J61" s="353"/>
      <c r="K61" s="353"/>
      <c r="L61" s="353"/>
      <c r="M61" s="353"/>
      <c r="N61" s="353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  <c r="Z61" s="310"/>
      <c r="AA61" s="310"/>
      <c r="AB61" s="310"/>
      <c r="AC61" s="310"/>
      <c r="AD61" s="310"/>
      <c r="AE61" s="439"/>
      <c r="AF61" s="220">
        <v>204</v>
      </c>
      <c r="AG61" s="441">
        <f>SUMIF($B$9:$T$36,AF61,'SEN COUNT'!$B$9:$T$36)</f>
        <v>0</v>
      </c>
      <c r="AH61" s="441"/>
      <c r="AI61" s="442"/>
      <c r="AJ61" s="441"/>
      <c r="AK61" s="310"/>
      <c r="AL61" s="310"/>
    </row>
    <row r="62" spans="1:38" ht="15.75" customHeight="1">
      <c r="A62" s="310"/>
      <c r="B62" s="310"/>
      <c r="C62" s="310"/>
      <c r="D62" s="310"/>
      <c r="E62" s="310"/>
      <c r="F62" s="311"/>
      <c r="G62" s="311"/>
      <c r="H62" s="1"/>
      <c r="I62" s="353"/>
      <c r="J62" s="353"/>
      <c r="K62" s="353"/>
      <c r="L62" s="353"/>
      <c r="M62" s="353"/>
      <c r="N62" s="353"/>
      <c r="O62" s="310"/>
      <c r="P62" s="310"/>
      <c r="Q62" s="310"/>
      <c r="R62" s="310"/>
      <c r="S62" s="310"/>
      <c r="T62" s="310"/>
      <c r="U62" s="310"/>
      <c r="V62" s="310"/>
      <c r="W62" s="310"/>
      <c r="X62" s="310"/>
      <c r="Y62" s="310"/>
      <c r="Z62" s="310"/>
      <c r="AA62" s="310"/>
      <c r="AB62" s="310"/>
      <c r="AC62" s="310"/>
      <c r="AD62" s="310"/>
      <c r="AE62" s="2"/>
      <c r="AF62" s="222">
        <v>205</v>
      </c>
      <c r="AG62" s="441">
        <f>SUMIF($B$9:$T$36,AF62,'SEN COUNT'!$B$9:$T$36)</f>
        <v>0</v>
      </c>
      <c r="AH62" s="441"/>
      <c r="AI62" s="442"/>
      <c r="AJ62" s="441"/>
      <c r="AK62" s="310"/>
      <c r="AL62" s="310"/>
    </row>
    <row r="63" spans="1:38" ht="15.75" customHeight="1">
      <c r="A63" s="310"/>
      <c r="B63" s="310"/>
      <c r="C63" s="310"/>
      <c r="D63" s="310"/>
      <c r="E63" s="310"/>
      <c r="F63" s="311"/>
      <c r="G63" s="311"/>
      <c r="H63" s="1"/>
      <c r="I63" s="353"/>
      <c r="J63" s="353"/>
      <c r="K63" s="353"/>
      <c r="L63" s="353"/>
      <c r="M63" s="353"/>
      <c r="N63" s="353"/>
      <c r="O63" s="310"/>
      <c r="P63" s="310"/>
      <c r="Q63" s="310"/>
      <c r="R63" s="310"/>
      <c r="S63" s="310"/>
      <c r="T63" s="310"/>
      <c r="U63" s="310"/>
      <c r="V63" s="310"/>
      <c r="W63" s="310"/>
      <c r="X63" s="310"/>
      <c r="Y63" s="310"/>
      <c r="Z63" s="310"/>
      <c r="AA63" s="310"/>
      <c r="AB63" s="310"/>
      <c r="AC63" s="310"/>
      <c r="AD63" s="310"/>
      <c r="AE63" s="5"/>
      <c r="AF63" s="406">
        <v>206</v>
      </c>
      <c r="AG63" s="441">
        <f>SUMIF($B$9:$T$36,AF63,'SEN COUNT'!$B$9:$T$36)</f>
        <v>0</v>
      </c>
      <c r="AH63" s="441"/>
      <c r="AI63" s="442"/>
      <c r="AJ63" s="441"/>
      <c r="AK63" s="310"/>
      <c r="AL63" s="310"/>
    </row>
    <row r="64" spans="1:38" ht="15.75" customHeight="1">
      <c r="A64" s="310"/>
      <c r="B64" s="310"/>
      <c r="C64" s="310"/>
      <c r="D64" s="310"/>
      <c r="E64" s="310"/>
      <c r="F64" s="311"/>
      <c r="G64" s="311"/>
      <c r="H64" s="1"/>
      <c r="I64" s="353"/>
      <c r="J64" s="353"/>
      <c r="K64" s="353"/>
      <c r="L64" s="353"/>
      <c r="M64" s="353"/>
      <c r="N64" s="353"/>
      <c r="O64" s="310"/>
      <c r="P64" s="310"/>
      <c r="Q64" s="310"/>
      <c r="R64" s="310"/>
      <c r="S64" s="310"/>
      <c r="T64" s="310"/>
      <c r="U64" s="310"/>
      <c r="V64" s="310"/>
      <c r="W64" s="310"/>
      <c r="X64" s="310"/>
      <c r="Y64" s="310"/>
      <c r="Z64" s="310"/>
      <c r="AA64" s="310"/>
      <c r="AB64" s="310"/>
      <c r="AC64" s="310"/>
      <c r="AD64" s="310"/>
      <c r="AE64" s="8"/>
      <c r="AF64" s="222">
        <v>207</v>
      </c>
      <c r="AG64" s="441">
        <f>SUMIF($B$9:$T$36,AF64,'SEN COUNT'!$B$9:$T$36)</f>
        <v>0</v>
      </c>
      <c r="AH64" s="441"/>
      <c r="AI64" s="442"/>
      <c r="AJ64" s="441"/>
      <c r="AK64" s="310"/>
      <c r="AL64" s="310"/>
    </row>
    <row r="65" spans="1:38" ht="15.75" customHeight="1">
      <c r="A65" s="310"/>
      <c r="B65" s="310"/>
      <c r="C65" s="310"/>
      <c r="D65" s="310"/>
      <c r="E65" s="310"/>
      <c r="F65" s="311"/>
      <c r="G65" s="311"/>
      <c r="H65" s="1"/>
      <c r="I65" s="353"/>
      <c r="J65" s="353"/>
      <c r="K65" s="353"/>
      <c r="L65" s="353"/>
      <c r="M65" s="353"/>
      <c r="N65" s="353"/>
      <c r="O65" s="310"/>
      <c r="P65" s="310"/>
      <c r="Q65" s="310"/>
      <c r="R65" s="310"/>
      <c r="S65" s="310"/>
      <c r="T65" s="310"/>
      <c r="U65" s="310"/>
      <c r="V65" s="310"/>
      <c r="W65" s="310"/>
      <c r="X65" s="310"/>
      <c r="Y65" s="310"/>
      <c r="Z65" s="310"/>
      <c r="AA65" s="310"/>
      <c r="AB65" s="310"/>
      <c r="AC65" s="310"/>
      <c r="AD65" s="310"/>
      <c r="AE65" s="446"/>
      <c r="AF65" s="447">
        <v>208</v>
      </c>
      <c r="AG65" s="441">
        <f>SUMIF($B$9:$T$36,AF65,'SEN COUNT'!$B$9:$T$36)</f>
        <v>0</v>
      </c>
      <c r="AH65" s="441"/>
      <c r="AI65" s="442"/>
      <c r="AJ65" s="441"/>
      <c r="AK65" s="310"/>
      <c r="AL65" s="310"/>
    </row>
    <row r="66" spans="1:38" ht="15.75" customHeight="1">
      <c r="A66" s="310"/>
      <c r="B66" s="310"/>
      <c r="C66" s="310"/>
      <c r="D66" s="310"/>
      <c r="E66" s="310"/>
      <c r="F66" s="311"/>
      <c r="G66" s="311"/>
      <c r="H66" s="1"/>
      <c r="I66" s="353"/>
      <c r="J66" s="353"/>
      <c r="K66" s="353"/>
      <c r="L66" s="353"/>
      <c r="M66" s="353"/>
      <c r="N66" s="353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  <c r="AB66" s="310"/>
      <c r="AC66" s="310"/>
      <c r="AD66" s="310"/>
      <c r="AE66" s="446"/>
      <c r="AF66" s="448">
        <v>209</v>
      </c>
      <c r="AG66" s="441">
        <f>SUMIF($B$9:$T$36,AF66,'SEN COUNT'!$B$9:$T$36)</f>
        <v>0</v>
      </c>
      <c r="AH66" s="441"/>
      <c r="AI66" s="442"/>
      <c r="AJ66" s="441"/>
      <c r="AK66" s="310"/>
      <c r="AL66" s="310"/>
    </row>
    <row r="67" spans="1:38" ht="15.75" customHeight="1">
      <c r="A67" s="310"/>
      <c r="B67" s="310"/>
      <c r="C67" s="310"/>
      <c r="D67" s="310"/>
      <c r="E67" s="310"/>
      <c r="F67" s="311"/>
      <c r="G67" s="311"/>
      <c r="H67" s="1"/>
      <c r="I67" s="353"/>
      <c r="J67" s="353"/>
      <c r="K67" s="353"/>
      <c r="L67" s="353"/>
      <c r="M67" s="353"/>
      <c r="N67" s="353"/>
      <c r="O67" s="310"/>
      <c r="P67" s="310"/>
      <c r="Q67" s="310"/>
      <c r="R67" s="310"/>
      <c r="S67" s="310"/>
      <c r="T67" s="310"/>
      <c r="U67" s="310"/>
      <c r="V67" s="310"/>
      <c r="W67" s="310"/>
      <c r="X67" s="310"/>
      <c r="Y67" s="310"/>
      <c r="Z67" s="310"/>
      <c r="AA67" s="310"/>
      <c r="AB67" s="310"/>
      <c r="AC67" s="310"/>
      <c r="AD67" s="310"/>
      <c r="AE67" s="449"/>
      <c r="AF67" s="450">
        <v>210</v>
      </c>
      <c r="AG67" s="441">
        <f>SUMIF($B$9:$T$36,AF67,'SEN COUNT'!$B$9:$T$36)</f>
        <v>0</v>
      </c>
      <c r="AH67" s="441"/>
      <c r="AI67" s="442"/>
      <c r="AJ67" s="441"/>
      <c r="AK67" s="310"/>
      <c r="AL67" s="310"/>
    </row>
    <row r="68" spans="1:38" ht="15.75" customHeight="1">
      <c r="A68" s="310"/>
      <c r="B68" s="310"/>
      <c r="C68" s="310"/>
      <c r="D68" s="310"/>
      <c r="E68" s="310"/>
      <c r="F68" s="311"/>
      <c r="G68" s="311"/>
      <c r="H68" s="1"/>
      <c r="I68" s="353"/>
      <c r="J68" s="353"/>
      <c r="K68" s="353"/>
      <c r="L68" s="353"/>
      <c r="M68" s="353"/>
      <c r="N68" s="353"/>
      <c r="O68" s="310"/>
      <c r="P68" s="310"/>
      <c r="Q68" s="310"/>
      <c r="R68" s="310"/>
      <c r="S68" s="310"/>
      <c r="T68" s="310"/>
      <c r="U68" s="310"/>
      <c r="V68" s="310"/>
      <c r="W68" s="310"/>
      <c r="X68" s="310"/>
      <c r="Y68" s="310"/>
      <c r="Z68" s="310"/>
      <c r="AA68" s="310"/>
      <c r="AB68" s="310"/>
      <c r="AC68" s="310"/>
      <c r="AD68" s="310"/>
      <c r="AE68" s="1"/>
      <c r="AF68" s="241">
        <v>211</v>
      </c>
      <c r="AG68" s="441">
        <f>SUMIF($B$9:$T$36,AF68,'SEN COUNT'!$B$9:$T$36)</f>
        <v>0</v>
      </c>
      <c r="AH68" s="441"/>
      <c r="AI68" s="442"/>
      <c r="AJ68" s="441"/>
      <c r="AK68" s="310"/>
      <c r="AL68" s="310"/>
    </row>
    <row r="69" spans="1:38" ht="15.75" customHeight="1">
      <c r="A69" s="310"/>
      <c r="B69" s="310"/>
      <c r="C69" s="310"/>
      <c r="D69" s="310"/>
      <c r="E69" s="310"/>
      <c r="F69" s="311"/>
      <c r="G69" s="311"/>
      <c r="H69" s="1"/>
      <c r="I69" s="353"/>
      <c r="J69" s="353"/>
      <c r="K69" s="353"/>
      <c r="L69" s="353"/>
      <c r="M69" s="353"/>
      <c r="N69" s="353"/>
      <c r="O69" s="310"/>
      <c r="P69" s="310"/>
      <c r="Q69" s="310"/>
      <c r="R69" s="310"/>
      <c r="S69" s="310"/>
      <c r="T69" s="310"/>
      <c r="U69" s="310"/>
      <c r="V69" s="310"/>
      <c r="W69" s="310"/>
      <c r="X69" s="310"/>
      <c r="Y69" s="310"/>
      <c r="Z69" s="310"/>
      <c r="AA69" s="310"/>
      <c r="AB69" s="310"/>
      <c r="AC69" s="310"/>
      <c r="AD69" s="310"/>
      <c r="AE69" s="21"/>
      <c r="AF69" s="245">
        <v>212</v>
      </c>
      <c r="AG69" s="441">
        <f>SUMIF($B$9:$T$36,AF69,'SEN COUNT'!$B$9:$T$36)</f>
        <v>0</v>
      </c>
      <c r="AH69" s="441"/>
      <c r="AI69" s="442"/>
      <c r="AJ69" s="441"/>
      <c r="AK69" s="310"/>
      <c r="AL69" s="310"/>
    </row>
    <row r="70" spans="1:38" ht="15.75" customHeight="1">
      <c r="A70" s="310"/>
      <c r="B70" s="310"/>
      <c r="C70" s="310"/>
      <c r="D70" s="310"/>
      <c r="E70" s="310"/>
      <c r="F70" s="311"/>
      <c r="G70" s="311"/>
      <c r="H70" s="1"/>
      <c r="I70" s="353"/>
      <c r="J70" s="353"/>
      <c r="K70" s="353"/>
      <c r="L70" s="353"/>
      <c r="M70" s="353"/>
      <c r="N70" s="353"/>
      <c r="O70" s="310"/>
      <c r="P70" s="310"/>
      <c r="Q70" s="310"/>
      <c r="R70" s="310"/>
      <c r="S70" s="310"/>
      <c r="T70" s="310"/>
      <c r="U70" s="310"/>
      <c r="V70" s="310"/>
      <c r="W70" s="310"/>
      <c r="X70" s="310"/>
      <c r="Y70" s="310"/>
      <c r="Z70" s="310"/>
      <c r="AA70" s="310"/>
      <c r="AB70" s="310"/>
      <c r="AC70" s="310"/>
      <c r="AD70" s="310"/>
      <c r="AE70" s="451" t="s">
        <v>530</v>
      </c>
      <c r="AF70" s="266">
        <v>213</v>
      </c>
      <c r="AG70" s="441">
        <f>SUMIF($B$9:$T$36,AF70,'SEN COUNT'!$B$9:$T$36)</f>
        <v>10.083333333333332</v>
      </c>
      <c r="AH70" s="441"/>
      <c r="AI70" s="442"/>
      <c r="AJ70" s="441"/>
      <c r="AK70" s="310"/>
      <c r="AL70" s="310"/>
    </row>
    <row r="71" spans="1:38" ht="15.75" customHeight="1">
      <c r="A71" s="310"/>
      <c r="B71" s="310"/>
      <c r="C71" s="310"/>
      <c r="D71" s="310"/>
      <c r="E71" s="310"/>
      <c r="F71" s="311"/>
      <c r="G71" s="311"/>
      <c r="H71" s="1"/>
      <c r="I71" s="353"/>
      <c r="J71" s="353"/>
      <c r="K71" s="353"/>
      <c r="L71" s="353"/>
      <c r="M71" s="353"/>
      <c r="N71" s="353"/>
      <c r="O71" s="310"/>
      <c r="P71" s="310"/>
      <c r="Q71" s="310"/>
      <c r="R71" s="310"/>
      <c r="S71" s="310"/>
      <c r="T71" s="310"/>
      <c r="U71" s="310"/>
      <c r="V71" s="310"/>
      <c r="W71" s="310"/>
      <c r="X71" s="310"/>
      <c r="Y71" s="310"/>
      <c r="Z71" s="310"/>
      <c r="AA71" s="310"/>
      <c r="AB71" s="310"/>
      <c r="AC71" s="310"/>
      <c r="AD71" s="310"/>
      <c r="AE71" s="1"/>
      <c r="AF71" s="406">
        <v>214</v>
      </c>
      <c r="AG71" s="441">
        <f>SUMIF($B$9:$T$36,AF71,'SEN COUNT'!$B$9:$T$36)</f>
        <v>0</v>
      </c>
      <c r="AH71" s="441"/>
      <c r="AI71" s="442"/>
      <c r="AJ71" s="441"/>
      <c r="AK71" s="310"/>
      <c r="AL71" s="310"/>
    </row>
    <row r="72" spans="1:38" ht="15.75" customHeight="1">
      <c r="A72" s="310"/>
      <c r="B72" s="310"/>
      <c r="C72" s="310"/>
      <c r="D72" s="310"/>
      <c r="E72" s="310"/>
      <c r="F72" s="311"/>
      <c r="G72" s="311"/>
      <c r="H72" s="1"/>
      <c r="I72" s="353"/>
      <c r="J72" s="353"/>
      <c r="K72" s="353"/>
      <c r="L72" s="353"/>
      <c r="M72" s="353"/>
      <c r="N72" s="353"/>
      <c r="O72" s="310"/>
      <c r="P72" s="310"/>
      <c r="Q72" s="310"/>
      <c r="R72" s="310"/>
      <c r="S72" s="310"/>
      <c r="T72" s="310"/>
      <c r="U72" s="310"/>
      <c r="V72" s="310"/>
      <c r="W72" s="310"/>
      <c r="X72" s="310"/>
      <c r="Y72" s="310"/>
      <c r="Z72" s="310"/>
      <c r="AA72" s="310"/>
      <c r="AB72" s="310"/>
      <c r="AC72" s="310"/>
      <c r="AD72" s="310"/>
      <c r="AE72" s="21"/>
      <c r="AF72" s="220">
        <v>20</v>
      </c>
      <c r="AG72" s="441">
        <f>SUMIF($B$9:$T$36,AF72,'SEN COUNT'!$B$9:$T$36)</f>
        <v>0</v>
      </c>
      <c r="AH72" s="441"/>
      <c r="AI72" s="442"/>
      <c r="AJ72" s="441"/>
      <c r="AK72" s="310"/>
      <c r="AL72" s="310"/>
    </row>
    <row r="73" spans="1:38" ht="15.75" customHeight="1">
      <c r="A73" s="310"/>
      <c r="B73" s="310"/>
      <c r="C73" s="310"/>
      <c r="D73" s="310"/>
      <c r="E73" s="310"/>
      <c r="F73" s="311"/>
      <c r="G73" s="311"/>
      <c r="H73" s="1"/>
      <c r="I73" s="353"/>
      <c r="J73" s="353"/>
      <c r="K73" s="353"/>
      <c r="L73" s="353"/>
      <c r="M73" s="353"/>
      <c r="N73" s="353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  <c r="AA73" s="310"/>
      <c r="AB73" s="310"/>
      <c r="AC73" s="310"/>
      <c r="AD73" s="310"/>
      <c r="AE73" s="1" t="s">
        <v>533</v>
      </c>
      <c r="AF73" s="220">
        <v>76</v>
      </c>
      <c r="AG73" s="441">
        <f>SUMIF($B$9:$T$36,AF73,'SEN COUNT'!$B$9:$T$36)</f>
        <v>0</v>
      </c>
      <c r="AH73" s="441"/>
      <c r="AI73" s="442"/>
      <c r="AJ73" s="441"/>
      <c r="AK73" s="310"/>
      <c r="AL73" s="310"/>
    </row>
    <row r="74" spans="1:38" ht="15.75" customHeight="1">
      <c r="A74" s="310"/>
      <c r="B74" s="310"/>
      <c r="C74" s="310"/>
      <c r="D74" s="310"/>
      <c r="E74" s="310"/>
      <c r="F74" s="311"/>
      <c r="G74" s="311"/>
      <c r="H74" s="1"/>
      <c r="I74" s="353"/>
      <c r="J74" s="353"/>
      <c r="K74" s="353"/>
      <c r="L74" s="353"/>
      <c r="M74" s="353"/>
      <c r="N74" s="353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310"/>
      <c r="AD74" s="310"/>
      <c r="AE74" s="21" t="s">
        <v>534</v>
      </c>
      <c r="AF74" s="222">
        <v>117</v>
      </c>
      <c r="AG74" s="441">
        <f>SUMIF($B$9:$T$36,AF74,'SEN COUNT'!$B$9:$T$36)</f>
        <v>0</v>
      </c>
      <c r="AH74" s="441"/>
      <c r="AI74" s="442"/>
      <c r="AJ74" s="441"/>
      <c r="AK74" s="310"/>
      <c r="AL74" s="310"/>
    </row>
    <row r="75" spans="1:38" ht="15.75" customHeight="1">
      <c r="A75" s="310"/>
      <c r="B75" s="310"/>
      <c r="C75" s="310"/>
      <c r="D75" s="310"/>
      <c r="E75" s="310"/>
      <c r="F75" s="311"/>
      <c r="G75" s="311"/>
      <c r="H75" s="1"/>
      <c r="I75" s="353"/>
      <c r="J75" s="353"/>
      <c r="K75" s="353"/>
      <c r="L75" s="353"/>
      <c r="M75" s="353"/>
      <c r="N75" s="353"/>
      <c r="O75" s="310"/>
      <c r="P75" s="310"/>
      <c r="Q75" s="310"/>
      <c r="R75" s="310"/>
      <c r="S75" s="310"/>
      <c r="T75" s="310"/>
      <c r="U75" s="310"/>
      <c r="V75" s="310"/>
      <c r="W75" s="310"/>
      <c r="X75" s="310"/>
      <c r="Y75" s="310"/>
      <c r="Z75" s="310"/>
      <c r="AA75" s="310"/>
      <c r="AB75" s="310"/>
      <c r="AC75" s="310"/>
      <c r="AD75" s="310"/>
      <c r="AE75" s="21"/>
      <c r="AF75" s="239" t="s">
        <v>147</v>
      </c>
      <c r="AG75" s="441">
        <f>SUMIF($B$9:$T$36,AF75,'SEN COUNT'!$B$9:$T$36)</f>
        <v>0</v>
      </c>
      <c r="AH75" s="441"/>
      <c r="AI75" s="442"/>
      <c r="AJ75" s="441"/>
      <c r="AK75" s="310"/>
      <c r="AL75" s="310"/>
    </row>
    <row r="76" spans="1:38" ht="15.75" customHeight="1">
      <c r="A76" s="310"/>
      <c r="B76" s="310"/>
      <c r="C76" s="310"/>
      <c r="D76" s="310"/>
      <c r="E76" s="310"/>
      <c r="F76" s="311"/>
      <c r="G76" s="311"/>
      <c r="H76" s="1"/>
      <c r="I76" s="353"/>
      <c r="J76" s="353"/>
      <c r="K76" s="353"/>
      <c r="L76" s="353"/>
      <c r="M76" s="353"/>
      <c r="N76" s="353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21"/>
      <c r="AF76" s="452"/>
      <c r="AG76" s="441">
        <f>SUMIF($B$9:$T$36,AF76,'SEN COUNT'!$B$9:$T$36)</f>
        <v>0</v>
      </c>
      <c r="AH76" s="441"/>
      <c r="AI76" s="442"/>
      <c r="AJ76" s="441"/>
      <c r="AK76" s="310"/>
      <c r="AL76" s="310"/>
    </row>
    <row r="77" spans="1:38" ht="15.75" customHeight="1">
      <c r="A77" s="310"/>
      <c r="B77" s="310"/>
      <c r="C77" s="310"/>
      <c r="D77" s="310"/>
      <c r="E77" s="310"/>
      <c r="F77" s="311"/>
      <c r="G77" s="311"/>
      <c r="H77" s="1"/>
      <c r="I77" s="353"/>
      <c r="J77" s="353"/>
      <c r="K77" s="353"/>
      <c r="L77" s="353"/>
      <c r="M77" s="353"/>
      <c r="N77" s="353"/>
      <c r="O77" s="310"/>
      <c r="P77" s="310"/>
      <c r="Q77" s="310"/>
      <c r="R77" s="310"/>
      <c r="S77" s="310"/>
      <c r="T77" s="310"/>
      <c r="U77" s="310"/>
      <c r="V77" s="310"/>
      <c r="W77" s="310"/>
      <c r="X77" s="310"/>
      <c r="Y77" s="310"/>
      <c r="Z77" s="310"/>
      <c r="AA77" s="310"/>
      <c r="AB77" s="310"/>
      <c r="AC77" s="310"/>
      <c r="AD77" s="310"/>
      <c r="AE77" s="21"/>
      <c r="AF77" s="245" t="s">
        <v>148</v>
      </c>
      <c r="AG77" s="441">
        <f>SUMIF($B$9:$T$36,AF77,'SEN COUNT'!$B$9:$T$36)</f>
        <v>0</v>
      </c>
      <c r="AH77" s="441"/>
      <c r="AI77" s="442"/>
      <c r="AJ77" s="441"/>
      <c r="AK77" s="310"/>
      <c r="AL77" s="310"/>
    </row>
    <row r="78" spans="1:38" ht="15.75" customHeight="1">
      <c r="A78" s="310"/>
      <c r="B78" s="310"/>
      <c r="C78" s="310"/>
      <c r="D78" s="310"/>
      <c r="E78" s="310"/>
      <c r="F78" s="311"/>
      <c r="G78" s="311"/>
      <c r="H78" s="1"/>
      <c r="I78" s="353"/>
      <c r="J78" s="353"/>
      <c r="K78" s="353"/>
      <c r="L78" s="353"/>
      <c r="M78" s="353"/>
      <c r="N78" s="353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310"/>
      <c r="AB78" s="310"/>
      <c r="AC78" s="310"/>
      <c r="AD78" s="310"/>
      <c r="AE78" s="21"/>
      <c r="AF78" s="245" t="s">
        <v>50</v>
      </c>
      <c r="AG78" s="441">
        <f>SUMIF($B$9:$T$36,AF78,'SEN COUNT'!$B$9:$T$36)</f>
        <v>0</v>
      </c>
      <c r="AH78" s="441"/>
      <c r="AI78" s="442"/>
      <c r="AJ78" s="441"/>
      <c r="AK78" s="310"/>
      <c r="AL78" s="310"/>
    </row>
    <row r="79" spans="1:38" ht="15.75" customHeight="1">
      <c r="A79" s="310"/>
      <c r="B79" s="310"/>
      <c r="C79" s="310"/>
      <c r="D79" s="310"/>
      <c r="E79" s="310"/>
      <c r="F79" s="311"/>
      <c r="G79" s="311"/>
      <c r="H79" s="1"/>
      <c r="I79" s="353"/>
      <c r="J79" s="353"/>
      <c r="K79" s="353"/>
      <c r="L79" s="353"/>
      <c r="M79" s="353"/>
      <c r="N79" s="353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  <c r="Z79" s="310"/>
      <c r="AA79" s="310"/>
      <c r="AB79" s="310"/>
      <c r="AC79" s="310"/>
      <c r="AD79" s="310"/>
      <c r="AE79" s="21"/>
      <c r="AF79" s="245" t="s">
        <v>149</v>
      </c>
      <c r="AG79" s="441">
        <f>SUMIF($B$9:$T$36,AF79,'SEN COUNT'!$B$9:$T$36)</f>
        <v>0</v>
      </c>
      <c r="AH79" s="441"/>
      <c r="AI79" s="442"/>
      <c r="AJ79" s="441"/>
      <c r="AK79" s="310"/>
      <c r="AL79" s="310"/>
    </row>
    <row r="80" spans="1:38" ht="15.75" customHeight="1">
      <c r="A80" s="310"/>
      <c r="B80" s="310"/>
      <c r="C80" s="310"/>
      <c r="D80" s="310"/>
      <c r="E80" s="310"/>
      <c r="F80" s="311"/>
      <c r="G80" s="311"/>
      <c r="H80" s="1"/>
      <c r="I80" s="353"/>
      <c r="J80" s="353"/>
      <c r="K80" s="353"/>
      <c r="L80" s="353"/>
      <c r="M80" s="353"/>
      <c r="N80" s="353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  <c r="Z80" s="310"/>
      <c r="AA80" s="310"/>
      <c r="AB80" s="310"/>
      <c r="AC80" s="310"/>
      <c r="AD80" s="310"/>
      <c r="AE80" s="21"/>
      <c r="AF80" s="266"/>
      <c r="AG80" s="441">
        <f>SUMIF($B$9:$T$36,AF80,'SEN COUNT'!$B$9:$T$36)</f>
        <v>0</v>
      </c>
      <c r="AH80" s="441"/>
      <c r="AI80" s="442"/>
      <c r="AJ80" s="441"/>
      <c r="AK80" s="310"/>
      <c r="AL80" s="310"/>
    </row>
    <row r="81" spans="1:38" ht="15.75" customHeight="1">
      <c r="A81" s="310"/>
      <c r="B81" s="310"/>
      <c r="C81" s="310"/>
      <c r="D81" s="310"/>
      <c r="E81" s="310"/>
      <c r="F81" s="311"/>
      <c r="G81" s="311"/>
      <c r="H81" s="1"/>
      <c r="I81" s="353"/>
      <c r="J81" s="353"/>
      <c r="K81" s="353"/>
      <c r="L81" s="353"/>
      <c r="M81" s="353"/>
      <c r="N81" s="353"/>
      <c r="O81" s="310"/>
      <c r="P81" s="310"/>
      <c r="Q81" s="310"/>
      <c r="R81" s="310"/>
      <c r="S81" s="310"/>
      <c r="T81" s="310"/>
      <c r="U81" s="310"/>
      <c r="V81" s="310"/>
      <c r="W81" s="310"/>
      <c r="X81" s="310"/>
      <c r="Y81" s="310"/>
      <c r="Z81" s="310"/>
      <c r="AA81" s="310"/>
      <c r="AB81" s="310"/>
      <c r="AC81" s="310"/>
      <c r="AD81" s="310"/>
      <c r="AE81" s="310"/>
      <c r="AF81" s="391"/>
      <c r="AG81" s="441"/>
      <c r="AH81" s="441"/>
      <c r="AI81" s="442"/>
      <c r="AJ81" s="441"/>
      <c r="AK81" s="310"/>
      <c r="AL81" s="310"/>
    </row>
    <row r="82" spans="1:38" ht="15.75" customHeight="1">
      <c r="A82" s="310"/>
      <c r="B82" s="310"/>
      <c r="C82" s="310"/>
      <c r="D82" s="310"/>
      <c r="E82" s="310"/>
      <c r="F82" s="311"/>
      <c r="G82" s="311"/>
      <c r="H82" s="1"/>
      <c r="I82" s="353"/>
      <c r="J82" s="353"/>
      <c r="K82" s="353"/>
      <c r="L82" s="353"/>
      <c r="M82" s="353"/>
      <c r="N82" s="353"/>
      <c r="O82" s="310"/>
      <c r="P82" s="310"/>
      <c r="Q82" s="310"/>
      <c r="R82" s="310"/>
      <c r="S82" s="310"/>
      <c r="T82" s="310"/>
      <c r="U82" s="310"/>
      <c r="V82" s="310"/>
      <c r="W82" s="310"/>
      <c r="X82" s="310"/>
      <c r="Y82" s="310"/>
      <c r="Z82" s="310"/>
      <c r="AA82" s="310"/>
      <c r="AB82" s="310"/>
      <c r="AC82" s="310"/>
      <c r="AD82" s="310"/>
      <c r="AE82" s="310"/>
      <c r="AF82" s="391"/>
      <c r="AG82" s="441"/>
      <c r="AH82" s="441"/>
      <c r="AI82" s="442"/>
      <c r="AJ82" s="441"/>
      <c r="AK82" s="310"/>
      <c r="AL82" s="310"/>
    </row>
    <row r="83" spans="1:38" ht="15.75" customHeight="1">
      <c r="A83" s="310"/>
      <c r="B83" s="310"/>
      <c r="C83" s="310"/>
      <c r="D83" s="310"/>
      <c r="E83" s="310"/>
      <c r="F83" s="311"/>
      <c r="G83" s="311"/>
      <c r="H83" s="1"/>
      <c r="I83" s="353"/>
      <c r="J83" s="353"/>
      <c r="K83" s="353"/>
      <c r="L83" s="353"/>
      <c r="M83" s="353"/>
      <c r="N83" s="353"/>
      <c r="O83" s="310"/>
      <c r="P83" s="310"/>
      <c r="Q83" s="310"/>
      <c r="R83" s="310"/>
      <c r="S83" s="310"/>
      <c r="T83" s="310"/>
      <c r="U83" s="310"/>
      <c r="V83" s="310"/>
      <c r="W83" s="310"/>
      <c r="X83" s="310"/>
      <c r="Y83" s="310"/>
      <c r="Z83" s="310"/>
      <c r="AA83" s="310"/>
      <c r="AB83" s="310"/>
      <c r="AC83" s="310"/>
      <c r="AD83" s="310"/>
      <c r="AE83" s="310"/>
      <c r="AF83" s="391"/>
      <c r="AG83" s="441"/>
      <c r="AH83" s="441"/>
      <c r="AI83" s="442"/>
      <c r="AJ83" s="441"/>
      <c r="AK83" s="310"/>
      <c r="AL83" s="310"/>
    </row>
    <row r="84" spans="1:38" ht="15.75" customHeight="1">
      <c r="A84" s="310"/>
      <c r="B84" s="310"/>
      <c r="C84" s="310"/>
      <c r="D84" s="310"/>
      <c r="E84" s="310"/>
      <c r="F84" s="311"/>
      <c r="G84" s="311"/>
      <c r="H84" s="1"/>
      <c r="I84" s="353"/>
      <c r="J84" s="353"/>
      <c r="K84" s="353"/>
      <c r="L84" s="353"/>
      <c r="M84" s="353"/>
      <c r="N84" s="353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310"/>
      <c r="AB84" s="310"/>
      <c r="AC84" s="310"/>
      <c r="AD84" s="310"/>
      <c r="AE84" s="310"/>
      <c r="AF84" s="391"/>
      <c r="AG84" s="441"/>
      <c r="AH84" s="441"/>
      <c r="AI84" s="442"/>
      <c r="AJ84" s="441"/>
      <c r="AK84" s="310"/>
      <c r="AL84" s="310"/>
    </row>
    <row r="85" spans="1:38" ht="15.75" customHeight="1">
      <c r="A85" s="310"/>
      <c r="B85" s="310"/>
      <c r="C85" s="310"/>
      <c r="D85" s="310"/>
      <c r="E85" s="310"/>
      <c r="F85" s="311"/>
      <c r="G85" s="311"/>
      <c r="H85" s="1"/>
      <c r="I85" s="353"/>
      <c r="J85" s="353"/>
      <c r="K85" s="353"/>
      <c r="L85" s="353"/>
      <c r="M85" s="353"/>
      <c r="N85" s="353"/>
      <c r="O85" s="310"/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0"/>
      <c r="AF85" s="391"/>
      <c r="AG85" s="441"/>
      <c r="AH85" s="441"/>
      <c r="AI85" s="442"/>
      <c r="AJ85" s="441"/>
      <c r="AK85" s="310"/>
      <c r="AL85" s="310"/>
    </row>
    <row r="86" spans="1:38" ht="15.75" customHeight="1">
      <c r="A86" s="310"/>
      <c r="B86" s="310"/>
      <c r="C86" s="310"/>
      <c r="D86" s="310"/>
      <c r="E86" s="310"/>
      <c r="F86" s="311"/>
      <c r="G86" s="311"/>
      <c r="H86" s="1"/>
      <c r="I86" s="353"/>
      <c r="J86" s="353"/>
      <c r="K86" s="353"/>
      <c r="L86" s="353"/>
      <c r="M86" s="353"/>
      <c r="N86" s="353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0"/>
      <c r="AF86" s="391"/>
      <c r="AG86" s="441"/>
      <c r="AH86" s="441"/>
      <c r="AI86" s="442"/>
      <c r="AJ86" s="441"/>
      <c r="AK86" s="310"/>
      <c r="AL86" s="310"/>
    </row>
    <row r="87" spans="1:38" ht="15.75" customHeight="1">
      <c r="A87" s="310"/>
      <c r="B87" s="310"/>
      <c r="C87" s="310"/>
      <c r="D87" s="310"/>
      <c r="E87" s="310"/>
      <c r="F87" s="311"/>
      <c r="G87" s="311"/>
      <c r="H87" s="1"/>
      <c r="I87" s="353"/>
      <c r="J87" s="353"/>
      <c r="K87" s="353"/>
      <c r="L87" s="353"/>
      <c r="M87" s="353"/>
      <c r="N87" s="353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310"/>
      <c r="AB87" s="310"/>
      <c r="AC87" s="310"/>
      <c r="AD87" s="310"/>
      <c r="AE87" s="310"/>
      <c r="AF87" s="391"/>
      <c r="AG87" s="441"/>
      <c r="AH87" s="441"/>
      <c r="AI87" s="442"/>
      <c r="AJ87" s="441"/>
      <c r="AK87" s="310"/>
      <c r="AL87" s="310"/>
    </row>
    <row r="88" spans="1:38" ht="15.75" customHeight="1">
      <c r="A88" s="310"/>
      <c r="B88" s="310"/>
      <c r="C88" s="310"/>
      <c r="D88" s="310"/>
      <c r="E88" s="310"/>
      <c r="F88" s="311"/>
      <c r="G88" s="311"/>
      <c r="H88" s="1"/>
      <c r="I88" s="353"/>
      <c r="J88" s="353"/>
      <c r="K88" s="353"/>
      <c r="L88" s="353"/>
      <c r="M88" s="353"/>
      <c r="N88" s="353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0"/>
      <c r="AB88" s="310"/>
      <c r="AC88" s="310"/>
      <c r="AD88" s="310"/>
      <c r="AE88" s="310"/>
      <c r="AF88" s="391"/>
      <c r="AG88" s="441"/>
      <c r="AH88" s="441"/>
      <c r="AI88" s="442"/>
      <c r="AJ88" s="441"/>
      <c r="AK88" s="310"/>
      <c r="AL88" s="310"/>
    </row>
    <row r="89" spans="1:38" ht="15.75" customHeight="1">
      <c r="A89" s="310"/>
      <c r="B89" s="310"/>
      <c r="C89" s="310"/>
      <c r="D89" s="310"/>
      <c r="E89" s="310"/>
      <c r="F89" s="311"/>
      <c r="G89" s="311"/>
      <c r="H89" s="1"/>
      <c r="I89" s="353"/>
      <c r="J89" s="353"/>
      <c r="K89" s="353"/>
      <c r="L89" s="353"/>
      <c r="M89" s="353"/>
      <c r="N89" s="353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310"/>
      <c r="AB89" s="310"/>
      <c r="AC89" s="310"/>
      <c r="AD89" s="310"/>
      <c r="AE89" s="310"/>
      <c r="AF89" s="391"/>
      <c r="AG89" s="391"/>
      <c r="AH89" s="391"/>
      <c r="AI89" s="391"/>
      <c r="AJ89" s="391"/>
      <c r="AK89" s="310"/>
      <c r="AL89" s="310"/>
    </row>
    <row r="90" spans="1:38" ht="15.75" customHeight="1">
      <c r="A90" s="310"/>
      <c r="B90" s="310"/>
      <c r="C90" s="310"/>
      <c r="D90" s="310"/>
      <c r="E90" s="310"/>
      <c r="F90" s="311"/>
      <c r="G90" s="311"/>
      <c r="H90" s="1"/>
      <c r="I90" s="353"/>
      <c r="J90" s="353"/>
      <c r="K90" s="353"/>
      <c r="L90" s="353"/>
      <c r="M90" s="353"/>
      <c r="N90" s="353"/>
      <c r="O90" s="310"/>
      <c r="P90" s="310"/>
      <c r="Q90" s="310"/>
      <c r="R90" s="310"/>
      <c r="S90" s="310"/>
      <c r="T90" s="310"/>
      <c r="U90" s="310"/>
      <c r="V90" s="310"/>
      <c r="W90" s="310"/>
      <c r="X90" s="310"/>
      <c r="Y90" s="310"/>
      <c r="Z90" s="310"/>
      <c r="AA90" s="310"/>
      <c r="AB90" s="310"/>
      <c r="AC90" s="310"/>
      <c r="AD90" s="310"/>
      <c r="AE90" s="310"/>
      <c r="AF90" s="391"/>
      <c r="AG90" s="391"/>
      <c r="AH90" s="391"/>
      <c r="AI90" s="391"/>
      <c r="AJ90" s="391"/>
      <c r="AK90" s="310"/>
      <c r="AL90" s="310"/>
    </row>
    <row r="91" spans="1:38" ht="15.75" customHeight="1">
      <c r="A91" s="310"/>
      <c r="B91" s="310"/>
      <c r="C91" s="310"/>
      <c r="D91" s="310"/>
      <c r="E91" s="310"/>
      <c r="F91" s="311"/>
      <c r="G91" s="311"/>
      <c r="H91" s="1"/>
      <c r="I91" s="353"/>
      <c r="J91" s="353"/>
      <c r="K91" s="353"/>
      <c r="L91" s="353"/>
      <c r="M91" s="353"/>
      <c r="N91" s="353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  <c r="AA91" s="310"/>
      <c r="AB91" s="310"/>
      <c r="AC91" s="310"/>
      <c r="AD91" s="310"/>
      <c r="AE91" s="310"/>
      <c r="AF91" s="391"/>
      <c r="AG91" s="391"/>
      <c r="AH91" s="391"/>
      <c r="AI91" s="391"/>
      <c r="AJ91" s="391"/>
      <c r="AK91" s="310"/>
      <c r="AL91" s="310"/>
    </row>
    <row r="92" spans="1:38" ht="15.75" customHeight="1">
      <c r="A92" s="310"/>
      <c r="B92" s="310"/>
      <c r="C92" s="310"/>
      <c r="D92" s="310"/>
      <c r="E92" s="310"/>
      <c r="F92" s="311"/>
      <c r="G92" s="311"/>
      <c r="H92" s="1"/>
      <c r="I92" s="353"/>
      <c r="J92" s="353"/>
      <c r="K92" s="353"/>
      <c r="L92" s="353"/>
      <c r="M92" s="353"/>
      <c r="N92" s="353"/>
      <c r="O92" s="310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91"/>
      <c r="AG92" s="391"/>
      <c r="AH92" s="391"/>
      <c r="AI92" s="391"/>
      <c r="AJ92" s="391"/>
      <c r="AK92" s="310"/>
      <c r="AL92" s="310"/>
    </row>
    <row r="93" spans="1:38" ht="15.75" customHeight="1">
      <c r="A93" s="310"/>
      <c r="B93" s="310"/>
      <c r="C93" s="310"/>
      <c r="D93" s="310"/>
      <c r="E93" s="310"/>
      <c r="F93" s="311"/>
      <c r="G93" s="311"/>
      <c r="H93" s="1"/>
      <c r="I93" s="353"/>
      <c r="J93" s="353"/>
      <c r="K93" s="353"/>
      <c r="L93" s="353"/>
      <c r="M93" s="353"/>
      <c r="N93" s="353"/>
      <c r="O93" s="310"/>
      <c r="P93" s="310"/>
      <c r="Q93" s="310"/>
      <c r="R93" s="310"/>
      <c r="S93" s="310"/>
      <c r="T93" s="310"/>
      <c r="U93" s="310"/>
      <c r="V93" s="310"/>
      <c r="W93" s="310"/>
      <c r="X93" s="310"/>
      <c r="Y93" s="310"/>
      <c r="Z93" s="310"/>
      <c r="AA93" s="310"/>
      <c r="AB93" s="310"/>
      <c r="AC93" s="310"/>
      <c r="AD93" s="310"/>
      <c r="AE93" s="310"/>
      <c r="AF93" s="391"/>
      <c r="AG93" s="391"/>
      <c r="AH93" s="391"/>
      <c r="AI93" s="391"/>
      <c r="AJ93" s="391"/>
      <c r="AK93" s="310"/>
      <c r="AL93" s="310"/>
    </row>
    <row r="94" spans="1:38" ht="15.75" customHeight="1">
      <c r="A94" s="310"/>
      <c r="B94" s="310"/>
      <c r="C94" s="310"/>
      <c r="D94" s="310"/>
      <c r="E94" s="310"/>
      <c r="F94" s="311"/>
      <c r="G94" s="311"/>
      <c r="H94" s="1"/>
      <c r="I94" s="353"/>
      <c r="J94" s="353"/>
      <c r="K94" s="353"/>
      <c r="L94" s="353"/>
      <c r="M94" s="353"/>
      <c r="N94" s="353"/>
      <c r="O94" s="310"/>
      <c r="P94" s="310"/>
      <c r="Q94" s="310"/>
      <c r="R94" s="310"/>
      <c r="S94" s="310"/>
      <c r="T94" s="310"/>
      <c r="U94" s="310"/>
      <c r="V94" s="310"/>
      <c r="W94" s="310"/>
      <c r="X94" s="310"/>
      <c r="Y94" s="310"/>
      <c r="Z94" s="310"/>
      <c r="AA94" s="310"/>
      <c r="AB94" s="310"/>
      <c r="AC94" s="310"/>
      <c r="AD94" s="310"/>
      <c r="AE94" s="310"/>
      <c r="AF94" s="391"/>
      <c r="AG94" s="391"/>
      <c r="AH94" s="391"/>
      <c r="AI94" s="391"/>
      <c r="AJ94" s="391"/>
      <c r="AK94" s="310"/>
      <c r="AL94" s="310"/>
    </row>
    <row r="95" spans="1:38" ht="15.75" customHeight="1">
      <c r="A95" s="310"/>
      <c r="B95" s="310"/>
      <c r="C95" s="310"/>
      <c r="D95" s="310"/>
      <c r="E95" s="310"/>
      <c r="F95" s="311"/>
      <c r="G95" s="311"/>
      <c r="H95" s="1"/>
      <c r="I95" s="353"/>
      <c r="J95" s="353"/>
      <c r="K95" s="353"/>
      <c r="L95" s="353"/>
      <c r="M95" s="353"/>
      <c r="N95" s="353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310"/>
      <c r="AB95" s="310"/>
      <c r="AC95" s="310"/>
      <c r="AD95" s="310"/>
      <c r="AE95" s="310"/>
      <c r="AF95" s="391"/>
      <c r="AG95" s="391"/>
      <c r="AH95" s="391"/>
      <c r="AI95" s="391"/>
      <c r="AJ95" s="391"/>
      <c r="AK95" s="310"/>
      <c r="AL95" s="310"/>
    </row>
    <row r="96" spans="1:38" ht="15.75" customHeight="1">
      <c r="A96" s="310"/>
      <c r="B96" s="310"/>
      <c r="C96" s="310"/>
      <c r="D96" s="310"/>
      <c r="E96" s="310"/>
      <c r="F96" s="311"/>
      <c r="G96" s="311"/>
      <c r="H96" s="1"/>
      <c r="I96" s="353"/>
      <c r="J96" s="353"/>
      <c r="K96" s="353"/>
      <c r="L96" s="353"/>
      <c r="M96" s="353"/>
      <c r="N96" s="353"/>
      <c r="O96" s="310"/>
      <c r="P96" s="310"/>
      <c r="Q96" s="310"/>
      <c r="R96" s="310"/>
      <c r="S96" s="310"/>
      <c r="T96" s="310"/>
      <c r="U96" s="310"/>
      <c r="V96" s="310"/>
      <c r="W96" s="310"/>
      <c r="X96" s="310"/>
      <c r="Y96" s="310"/>
      <c r="Z96" s="310"/>
      <c r="AA96" s="310"/>
      <c r="AB96" s="310"/>
      <c r="AC96" s="310"/>
      <c r="AD96" s="310"/>
      <c r="AE96" s="310"/>
      <c r="AF96" s="391"/>
      <c r="AG96" s="391"/>
      <c r="AH96" s="391"/>
      <c r="AI96" s="391"/>
      <c r="AJ96" s="391"/>
      <c r="AK96" s="310"/>
      <c r="AL96" s="310"/>
    </row>
    <row r="97" spans="1:38" ht="15.75" customHeight="1">
      <c r="A97" s="310"/>
      <c r="B97" s="310"/>
      <c r="C97" s="310"/>
      <c r="D97" s="310"/>
      <c r="E97" s="310"/>
      <c r="F97" s="311"/>
      <c r="G97" s="311"/>
      <c r="H97" s="1"/>
      <c r="I97" s="353"/>
      <c r="J97" s="353"/>
      <c r="K97" s="353"/>
      <c r="L97" s="353"/>
      <c r="M97" s="353"/>
      <c r="N97" s="353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310"/>
      <c r="AB97" s="310"/>
      <c r="AC97" s="310"/>
      <c r="AD97" s="310"/>
      <c r="AE97" s="310"/>
      <c r="AF97" s="391"/>
      <c r="AG97" s="391"/>
      <c r="AH97" s="391"/>
      <c r="AI97" s="391"/>
      <c r="AJ97" s="391"/>
      <c r="AK97" s="310"/>
      <c r="AL97" s="310"/>
    </row>
    <row r="98" spans="1:38" ht="15.75" customHeight="1">
      <c r="A98" s="310"/>
      <c r="B98" s="310"/>
      <c r="C98" s="310"/>
      <c r="D98" s="310"/>
      <c r="E98" s="310"/>
      <c r="F98" s="311"/>
      <c r="G98" s="311"/>
      <c r="H98" s="1"/>
      <c r="I98" s="353"/>
      <c r="J98" s="353"/>
      <c r="K98" s="353"/>
      <c r="L98" s="353"/>
      <c r="M98" s="353"/>
      <c r="N98" s="353"/>
      <c r="O98" s="310"/>
      <c r="P98" s="310"/>
      <c r="Q98" s="310"/>
      <c r="R98" s="310"/>
      <c r="S98" s="310"/>
      <c r="T98" s="310"/>
      <c r="U98" s="310"/>
      <c r="V98" s="310"/>
      <c r="W98" s="310"/>
      <c r="X98" s="310"/>
      <c r="Y98" s="310"/>
      <c r="Z98" s="310"/>
      <c r="AA98" s="310"/>
      <c r="AB98" s="310"/>
      <c r="AC98" s="310"/>
      <c r="AD98" s="310"/>
      <c r="AE98" s="310"/>
      <c r="AF98" s="391"/>
      <c r="AG98" s="391"/>
      <c r="AH98" s="391"/>
      <c r="AI98" s="391"/>
      <c r="AJ98" s="391"/>
      <c r="AK98" s="310"/>
      <c r="AL98" s="310"/>
    </row>
    <row r="99" spans="1:38" ht="15.75" customHeight="1">
      <c r="A99" s="310"/>
      <c r="B99" s="310"/>
      <c r="C99" s="310"/>
      <c r="D99" s="310"/>
      <c r="E99" s="310"/>
      <c r="F99" s="311"/>
      <c r="G99" s="311"/>
      <c r="H99" s="1"/>
      <c r="I99" s="353"/>
      <c r="J99" s="353"/>
      <c r="K99" s="353"/>
      <c r="L99" s="353"/>
      <c r="M99" s="353"/>
      <c r="N99" s="353"/>
      <c r="O99" s="310"/>
      <c r="P99" s="310"/>
      <c r="Q99" s="310"/>
      <c r="R99" s="310"/>
      <c r="S99" s="310"/>
      <c r="T99" s="310"/>
      <c r="U99" s="310"/>
      <c r="V99" s="310"/>
      <c r="W99" s="310"/>
      <c r="X99" s="310"/>
      <c r="Y99" s="310"/>
      <c r="Z99" s="310"/>
      <c r="AA99" s="310"/>
      <c r="AB99" s="310"/>
      <c r="AC99" s="310"/>
      <c r="AD99" s="310"/>
      <c r="AE99" s="310"/>
      <c r="AF99" s="391"/>
      <c r="AG99" s="391"/>
      <c r="AH99" s="391"/>
      <c r="AI99" s="391"/>
      <c r="AJ99" s="391"/>
      <c r="AK99" s="310"/>
      <c r="AL99" s="310"/>
    </row>
    <row r="100" spans="1:38" ht="15.75" customHeight="1">
      <c r="A100" s="310"/>
      <c r="B100" s="310"/>
      <c r="C100" s="310"/>
      <c r="D100" s="310"/>
      <c r="E100" s="310"/>
      <c r="F100" s="311"/>
      <c r="G100" s="311"/>
      <c r="H100" s="1"/>
      <c r="I100" s="353"/>
      <c r="J100" s="353"/>
      <c r="K100" s="353"/>
      <c r="L100" s="353"/>
      <c r="M100" s="353"/>
      <c r="N100" s="353"/>
      <c r="O100" s="310"/>
      <c r="P100" s="310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  <c r="AA100" s="310"/>
      <c r="AB100" s="310"/>
      <c r="AC100" s="310"/>
      <c r="AD100" s="310"/>
      <c r="AE100" s="310"/>
      <c r="AF100" s="391"/>
      <c r="AG100" s="391"/>
      <c r="AH100" s="391"/>
      <c r="AI100" s="391"/>
      <c r="AJ100" s="391"/>
      <c r="AK100" s="310"/>
      <c r="AL100" s="310"/>
    </row>
    <row r="101" spans="1:38" ht="15.75" customHeight="1">
      <c r="A101" s="310"/>
      <c r="B101" s="310"/>
      <c r="C101" s="310"/>
      <c r="D101" s="310"/>
      <c r="E101" s="310"/>
      <c r="F101" s="311"/>
      <c r="G101" s="311"/>
      <c r="H101" s="1"/>
      <c r="I101" s="353"/>
      <c r="J101" s="353"/>
      <c r="K101" s="353"/>
      <c r="L101" s="353"/>
      <c r="M101" s="353"/>
      <c r="N101" s="353"/>
      <c r="O101" s="310"/>
      <c r="P101" s="310"/>
      <c r="Q101" s="310"/>
      <c r="R101" s="310"/>
      <c r="S101" s="310"/>
      <c r="T101" s="310"/>
      <c r="U101" s="310"/>
      <c r="V101" s="310"/>
      <c r="W101" s="310"/>
      <c r="X101" s="310"/>
      <c r="Y101" s="310"/>
      <c r="Z101" s="310"/>
      <c r="AA101" s="310"/>
      <c r="AB101" s="310"/>
      <c r="AC101" s="310"/>
      <c r="AD101" s="310"/>
      <c r="AE101" s="310"/>
      <c r="AF101" s="391"/>
      <c r="AG101" s="391"/>
      <c r="AH101" s="391"/>
      <c r="AI101" s="391"/>
      <c r="AJ101" s="391"/>
      <c r="AK101" s="310"/>
      <c r="AL101" s="310"/>
    </row>
    <row r="102" spans="1:38" ht="15.75" customHeight="1">
      <c r="A102" s="310"/>
      <c r="B102" s="310"/>
      <c r="C102" s="310"/>
      <c r="D102" s="310"/>
      <c r="E102" s="310"/>
      <c r="F102" s="311"/>
      <c r="G102" s="311"/>
      <c r="H102" s="1"/>
      <c r="I102" s="353"/>
      <c r="J102" s="353"/>
      <c r="K102" s="353"/>
      <c r="L102" s="353"/>
      <c r="M102" s="353"/>
      <c r="N102" s="353"/>
      <c r="O102" s="310"/>
      <c r="P102" s="310"/>
      <c r="Q102" s="310"/>
      <c r="R102" s="310"/>
      <c r="S102" s="310"/>
      <c r="T102" s="310"/>
      <c r="U102" s="310"/>
      <c r="V102" s="310"/>
      <c r="W102" s="310"/>
      <c r="X102" s="310"/>
      <c r="Y102" s="310"/>
      <c r="Z102" s="310"/>
      <c r="AA102" s="310"/>
      <c r="AB102" s="310"/>
      <c r="AC102" s="310"/>
      <c r="AD102" s="310"/>
      <c r="AE102" s="310"/>
      <c r="AF102" s="391"/>
      <c r="AG102" s="391"/>
      <c r="AH102" s="391"/>
      <c r="AI102" s="391"/>
      <c r="AJ102" s="391"/>
      <c r="AK102" s="310"/>
      <c r="AL102" s="310"/>
    </row>
    <row r="103" spans="1:38" ht="15.75" customHeight="1">
      <c r="A103" s="310"/>
      <c r="B103" s="310"/>
      <c r="C103" s="310"/>
      <c r="D103" s="310"/>
      <c r="E103" s="310"/>
      <c r="F103" s="311"/>
      <c r="G103" s="311"/>
      <c r="H103" s="1"/>
      <c r="I103" s="353"/>
      <c r="J103" s="353"/>
      <c r="K103" s="353"/>
      <c r="L103" s="353"/>
      <c r="M103" s="353"/>
      <c r="N103" s="353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91"/>
      <c r="AG103" s="391"/>
      <c r="AH103" s="391"/>
      <c r="AI103" s="391"/>
      <c r="AJ103" s="391"/>
      <c r="AK103" s="310"/>
      <c r="AL103" s="310"/>
    </row>
    <row r="104" spans="1:38" ht="15.75" customHeight="1">
      <c r="A104" s="310"/>
      <c r="B104" s="310"/>
      <c r="C104" s="310"/>
      <c r="D104" s="310"/>
      <c r="E104" s="310"/>
      <c r="F104" s="311"/>
      <c r="G104" s="311"/>
      <c r="H104" s="1"/>
      <c r="I104" s="353"/>
      <c r="J104" s="353"/>
      <c r="K104" s="353"/>
      <c r="L104" s="353"/>
      <c r="M104" s="353"/>
      <c r="N104" s="353"/>
      <c r="O104" s="310"/>
      <c r="P104" s="310"/>
      <c r="Q104" s="310"/>
      <c r="R104" s="310"/>
      <c r="S104" s="310"/>
      <c r="T104" s="310"/>
      <c r="U104" s="310"/>
      <c r="V104" s="310"/>
      <c r="W104" s="310"/>
      <c r="X104" s="310"/>
      <c r="Y104" s="310"/>
      <c r="Z104" s="310"/>
      <c r="AA104" s="310"/>
      <c r="AB104" s="310"/>
      <c r="AC104" s="310"/>
      <c r="AD104" s="310"/>
      <c r="AE104" s="310"/>
      <c r="AF104" s="391"/>
      <c r="AG104" s="391"/>
      <c r="AH104" s="391"/>
      <c r="AI104" s="391"/>
      <c r="AJ104" s="391"/>
      <c r="AK104" s="310"/>
      <c r="AL104" s="310"/>
    </row>
    <row r="105" spans="1:38" ht="15.75" customHeight="1">
      <c r="A105" s="310"/>
      <c r="B105" s="310"/>
      <c r="C105" s="310"/>
      <c r="D105" s="310"/>
      <c r="E105" s="310"/>
      <c r="F105" s="311"/>
      <c r="G105" s="311"/>
      <c r="H105" s="1"/>
      <c r="I105" s="353"/>
      <c r="J105" s="353"/>
      <c r="K105" s="353"/>
      <c r="L105" s="353"/>
      <c r="M105" s="353"/>
      <c r="N105" s="353"/>
      <c r="O105" s="310"/>
      <c r="P105" s="310"/>
      <c r="Q105" s="310"/>
      <c r="R105" s="310"/>
      <c r="S105" s="310"/>
      <c r="T105" s="310"/>
      <c r="U105" s="310"/>
      <c r="V105" s="310"/>
      <c r="W105" s="310"/>
      <c r="X105" s="310"/>
      <c r="Y105" s="310"/>
      <c r="Z105" s="310"/>
      <c r="AA105" s="310"/>
      <c r="AB105" s="310"/>
      <c r="AC105" s="310"/>
      <c r="AD105" s="310"/>
      <c r="AE105" s="310"/>
      <c r="AF105" s="391"/>
      <c r="AG105" s="391"/>
      <c r="AH105" s="391"/>
      <c r="AI105" s="391"/>
      <c r="AJ105" s="391"/>
      <c r="AK105" s="310"/>
      <c r="AL105" s="310"/>
    </row>
    <row r="106" spans="1:38" ht="15.75" customHeight="1">
      <c r="A106" s="310"/>
      <c r="B106" s="310"/>
      <c r="C106" s="310"/>
      <c r="D106" s="310"/>
      <c r="E106" s="310"/>
      <c r="F106" s="311"/>
      <c r="G106" s="311"/>
      <c r="H106" s="1"/>
      <c r="I106" s="353"/>
      <c r="J106" s="353"/>
      <c r="K106" s="353"/>
      <c r="L106" s="353"/>
      <c r="M106" s="353"/>
      <c r="N106" s="353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310"/>
      <c r="AB106" s="310"/>
      <c r="AC106" s="310"/>
      <c r="AD106" s="310"/>
      <c r="AE106" s="310"/>
      <c r="AF106" s="391"/>
      <c r="AG106" s="391"/>
      <c r="AH106" s="391"/>
      <c r="AI106" s="391"/>
      <c r="AJ106" s="391"/>
      <c r="AK106" s="310"/>
      <c r="AL106" s="310"/>
    </row>
    <row r="107" spans="1:38" ht="15.75" customHeight="1">
      <c r="A107" s="310"/>
      <c r="B107" s="310"/>
      <c r="C107" s="310"/>
      <c r="D107" s="310"/>
      <c r="E107" s="310"/>
      <c r="F107" s="311"/>
      <c r="G107" s="311"/>
      <c r="H107" s="1"/>
      <c r="I107" s="353"/>
      <c r="J107" s="353"/>
      <c r="K107" s="353"/>
      <c r="L107" s="353"/>
      <c r="M107" s="353"/>
      <c r="N107" s="353"/>
      <c r="O107" s="310"/>
      <c r="P107" s="310"/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  <c r="AA107" s="310"/>
      <c r="AB107" s="310"/>
      <c r="AC107" s="310"/>
      <c r="AD107" s="310"/>
      <c r="AE107" s="310"/>
      <c r="AF107" s="391"/>
      <c r="AG107" s="391"/>
      <c r="AH107" s="391"/>
      <c r="AI107" s="391"/>
      <c r="AJ107" s="391"/>
      <c r="AK107" s="310"/>
      <c r="AL107" s="310"/>
    </row>
    <row r="108" spans="1:38" ht="15.75" customHeight="1">
      <c r="A108" s="310"/>
      <c r="B108" s="310"/>
      <c r="C108" s="310"/>
      <c r="D108" s="310"/>
      <c r="E108" s="310"/>
      <c r="F108" s="311"/>
      <c r="G108" s="311"/>
      <c r="H108" s="1"/>
      <c r="I108" s="353"/>
      <c r="J108" s="353"/>
      <c r="K108" s="353"/>
      <c r="L108" s="353"/>
      <c r="M108" s="353"/>
      <c r="N108" s="353"/>
      <c r="O108" s="310"/>
      <c r="P108" s="310"/>
      <c r="Q108" s="310"/>
      <c r="R108" s="310"/>
      <c r="S108" s="310"/>
      <c r="T108" s="310"/>
      <c r="U108" s="310"/>
      <c r="V108" s="310"/>
      <c r="W108" s="310"/>
      <c r="X108" s="310"/>
      <c r="Y108" s="310"/>
      <c r="Z108" s="310"/>
      <c r="AA108" s="310"/>
      <c r="AB108" s="310"/>
      <c r="AC108" s="310"/>
      <c r="AD108" s="310"/>
      <c r="AE108" s="310"/>
      <c r="AF108" s="391"/>
      <c r="AG108" s="391"/>
      <c r="AH108" s="391"/>
      <c r="AI108" s="391"/>
      <c r="AJ108" s="391"/>
      <c r="AK108" s="310"/>
      <c r="AL108" s="310"/>
    </row>
    <row r="109" spans="1:38" ht="15.75" customHeight="1">
      <c r="A109" s="310"/>
      <c r="B109" s="310"/>
      <c r="C109" s="310"/>
      <c r="D109" s="310"/>
      <c r="E109" s="310"/>
      <c r="F109" s="311"/>
      <c r="G109" s="311"/>
      <c r="H109" s="1"/>
      <c r="I109" s="353"/>
      <c r="J109" s="353"/>
      <c r="K109" s="353"/>
      <c r="L109" s="353"/>
      <c r="M109" s="353"/>
      <c r="N109" s="353"/>
      <c r="O109" s="310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91"/>
      <c r="AG109" s="391"/>
      <c r="AH109" s="391"/>
      <c r="AI109" s="391"/>
      <c r="AJ109" s="391"/>
      <c r="AK109" s="310"/>
      <c r="AL109" s="310"/>
    </row>
    <row r="110" spans="1:38" ht="15.75" customHeight="1">
      <c r="A110" s="310"/>
      <c r="B110" s="310"/>
      <c r="C110" s="310"/>
      <c r="D110" s="310"/>
      <c r="E110" s="310"/>
      <c r="F110" s="311"/>
      <c r="G110" s="311"/>
      <c r="H110" s="1"/>
      <c r="I110" s="353"/>
      <c r="J110" s="353"/>
      <c r="K110" s="353"/>
      <c r="L110" s="353"/>
      <c r="M110" s="353"/>
      <c r="N110" s="353"/>
      <c r="O110" s="310"/>
      <c r="P110" s="310"/>
      <c r="Q110" s="310"/>
      <c r="R110" s="310"/>
      <c r="S110" s="310"/>
      <c r="T110" s="310"/>
      <c r="U110" s="310"/>
      <c r="V110" s="310"/>
      <c r="W110" s="310"/>
      <c r="X110" s="310"/>
      <c r="Y110" s="310"/>
      <c r="Z110" s="310"/>
      <c r="AA110" s="310"/>
      <c r="AB110" s="310"/>
      <c r="AC110" s="310"/>
      <c r="AD110" s="310"/>
      <c r="AE110" s="310"/>
      <c r="AF110" s="391"/>
      <c r="AG110" s="391"/>
      <c r="AH110" s="391"/>
      <c r="AI110" s="391"/>
      <c r="AJ110" s="391"/>
      <c r="AK110" s="310"/>
      <c r="AL110" s="310"/>
    </row>
    <row r="111" spans="1:38" ht="15.75" customHeight="1">
      <c r="A111" s="310"/>
      <c r="B111" s="310"/>
      <c r="C111" s="310"/>
      <c r="D111" s="310"/>
      <c r="E111" s="310"/>
      <c r="F111" s="311"/>
      <c r="G111" s="311"/>
      <c r="H111" s="1"/>
      <c r="I111" s="353"/>
      <c r="J111" s="353"/>
      <c r="K111" s="353"/>
      <c r="L111" s="353"/>
      <c r="M111" s="353"/>
      <c r="N111" s="353"/>
      <c r="O111" s="310"/>
      <c r="P111" s="310"/>
      <c r="Q111" s="310"/>
      <c r="R111" s="310"/>
      <c r="S111" s="310"/>
      <c r="T111" s="310"/>
      <c r="U111" s="310"/>
      <c r="V111" s="310"/>
      <c r="W111" s="310"/>
      <c r="X111" s="310"/>
      <c r="Y111" s="310"/>
      <c r="Z111" s="310"/>
      <c r="AA111" s="310"/>
      <c r="AB111" s="310"/>
      <c r="AC111" s="310"/>
      <c r="AD111" s="310"/>
      <c r="AE111" s="310"/>
      <c r="AF111" s="391"/>
      <c r="AG111" s="391"/>
      <c r="AH111" s="391"/>
      <c r="AI111" s="391"/>
      <c r="AJ111" s="391"/>
      <c r="AK111" s="310"/>
      <c r="AL111" s="310"/>
    </row>
    <row r="112" spans="1:38" ht="15.75" customHeight="1">
      <c r="A112" s="310"/>
      <c r="B112" s="310"/>
      <c r="C112" s="310"/>
      <c r="D112" s="310"/>
      <c r="E112" s="310"/>
      <c r="F112" s="311"/>
      <c r="G112" s="311"/>
      <c r="H112" s="1"/>
      <c r="I112" s="353"/>
      <c r="J112" s="353"/>
      <c r="K112" s="353"/>
      <c r="L112" s="353"/>
      <c r="M112" s="353"/>
      <c r="N112" s="353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310"/>
      <c r="AB112" s="310"/>
      <c r="AC112" s="310"/>
      <c r="AD112" s="310"/>
      <c r="AE112" s="310"/>
      <c r="AF112" s="391"/>
      <c r="AG112" s="391"/>
      <c r="AH112" s="391"/>
      <c r="AI112" s="391"/>
      <c r="AJ112" s="391"/>
      <c r="AK112" s="310"/>
      <c r="AL112" s="310"/>
    </row>
    <row r="113" spans="1:38" ht="15.75" customHeight="1">
      <c r="A113" s="310"/>
      <c r="B113" s="310"/>
      <c r="C113" s="310"/>
      <c r="D113" s="310"/>
      <c r="E113" s="310"/>
      <c r="F113" s="311"/>
      <c r="G113" s="311"/>
      <c r="H113" s="1"/>
      <c r="I113" s="353"/>
      <c r="J113" s="353"/>
      <c r="K113" s="353"/>
      <c r="L113" s="353"/>
      <c r="M113" s="353"/>
      <c r="N113" s="353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310"/>
      <c r="AB113" s="310"/>
      <c r="AC113" s="310"/>
      <c r="AD113" s="310"/>
      <c r="AE113" s="310"/>
      <c r="AF113" s="391"/>
      <c r="AG113" s="391"/>
      <c r="AH113" s="391"/>
      <c r="AI113" s="391"/>
      <c r="AJ113" s="391"/>
      <c r="AK113" s="310"/>
      <c r="AL113" s="310"/>
    </row>
    <row r="114" spans="1:38" ht="15.75" customHeight="1">
      <c r="A114" s="310"/>
      <c r="B114" s="310"/>
      <c r="C114" s="310"/>
      <c r="D114" s="310"/>
      <c r="E114" s="310"/>
      <c r="F114" s="311"/>
      <c r="G114" s="311"/>
      <c r="H114" s="1"/>
      <c r="I114" s="353"/>
      <c r="J114" s="353"/>
      <c r="K114" s="353"/>
      <c r="L114" s="353"/>
      <c r="M114" s="353"/>
      <c r="N114" s="353"/>
      <c r="O114" s="310"/>
      <c r="P114" s="310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  <c r="AA114" s="310"/>
      <c r="AB114" s="310"/>
      <c r="AC114" s="310"/>
      <c r="AD114" s="310"/>
      <c r="AE114" s="310"/>
      <c r="AF114" s="391"/>
      <c r="AG114" s="391"/>
      <c r="AH114" s="391"/>
      <c r="AI114" s="391"/>
      <c r="AJ114" s="391"/>
      <c r="AK114" s="310"/>
      <c r="AL114" s="310"/>
    </row>
    <row r="115" spans="1:38" ht="15.75" customHeight="1">
      <c r="A115" s="310"/>
      <c r="B115" s="310"/>
      <c r="C115" s="310"/>
      <c r="D115" s="310"/>
      <c r="E115" s="310"/>
      <c r="F115" s="311"/>
      <c r="G115" s="311"/>
      <c r="H115" s="1"/>
      <c r="I115" s="353"/>
      <c r="J115" s="353"/>
      <c r="K115" s="353"/>
      <c r="L115" s="353"/>
      <c r="M115" s="353"/>
      <c r="N115" s="353"/>
      <c r="O115" s="310"/>
      <c r="P115" s="310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  <c r="AA115" s="310"/>
      <c r="AB115" s="310"/>
      <c r="AC115" s="310"/>
      <c r="AD115" s="310"/>
      <c r="AE115" s="310"/>
      <c r="AF115" s="391"/>
      <c r="AG115" s="391"/>
      <c r="AH115" s="391"/>
      <c r="AI115" s="391"/>
      <c r="AJ115" s="391"/>
      <c r="AK115" s="310"/>
      <c r="AL115" s="310"/>
    </row>
    <row r="116" spans="1:38" ht="15.75" customHeight="1">
      <c r="A116" s="310"/>
      <c r="B116" s="310"/>
      <c r="C116" s="310"/>
      <c r="D116" s="310"/>
      <c r="E116" s="310"/>
      <c r="F116" s="311"/>
      <c r="G116" s="311"/>
      <c r="H116" s="1"/>
      <c r="I116" s="353"/>
      <c r="J116" s="353"/>
      <c r="K116" s="353"/>
      <c r="L116" s="353"/>
      <c r="M116" s="353"/>
      <c r="N116" s="353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310"/>
      <c r="AB116" s="310"/>
      <c r="AC116" s="310"/>
      <c r="AD116" s="310"/>
      <c r="AE116" s="310"/>
      <c r="AF116" s="391"/>
      <c r="AG116" s="391"/>
      <c r="AH116" s="391"/>
      <c r="AI116" s="391"/>
      <c r="AJ116" s="391"/>
      <c r="AK116" s="310"/>
      <c r="AL116" s="310"/>
    </row>
    <row r="117" spans="1:38" ht="15.75" customHeight="1">
      <c r="A117" s="310"/>
      <c r="B117" s="310"/>
      <c r="C117" s="310"/>
      <c r="D117" s="310"/>
      <c r="E117" s="310"/>
      <c r="F117" s="311"/>
      <c r="G117" s="311"/>
      <c r="H117" s="1"/>
      <c r="I117" s="353"/>
      <c r="J117" s="353"/>
      <c r="K117" s="353"/>
      <c r="L117" s="353"/>
      <c r="M117" s="353"/>
      <c r="N117" s="353"/>
      <c r="O117" s="310"/>
      <c r="P117" s="310"/>
      <c r="Q117" s="310"/>
      <c r="R117" s="310"/>
      <c r="S117" s="310"/>
      <c r="T117" s="310"/>
      <c r="U117" s="310"/>
      <c r="V117" s="310"/>
      <c r="W117" s="310"/>
      <c r="X117" s="310"/>
      <c r="Y117" s="310"/>
      <c r="Z117" s="310"/>
      <c r="AA117" s="310"/>
      <c r="AB117" s="310"/>
      <c r="AC117" s="310"/>
      <c r="AD117" s="310"/>
      <c r="AE117" s="310"/>
      <c r="AF117" s="391"/>
      <c r="AG117" s="391"/>
      <c r="AH117" s="391"/>
      <c r="AI117" s="391"/>
      <c r="AJ117" s="391"/>
      <c r="AK117" s="310"/>
      <c r="AL117" s="310"/>
    </row>
    <row r="118" spans="1:38" ht="15.75" customHeight="1">
      <c r="A118" s="310"/>
      <c r="B118" s="310"/>
      <c r="C118" s="310"/>
      <c r="D118" s="310"/>
      <c r="E118" s="310"/>
      <c r="F118" s="311"/>
      <c r="G118" s="311"/>
      <c r="H118" s="1"/>
      <c r="I118" s="353"/>
      <c r="J118" s="353"/>
      <c r="K118" s="353"/>
      <c r="L118" s="353"/>
      <c r="M118" s="353"/>
      <c r="N118" s="353"/>
      <c r="O118" s="310"/>
      <c r="P118" s="310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  <c r="AA118" s="310"/>
      <c r="AB118" s="310"/>
      <c r="AC118" s="310"/>
      <c r="AD118" s="310"/>
      <c r="AE118" s="310"/>
      <c r="AF118" s="391"/>
      <c r="AG118" s="391"/>
      <c r="AH118" s="391"/>
      <c r="AI118" s="391"/>
      <c r="AJ118" s="391"/>
      <c r="AK118" s="310"/>
      <c r="AL118" s="310"/>
    </row>
    <row r="119" spans="1:38" ht="15.75" customHeight="1">
      <c r="A119" s="310"/>
      <c r="B119" s="310"/>
      <c r="C119" s="310"/>
      <c r="D119" s="310"/>
      <c r="E119" s="310"/>
      <c r="F119" s="311"/>
      <c r="G119" s="311"/>
      <c r="H119" s="1"/>
      <c r="I119" s="353"/>
      <c r="J119" s="353"/>
      <c r="K119" s="353"/>
      <c r="L119" s="353"/>
      <c r="M119" s="353"/>
      <c r="N119" s="353"/>
      <c r="O119" s="310"/>
      <c r="P119" s="310"/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  <c r="AA119" s="310"/>
      <c r="AB119" s="310"/>
      <c r="AC119" s="310"/>
      <c r="AD119" s="310"/>
      <c r="AE119" s="310"/>
      <c r="AF119" s="391"/>
      <c r="AG119" s="391"/>
      <c r="AH119" s="391"/>
      <c r="AI119" s="391"/>
      <c r="AJ119" s="391"/>
      <c r="AK119" s="310"/>
      <c r="AL119" s="310"/>
    </row>
    <row r="120" spans="1:38" ht="15.75" customHeight="1">
      <c r="A120" s="310"/>
      <c r="B120" s="310"/>
      <c r="C120" s="310"/>
      <c r="D120" s="310"/>
      <c r="E120" s="310"/>
      <c r="F120" s="311"/>
      <c r="G120" s="311"/>
      <c r="H120" s="1"/>
      <c r="I120" s="353"/>
      <c r="J120" s="353"/>
      <c r="K120" s="353"/>
      <c r="L120" s="353"/>
      <c r="M120" s="353"/>
      <c r="N120" s="353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  <c r="AB120" s="310"/>
      <c r="AC120" s="310"/>
      <c r="AD120" s="310"/>
      <c r="AE120" s="310"/>
      <c r="AF120" s="391"/>
      <c r="AG120" s="391"/>
      <c r="AH120" s="391"/>
      <c r="AI120" s="391"/>
      <c r="AJ120" s="391"/>
      <c r="AK120" s="310"/>
      <c r="AL120" s="310"/>
    </row>
    <row r="121" spans="1:38" ht="15.75" customHeight="1">
      <c r="A121" s="310"/>
      <c r="B121" s="310"/>
      <c r="C121" s="310"/>
      <c r="D121" s="310"/>
      <c r="E121" s="310"/>
      <c r="F121" s="311"/>
      <c r="G121" s="311"/>
      <c r="H121" s="1"/>
      <c r="I121" s="353"/>
      <c r="J121" s="353"/>
      <c r="K121" s="353"/>
      <c r="L121" s="353"/>
      <c r="M121" s="353"/>
      <c r="N121" s="353"/>
      <c r="O121" s="310"/>
      <c r="P121" s="310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  <c r="AA121" s="310"/>
      <c r="AB121" s="310"/>
      <c r="AC121" s="310"/>
      <c r="AD121" s="310"/>
      <c r="AE121" s="310"/>
      <c r="AF121" s="391"/>
      <c r="AG121" s="391"/>
      <c r="AH121" s="391"/>
      <c r="AI121" s="391"/>
      <c r="AJ121" s="391"/>
      <c r="AK121" s="310"/>
      <c r="AL121" s="310"/>
    </row>
    <row r="122" spans="1:38" ht="15.75" customHeight="1">
      <c r="A122" s="310"/>
      <c r="B122" s="310"/>
      <c r="C122" s="310"/>
      <c r="D122" s="310"/>
      <c r="E122" s="310"/>
      <c r="F122" s="311"/>
      <c r="G122" s="311"/>
      <c r="H122" s="1"/>
      <c r="I122" s="353"/>
      <c r="J122" s="353"/>
      <c r="K122" s="353"/>
      <c r="L122" s="353"/>
      <c r="M122" s="353"/>
      <c r="N122" s="353"/>
      <c r="O122" s="310"/>
      <c r="P122" s="310"/>
      <c r="Q122" s="310"/>
      <c r="R122" s="310"/>
      <c r="S122" s="310"/>
      <c r="T122" s="310"/>
      <c r="U122" s="310"/>
      <c r="V122" s="310"/>
      <c r="W122" s="310"/>
      <c r="X122" s="310"/>
      <c r="Y122" s="310"/>
      <c r="Z122" s="310"/>
      <c r="AA122" s="310"/>
      <c r="AB122" s="310"/>
      <c r="AC122" s="310"/>
      <c r="AD122" s="310"/>
      <c r="AE122" s="310"/>
      <c r="AF122" s="391"/>
      <c r="AG122" s="391"/>
      <c r="AH122" s="391"/>
      <c r="AI122" s="391"/>
      <c r="AJ122" s="391"/>
      <c r="AK122" s="310"/>
      <c r="AL122" s="310"/>
    </row>
    <row r="123" spans="1:38" ht="15.75" customHeight="1">
      <c r="A123" s="310"/>
      <c r="B123" s="310"/>
      <c r="C123" s="310"/>
      <c r="D123" s="310"/>
      <c r="E123" s="310"/>
      <c r="F123" s="311"/>
      <c r="G123" s="311"/>
      <c r="H123" s="1"/>
      <c r="I123" s="353"/>
      <c r="J123" s="353"/>
      <c r="K123" s="353"/>
      <c r="L123" s="353"/>
      <c r="M123" s="353"/>
      <c r="N123" s="353"/>
      <c r="O123" s="310"/>
      <c r="P123" s="310"/>
      <c r="Q123" s="310"/>
      <c r="R123" s="310"/>
      <c r="S123" s="310"/>
      <c r="T123" s="310"/>
      <c r="U123" s="310"/>
      <c r="V123" s="310"/>
      <c r="W123" s="310"/>
      <c r="X123" s="310"/>
      <c r="Y123" s="310"/>
      <c r="Z123" s="310"/>
      <c r="AA123" s="310"/>
      <c r="AB123" s="310"/>
      <c r="AC123" s="310"/>
      <c r="AD123" s="310"/>
      <c r="AE123" s="310"/>
      <c r="AF123" s="391"/>
      <c r="AG123" s="391"/>
      <c r="AH123" s="391"/>
      <c r="AI123" s="391"/>
      <c r="AJ123" s="391"/>
      <c r="AK123" s="310"/>
      <c r="AL123" s="310"/>
    </row>
    <row r="124" spans="1:38" ht="15.75" customHeight="1">
      <c r="A124" s="310"/>
      <c r="B124" s="310"/>
      <c r="C124" s="310"/>
      <c r="D124" s="310"/>
      <c r="E124" s="310"/>
      <c r="F124" s="311"/>
      <c r="G124" s="311"/>
      <c r="H124" s="1"/>
      <c r="I124" s="353"/>
      <c r="J124" s="353"/>
      <c r="K124" s="353"/>
      <c r="L124" s="353"/>
      <c r="M124" s="353"/>
      <c r="N124" s="353"/>
      <c r="O124" s="310"/>
      <c r="P124" s="310"/>
      <c r="Q124" s="310"/>
      <c r="R124" s="310"/>
      <c r="S124" s="310"/>
      <c r="T124" s="310"/>
      <c r="U124" s="310"/>
      <c r="V124" s="310"/>
      <c r="W124" s="310"/>
      <c r="X124" s="310"/>
      <c r="Y124" s="310"/>
      <c r="Z124" s="310"/>
      <c r="AA124" s="310"/>
      <c r="AB124" s="310"/>
      <c r="AC124" s="310"/>
      <c r="AD124" s="310"/>
      <c r="AE124" s="310"/>
      <c r="AF124" s="391"/>
      <c r="AG124" s="391"/>
      <c r="AH124" s="391"/>
      <c r="AI124" s="391"/>
      <c r="AJ124" s="391"/>
      <c r="AK124" s="310"/>
      <c r="AL124" s="310"/>
    </row>
    <row r="125" spans="1:38" ht="15.75" customHeight="1">
      <c r="A125" s="310"/>
      <c r="B125" s="310"/>
      <c r="C125" s="310"/>
      <c r="D125" s="310"/>
      <c r="E125" s="310"/>
      <c r="F125" s="311"/>
      <c r="G125" s="311"/>
      <c r="H125" s="1"/>
      <c r="I125" s="353"/>
      <c r="J125" s="353"/>
      <c r="K125" s="353"/>
      <c r="L125" s="353"/>
      <c r="M125" s="353"/>
      <c r="N125" s="353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  <c r="AA125" s="310"/>
      <c r="AB125" s="310"/>
      <c r="AC125" s="310"/>
      <c r="AD125" s="310"/>
      <c r="AE125" s="310"/>
      <c r="AF125" s="391"/>
      <c r="AG125" s="391"/>
      <c r="AH125" s="391"/>
      <c r="AI125" s="391"/>
      <c r="AJ125" s="391"/>
      <c r="AK125" s="310"/>
      <c r="AL125" s="310"/>
    </row>
    <row r="126" spans="1:38" ht="15.75" customHeight="1">
      <c r="A126" s="310"/>
      <c r="B126" s="310"/>
      <c r="C126" s="310"/>
      <c r="D126" s="310"/>
      <c r="E126" s="310"/>
      <c r="F126" s="311"/>
      <c r="G126" s="311"/>
      <c r="H126" s="1"/>
      <c r="I126" s="353"/>
      <c r="J126" s="353"/>
      <c r="K126" s="353"/>
      <c r="L126" s="353"/>
      <c r="M126" s="353"/>
      <c r="N126" s="353"/>
      <c r="O126" s="310"/>
      <c r="P126" s="310"/>
      <c r="Q126" s="310"/>
      <c r="R126" s="310"/>
      <c r="S126" s="310"/>
      <c r="T126" s="310"/>
      <c r="U126" s="310"/>
      <c r="V126" s="310"/>
      <c r="W126" s="310"/>
      <c r="X126" s="310"/>
      <c r="Y126" s="310"/>
      <c r="Z126" s="310"/>
      <c r="AA126" s="310"/>
      <c r="AB126" s="310"/>
      <c r="AC126" s="310"/>
      <c r="AD126" s="310"/>
      <c r="AE126" s="310"/>
      <c r="AF126" s="391"/>
      <c r="AG126" s="391"/>
      <c r="AH126" s="391"/>
      <c r="AI126" s="391"/>
      <c r="AJ126" s="391"/>
      <c r="AK126" s="310"/>
      <c r="AL126" s="310"/>
    </row>
    <row r="127" spans="1:38" ht="15.75" customHeight="1">
      <c r="A127" s="310"/>
      <c r="B127" s="310"/>
      <c r="C127" s="310"/>
      <c r="D127" s="310"/>
      <c r="E127" s="310"/>
      <c r="F127" s="311"/>
      <c r="G127" s="311"/>
      <c r="H127" s="1"/>
      <c r="I127" s="353"/>
      <c r="J127" s="353"/>
      <c r="K127" s="353"/>
      <c r="L127" s="353"/>
      <c r="M127" s="353"/>
      <c r="N127" s="353"/>
      <c r="O127" s="310"/>
      <c r="P127" s="310"/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  <c r="AA127" s="310"/>
      <c r="AB127" s="310"/>
      <c r="AC127" s="310"/>
      <c r="AD127" s="310"/>
      <c r="AE127" s="310"/>
      <c r="AF127" s="391"/>
      <c r="AG127" s="391"/>
      <c r="AH127" s="391"/>
      <c r="AI127" s="391"/>
      <c r="AJ127" s="391"/>
      <c r="AK127" s="310"/>
      <c r="AL127" s="310"/>
    </row>
    <row r="128" spans="1:38" ht="15.75" customHeight="1">
      <c r="A128" s="310"/>
      <c r="B128" s="310"/>
      <c r="C128" s="310"/>
      <c r="D128" s="310"/>
      <c r="E128" s="310"/>
      <c r="F128" s="311"/>
      <c r="G128" s="311"/>
      <c r="H128" s="1"/>
      <c r="I128" s="353"/>
      <c r="J128" s="353"/>
      <c r="K128" s="353"/>
      <c r="L128" s="353"/>
      <c r="M128" s="353"/>
      <c r="N128" s="353"/>
      <c r="O128" s="310"/>
      <c r="P128" s="310"/>
      <c r="Q128" s="310"/>
      <c r="R128" s="310"/>
      <c r="S128" s="310"/>
      <c r="T128" s="310"/>
      <c r="U128" s="310"/>
      <c r="V128" s="310"/>
      <c r="W128" s="310"/>
      <c r="X128" s="310"/>
      <c r="Y128" s="310"/>
      <c r="Z128" s="310"/>
      <c r="AA128" s="310"/>
      <c r="AB128" s="310"/>
      <c r="AC128" s="310"/>
      <c r="AD128" s="310"/>
      <c r="AE128" s="310"/>
      <c r="AF128" s="391"/>
      <c r="AG128" s="391"/>
      <c r="AH128" s="391"/>
      <c r="AI128" s="391"/>
      <c r="AJ128" s="391"/>
      <c r="AK128" s="310"/>
      <c r="AL128" s="310"/>
    </row>
    <row r="129" spans="1:38" ht="15.75" customHeight="1">
      <c r="A129" s="310"/>
      <c r="B129" s="310"/>
      <c r="C129" s="310"/>
      <c r="D129" s="310"/>
      <c r="E129" s="310"/>
      <c r="F129" s="311"/>
      <c r="G129" s="311"/>
      <c r="H129" s="1"/>
      <c r="I129" s="353"/>
      <c r="J129" s="353"/>
      <c r="K129" s="353"/>
      <c r="L129" s="353"/>
      <c r="M129" s="353"/>
      <c r="N129" s="353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0"/>
      <c r="AF129" s="391"/>
      <c r="AG129" s="391"/>
      <c r="AH129" s="391"/>
      <c r="AI129" s="391"/>
      <c r="AJ129" s="391"/>
      <c r="AK129" s="310"/>
      <c r="AL129" s="310"/>
    </row>
    <row r="130" spans="1:38" ht="15.75" customHeight="1">
      <c r="A130" s="310"/>
      <c r="B130" s="310"/>
      <c r="C130" s="310"/>
      <c r="D130" s="310"/>
      <c r="E130" s="310"/>
      <c r="F130" s="311"/>
      <c r="G130" s="311"/>
      <c r="H130" s="1"/>
      <c r="I130" s="353"/>
      <c r="J130" s="353"/>
      <c r="K130" s="353"/>
      <c r="L130" s="353"/>
      <c r="M130" s="353"/>
      <c r="N130" s="353"/>
      <c r="O130" s="310"/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0"/>
      <c r="AF130" s="391"/>
      <c r="AG130" s="391"/>
      <c r="AH130" s="391"/>
      <c r="AI130" s="391"/>
      <c r="AJ130" s="391"/>
      <c r="AK130" s="310"/>
      <c r="AL130" s="310"/>
    </row>
    <row r="131" spans="1:38" ht="15.75" customHeight="1">
      <c r="A131" s="310"/>
      <c r="B131" s="310"/>
      <c r="C131" s="310"/>
      <c r="D131" s="310"/>
      <c r="E131" s="310"/>
      <c r="F131" s="311"/>
      <c r="G131" s="311"/>
      <c r="H131" s="1"/>
      <c r="I131" s="353"/>
      <c r="J131" s="353"/>
      <c r="K131" s="353"/>
      <c r="L131" s="353"/>
      <c r="M131" s="353"/>
      <c r="N131" s="353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310"/>
      <c r="AB131" s="310"/>
      <c r="AC131" s="310"/>
      <c r="AD131" s="310"/>
      <c r="AE131" s="310"/>
      <c r="AF131" s="391"/>
      <c r="AG131" s="391"/>
      <c r="AH131" s="391"/>
      <c r="AI131" s="391"/>
      <c r="AJ131" s="391"/>
      <c r="AK131" s="310"/>
      <c r="AL131" s="310"/>
    </row>
    <row r="132" spans="1:38" ht="15.75" customHeight="1">
      <c r="A132" s="310"/>
      <c r="B132" s="310"/>
      <c r="C132" s="310"/>
      <c r="D132" s="310"/>
      <c r="E132" s="310"/>
      <c r="F132" s="311"/>
      <c r="G132" s="311"/>
      <c r="H132" s="1"/>
      <c r="I132" s="353"/>
      <c r="J132" s="353"/>
      <c r="K132" s="353"/>
      <c r="L132" s="353"/>
      <c r="M132" s="353"/>
      <c r="N132" s="353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  <c r="AA132" s="310"/>
      <c r="AB132" s="310"/>
      <c r="AC132" s="310"/>
      <c r="AD132" s="310"/>
      <c r="AE132" s="310"/>
      <c r="AF132" s="391"/>
      <c r="AG132" s="391"/>
      <c r="AH132" s="391"/>
      <c r="AI132" s="391"/>
      <c r="AJ132" s="391"/>
      <c r="AK132" s="310"/>
      <c r="AL132" s="310"/>
    </row>
    <row r="133" spans="1:38" ht="15.75" customHeight="1">
      <c r="A133" s="310"/>
      <c r="B133" s="310"/>
      <c r="C133" s="310"/>
      <c r="D133" s="310"/>
      <c r="E133" s="310"/>
      <c r="F133" s="311"/>
      <c r="G133" s="311"/>
      <c r="H133" s="1"/>
      <c r="I133" s="353"/>
      <c r="J133" s="353"/>
      <c r="K133" s="353"/>
      <c r="L133" s="353"/>
      <c r="M133" s="353"/>
      <c r="N133" s="353"/>
      <c r="O133" s="310"/>
      <c r="P133" s="310"/>
      <c r="Q133" s="310"/>
      <c r="R133" s="310"/>
      <c r="S133" s="310"/>
      <c r="T133" s="310"/>
      <c r="U133" s="310"/>
      <c r="V133" s="310"/>
      <c r="W133" s="310"/>
      <c r="X133" s="310"/>
      <c r="Y133" s="310"/>
      <c r="Z133" s="310"/>
      <c r="AA133" s="310"/>
      <c r="AB133" s="310"/>
      <c r="AC133" s="310"/>
      <c r="AD133" s="310"/>
      <c r="AE133" s="310"/>
      <c r="AF133" s="391"/>
      <c r="AG133" s="391"/>
      <c r="AH133" s="391"/>
      <c r="AI133" s="391"/>
      <c r="AJ133" s="391"/>
      <c r="AK133" s="310"/>
      <c r="AL133" s="310"/>
    </row>
    <row r="134" spans="1:38" ht="15.75" customHeight="1">
      <c r="A134" s="310"/>
      <c r="B134" s="310"/>
      <c r="C134" s="310"/>
      <c r="D134" s="310"/>
      <c r="E134" s="310"/>
      <c r="F134" s="311"/>
      <c r="G134" s="311"/>
      <c r="H134" s="1"/>
      <c r="I134" s="353"/>
      <c r="J134" s="353"/>
      <c r="K134" s="353"/>
      <c r="L134" s="353"/>
      <c r="M134" s="353"/>
      <c r="N134" s="353"/>
      <c r="O134" s="310"/>
      <c r="P134" s="310"/>
      <c r="Q134" s="310"/>
      <c r="R134" s="310"/>
      <c r="S134" s="310"/>
      <c r="T134" s="310"/>
      <c r="U134" s="310"/>
      <c r="V134" s="310"/>
      <c r="W134" s="310"/>
      <c r="X134" s="310"/>
      <c r="Y134" s="310"/>
      <c r="Z134" s="310"/>
      <c r="AA134" s="310"/>
      <c r="AB134" s="310"/>
      <c r="AC134" s="310"/>
      <c r="AD134" s="310"/>
      <c r="AE134" s="310"/>
      <c r="AF134" s="391"/>
      <c r="AG134" s="391"/>
      <c r="AH134" s="391"/>
      <c r="AI134" s="391"/>
      <c r="AJ134" s="391"/>
      <c r="AK134" s="310"/>
      <c r="AL134" s="310"/>
    </row>
    <row r="135" spans="1:38" ht="15.75" customHeight="1">
      <c r="A135" s="310"/>
      <c r="B135" s="310"/>
      <c r="C135" s="310"/>
      <c r="D135" s="310"/>
      <c r="E135" s="310"/>
      <c r="F135" s="311"/>
      <c r="G135" s="311"/>
      <c r="H135" s="1"/>
      <c r="I135" s="353"/>
      <c r="J135" s="353"/>
      <c r="K135" s="353"/>
      <c r="L135" s="353"/>
      <c r="M135" s="353"/>
      <c r="N135" s="353"/>
      <c r="O135" s="310"/>
      <c r="P135" s="310"/>
      <c r="Q135" s="310"/>
      <c r="R135" s="310"/>
      <c r="S135" s="310"/>
      <c r="T135" s="310"/>
      <c r="U135" s="310"/>
      <c r="V135" s="310"/>
      <c r="W135" s="310"/>
      <c r="X135" s="310"/>
      <c r="Y135" s="310"/>
      <c r="Z135" s="310"/>
      <c r="AA135" s="310"/>
      <c r="AB135" s="310"/>
      <c r="AC135" s="310"/>
      <c r="AD135" s="310"/>
      <c r="AE135" s="310"/>
      <c r="AF135" s="391"/>
      <c r="AG135" s="391"/>
      <c r="AH135" s="391"/>
      <c r="AI135" s="391"/>
      <c r="AJ135" s="391"/>
      <c r="AK135" s="310"/>
      <c r="AL135" s="310"/>
    </row>
    <row r="136" spans="1:38" ht="15.75" customHeight="1">
      <c r="A136" s="310"/>
      <c r="B136" s="310"/>
      <c r="C136" s="310"/>
      <c r="D136" s="310"/>
      <c r="E136" s="310"/>
      <c r="F136" s="311"/>
      <c r="G136" s="311"/>
      <c r="H136" s="1"/>
      <c r="I136" s="353"/>
      <c r="J136" s="353"/>
      <c r="K136" s="353"/>
      <c r="L136" s="353"/>
      <c r="M136" s="353"/>
      <c r="N136" s="353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  <c r="AA136" s="310"/>
      <c r="AB136" s="310"/>
      <c r="AC136" s="310"/>
      <c r="AD136" s="310"/>
      <c r="AE136" s="310"/>
      <c r="AF136" s="391"/>
      <c r="AG136" s="391"/>
      <c r="AH136" s="391"/>
      <c r="AI136" s="391"/>
      <c r="AJ136" s="391"/>
      <c r="AK136" s="310"/>
      <c r="AL136" s="310"/>
    </row>
    <row r="137" spans="1:38" ht="15.75" customHeight="1">
      <c r="A137" s="310"/>
      <c r="B137" s="310"/>
      <c r="C137" s="310"/>
      <c r="D137" s="310"/>
      <c r="E137" s="310"/>
      <c r="F137" s="311"/>
      <c r="G137" s="311"/>
      <c r="H137" s="1"/>
      <c r="I137" s="353"/>
      <c r="J137" s="353"/>
      <c r="K137" s="353"/>
      <c r="L137" s="353"/>
      <c r="M137" s="353"/>
      <c r="N137" s="353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  <c r="AA137" s="310"/>
      <c r="AB137" s="310"/>
      <c r="AC137" s="310"/>
      <c r="AD137" s="310"/>
      <c r="AE137" s="310"/>
      <c r="AF137" s="391"/>
      <c r="AG137" s="391"/>
      <c r="AH137" s="391"/>
      <c r="AI137" s="391"/>
      <c r="AJ137" s="391"/>
      <c r="AK137" s="310"/>
      <c r="AL137" s="310"/>
    </row>
    <row r="138" spans="1:38" ht="15.75" customHeight="1">
      <c r="A138" s="310"/>
      <c r="B138" s="310"/>
      <c r="C138" s="310"/>
      <c r="D138" s="310"/>
      <c r="E138" s="310"/>
      <c r="F138" s="311"/>
      <c r="G138" s="311"/>
      <c r="H138" s="1"/>
      <c r="I138" s="353"/>
      <c r="J138" s="353"/>
      <c r="K138" s="353"/>
      <c r="L138" s="353"/>
      <c r="M138" s="353"/>
      <c r="N138" s="353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310"/>
      <c r="AB138" s="310"/>
      <c r="AC138" s="310"/>
      <c r="AD138" s="310"/>
      <c r="AE138" s="310"/>
      <c r="AF138" s="391"/>
      <c r="AG138" s="391"/>
      <c r="AH138" s="391"/>
      <c r="AI138" s="391"/>
      <c r="AJ138" s="391"/>
      <c r="AK138" s="310"/>
      <c r="AL138" s="310"/>
    </row>
    <row r="139" spans="1:38" ht="15.75" customHeight="1">
      <c r="A139" s="310"/>
      <c r="B139" s="310"/>
      <c r="C139" s="310"/>
      <c r="D139" s="310"/>
      <c r="E139" s="310"/>
      <c r="F139" s="311"/>
      <c r="G139" s="311"/>
      <c r="H139" s="1"/>
      <c r="I139" s="353"/>
      <c r="J139" s="353"/>
      <c r="K139" s="353"/>
      <c r="L139" s="353"/>
      <c r="M139" s="353"/>
      <c r="N139" s="353"/>
      <c r="O139" s="310"/>
      <c r="P139" s="310"/>
      <c r="Q139" s="310"/>
      <c r="R139" s="310"/>
      <c r="S139" s="310"/>
      <c r="T139" s="310"/>
      <c r="U139" s="310"/>
      <c r="V139" s="310"/>
      <c r="W139" s="310"/>
      <c r="X139" s="310"/>
      <c r="Y139" s="310"/>
      <c r="Z139" s="310"/>
      <c r="AA139" s="310"/>
      <c r="AB139" s="310"/>
      <c r="AC139" s="310"/>
      <c r="AD139" s="310"/>
      <c r="AE139" s="310"/>
      <c r="AF139" s="391"/>
      <c r="AG139" s="391"/>
      <c r="AH139" s="391"/>
      <c r="AI139" s="391"/>
      <c r="AJ139" s="391"/>
      <c r="AK139" s="310"/>
      <c r="AL139" s="310"/>
    </row>
    <row r="140" spans="1:38" ht="15.75" customHeight="1">
      <c r="A140" s="310"/>
      <c r="B140" s="310"/>
      <c r="C140" s="310"/>
      <c r="D140" s="310"/>
      <c r="E140" s="310"/>
      <c r="F140" s="311"/>
      <c r="G140" s="311"/>
      <c r="H140" s="1"/>
      <c r="I140" s="353"/>
      <c r="J140" s="353"/>
      <c r="K140" s="353"/>
      <c r="L140" s="353"/>
      <c r="M140" s="353"/>
      <c r="N140" s="353"/>
      <c r="O140" s="310"/>
      <c r="P140" s="310"/>
      <c r="Q140" s="310"/>
      <c r="R140" s="310"/>
      <c r="S140" s="310"/>
      <c r="T140" s="310"/>
      <c r="U140" s="310"/>
      <c r="V140" s="310"/>
      <c r="W140" s="310"/>
      <c r="X140" s="310"/>
      <c r="Y140" s="310"/>
      <c r="Z140" s="310"/>
      <c r="AA140" s="310"/>
      <c r="AB140" s="310"/>
      <c r="AC140" s="310"/>
      <c r="AD140" s="310"/>
      <c r="AE140" s="310"/>
      <c r="AF140" s="391"/>
      <c r="AG140" s="391"/>
      <c r="AH140" s="391"/>
      <c r="AI140" s="391"/>
      <c r="AJ140" s="391"/>
      <c r="AK140" s="310"/>
      <c r="AL140" s="310"/>
    </row>
    <row r="141" spans="1:38" ht="15.75" customHeight="1">
      <c r="A141" s="310"/>
      <c r="B141" s="310"/>
      <c r="C141" s="310"/>
      <c r="D141" s="310"/>
      <c r="E141" s="310"/>
      <c r="F141" s="311"/>
      <c r="G141" s="311"/>
      <c r="H141" s="1"/>
      <c r="I141" s="353"/>
      <c r="J141" s="353"/>
      <c r="K141" s="353"/>
      <c r="L141" s="353"/>
      <c r="M141" s="353"/>
      <c r="N141" s="353"/>
      <c r="O141" s="310"/>
      <c r="P141" s="310"/>
      <c r="Q141" s="310"/>
      <c r="R141" s="310"/>
      <c r="S141" s="310"/>
      <c r="T141" s="310"/>
      <c r="U141" s="310"/>
      <c r="V141" s="310"/>
      <c r="W141" s="310"/>
      <c r="X141" s="310"/>
      <c r="Y141" s="310"/>
      <c r="Z141" s="310"/>
      <c r="AA141" s="310"/>
      <c r="AB141" s="310"/>
      <c r="AC141" s="310"/>
      <c r="AD141" s="310"/>
      <c r="AE141" s="310"/>
      <c r="AF141" s="391"/>
      <c r="AG141" s="391"/>
      <c r="AH141" s="391"/>
      <c r="AI141" s="391"/>
      <c r="AJ141" s="391"/>
      <c r="AK141" s="310"/>
      <c r="AL141" s="310"/>
    </row>
    <row r="142" spans="1:38" ht="15.75" customHeight="1">
      <c r="A142" s="310"/>
      <c r="B142" s="310"/>
      <c r="C142" s="310"/>
      <c r="D142" s="310"/>
      <c r="E142" s="310"/>
      <c r="F142" s="311"/>
      <c r="G142" s="311"/>
      <c r="H142" s="1"/>
      <c r="I142" s="353"/>
      <c r="J142" s="353"/>
      <c r="K142" s="353"/>
      <c r="L142" s="353"/>
      <c r="M142" s="353"/>
      <c r="N142" s="353"/>
      <c r="O142" s="310"/>
      <c r="P142" s="310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  <c r="AA142" s="310"/>
      <c r="AB142" s="310"/>
      <c r="AC142" s="310"/>
      <c r="AD142" s="310"/>
      <c r="AE142" s="310"/>
      <c r="AF142" s="391"/>
      <c r="AG142" s="391"/>
      <c r="AH142" s="391"/>
      <c r="AI142" s="391"/>
      <c r="AJ142" s="391"/>
      <c r="AK142" s="310"/>
      <c r="AL142" s="310"/>
    </row>
    <row r="143" spans="1:38" ht="15.75" customHeight="1">
      <c r="A143" s="310"/>
      <c r="B143" s="310"/>
      <c r="C143" s="310"/>
      <c r="D143" s="310"/>
      <c r="E143" s="310"/>
      <c r="F143" s="311"/>
      <c r="G143" s="311"/>
      <c r="H143" s="1"/>
      <c r="I143" s="353"/>
      <c r="J143" s="353"/>
      <c r="K143" s="353"/>
      <c r="L143" s="353"/>
      <c r="M143" s="353"/>
      <c r="N143" s="353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  <c r="AA143" s="310"/>
      <c r="AB143" s="310"/>
      <c r="AC143" s="310"/>
      <c r="AD143" s="310"/>
      <c r="AE143" s="310"/>
      <c r="AF143" s="391"/>
      <c r="AG143" s="391"/>
      <c r="AH143" s="391"/>
      <c r="AI143" s="391"/>
      <c r="AJ143" s="391"/>
      <c r="AK143" s="310"/>
      <c r="AL143" s="310"/>
    </row>
    <row r="144" spans="1:38" ht="15.75" customHeight="1">
      <c r="A144" s="310"/>
      <c r="B144" s="310"/>
      <c r="C144" s="310"/>
      <c r="D144" s="310"/>
      <c r="E144" s="310"/>
      <c r="F144" s="311"/>
      <c r="G144" s="311"/>
      <c r="H144" s="1"/>
      <c r="I144" s="353"/>
      <c r="J144" s="353"/>
      <c r="K144" s="353"/>
      <c r="L144" s="353"/>
      <c r="M144" s="353"/>
      <c r="N144" s="353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  <c r="AA144" s="310"/>
      <c r="AB144" s="310"/>
      <c r="AC144" s="310"/>
      <c r="AD144" s="310"/>
      <c r="AE144" s="310"/>
      <c r="AF144" s="391"/>
      <c r="AG144" s="391"/>
      <c r="AH144" s="391"/>
      <c r="AI144" s="391"/>
      <c r="AJ144" s="391"/>
      <c r="AK144" s="310"/>
      <c r="AL144" s="310"/>
    </row>
    <row r="145" spans="1:38" ht="15.75" customHeight="1">
      <c r="A145" s="310"/>
      <c r="B145" s="310"/>
      <c r="C145" s="310"/>
      <c r="D145" s="310"/>
      <c r="E145" s="310"/>
      <c r="F145" s="311"/>
      <c r="G145" s="311"/>
      <c r="H145" s="1"/>
      <c r="I145" s="353"/>
      <c r="J145" s="353"/>
      <c r="K145" s="353"/>
      <c r="L145" s="353"/>
      <c r="M145" s="353"/>
      <c r="N145" s="353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310"/>
      <c r="AB145" s="310"/>
      <c r="AC145" s="310"/>
      <c r="AD145" s="310"/>
      <c r="AE145" s="310"/>
      <c r="AF145" s="391"/>
      <c r="AG145" s="391"/>
      <c r="AH145" s="391"/>
      <c r="AI145" s="391"/>
      <c r="AJ145" s="391"/>
      <c r="AK145" s="310"/>
      <c r="AL145" s="310"/>
    </row>
    <row r="146" spans="1:38" ht="15.75" customHeight="1">
      <c r="A146" s="310"/>
      <c r="B146" s="310"/>
      <c r="C146" s="310"/>
      <c r="D146" s="310"/>
      <c r="E146" s="310"/>
      <c r="F146" s="311"/>
      <c r="G146" s="311"/>
      <c r="H146" s="1"/>
      <c r="I146" s="353"/>
      <c r="J146" s="353"/>
      <c r="K146" s="353"/>
      <c r="L146" s="353"/>
      <c r="M146" s="353"/>
      <c r="N146" s="353"/>
      <c r="O146" s="310"/>
      <c r="P146" s="310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  <c r="AA146" s="310"/>
      <c r="AB146" s="310"/>
      <c r="AC146" s="310"/>
      <c r="AD146" s="310"/>
      <c r="AE146" s="310"/>
      <c r="AF146" s="391"/>
      <c r="AG146" s="391"/>
      <c r="AH146" s="391"/>
      <c r="AI146" s="391"/>
      <c r="AJ146" s="391"/>
      <c r="AK146" s="310"/>
      <c r="AL146" s="310"/>
    </row>
    <row r="147" spans="1:38" ht="15.75" customHeight="1">
      <c r="A147" s="310"/>
      <c r="B147" s="310"/>
      <c r="C147" s="310"/>
      <c r="D147" s="310"/>
      <c r="E147" s="310"/>
      <c r="F147" s="311"/>
      <c r="G147" s="311"/>
      <c r="H147" s="1"/>
      <c r="I147" s="353"/>
      <c r="J147" s="353"/>
      <c r="K147" s="353"/>
      <c r="L147" s="353"/>
      <c r="M147" s="353"/>
      <c r="N147" s="353"/>
      <c r="O147" s="310"/>
      <c r="P147" s="310"/>
      <c r="Q147" s="310"/>
      <c r="R147" s="310"/>
      <c r="S147" s="310"/>
      <c r="T147" s="310"/>
      <c r="U147" s="310"/>
      <c r="V147" s="310"/>
      <c r="W147" s="310"/>
      <c r="X147" s="310"/>
      <c r="Y147" s="310"/>
      <c r="Z147" s="310"/>
      <c r="AA147" s="310"/>
      <c r="AB147" s="310"/>
      <c r="AC147" s="310"/>
      <c r="AD147" s="310"/>
      <c r="AE147" s="310"/>
      <c r="AF147" s="391"/>
      <c r="AG147" s="391"/>
      <c r="AH147" s="391"/>
      <c r="AI147" s="391"/>
      <c r="AJ147" s="391"/>
      <c r="AK147" s="310"/>
      <c r="AL147" s="310"/>
    </row>
    <row r="148" spans="1:38" ht="15.75" customHeight="1">
      <c r="A148" s="310"/>
      <c r="B148" s="310"/>
      <c r="C148" s="310"/>
      <c r="D148" s="310"/>
      <c r="E148" s="310"/>
      <c r="F148" s="311"/>
      <c r="G148" s="311"/>
      <c r="H148" s="1"/>
      <c r="I148" s="353"/>
      <c r="J148" s="353"/>
      <c r="K148" s="353"/>
      <c r="L148" s="353"/>
      <c r="M148" s="353"/>
      <c r="N148" s="353"/>
      <c r="O148" s="310"/>
      <c r="P148" s="310"/>
      <c r="Q148" s="310"/>
      <c r="R148" s="310"/>
      <c r="S148" s="310"/>
      <c r="T148" s="310"/>
      <c r="U148" s="310"/>
      <c r="V148" s="310"/>
      <c r="W148" s="310"/>
      <c r="X148" s="310"/>
      <c r="Y148" s="310"/>
      <c r="Z148" s="310"/>
      <c r="AA148" s="310"/>
      <c r="AB148" s="310"/>
      <c r="AC148" s="310"/>
      <c r="AD148" s="310"/>
      <c r="AE148" s="310"/>
      <c r="AF148" s="391"/>
      <c r="AG148" s="391"/>
      <c r="AH148" s="391"/>
      <c r="AI148" s="391"/>
      <c r="AJ148" s="391"/>
      <c r="AK148" s="310"/>
      <c r="AL148" s="310"/>
    </row>
    <row r="149" spans="1:38" ht="15.75" customHeight="1">
      <c r="A149" s="310"/>
      <c r="B149" s="310"/>
      <c r="C149" s="310"/>
      <c r="D149" s="310"/>
      <c r="E149" s="310"/>
      <c r="F149" s="311"/>
      <c r="G149" s="311"/>
      <c r="H149" s="1"/>
      <c r="I149" s="353"/>
      <c r="J149" s="353"/>
      <c r="K149" s="353"/>
      <c r="L149" s="353"/>
      <c r="M149" s="353"/>
      <c r="N149" s="353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  <c r="AA149" s="310"/>
      <c r="AB149" s="310"/>
      <c r="AC149" s="310"/>
      <c r="AD149" s="310"/>
      <c r="AE149" s="310"/>
      <c r="AF149" s="391"/>
      <c r="AG149" s="391"/>
      <c r="AH149" s="391"/>
      <c r="AI149" s="391"/>
      <c r="AJ149" s="391"/>
      <c r="AK149" s="310"/>
      <c r="AL149" s="310"/>
    </row>
    <row r="150" spans="1:38" ht="15.75" customHeight="1">
      <c r="A150" s="310"/>
      <c r="B150" s="310"/>
      <c r="C150" s="310"/>
      <c r="D150" s="310"/>
      <c r="E150" s="310"/>
      <c r="F150" s="311"/>
      <c r="G150" s="311"/>
      <c r="H150" s="1"/>
      <c r="I150" s="353"/>
      <c r="J150" s="353"/>
      <c r="K150" s="353"/>
      <c r="L150" s="353"/>
      <c r="M150" s="353"/>
      <c r="N150" s="353"/>
      <c r="O150" s="310"/>
      <c r="P150" s="310"/>
      <c r="Q150" s="310"/>
      <c r="R150" s="310"/>
      <c r="S150" s="310"/>
      <c r="T150" s="310"/>
      <c r="U150" s="310"/>
      <c r="V150" s="310"/>
      <c r="W150" s="310"/>
      <c r="X150" s="310"/>
      <c r="Y150" s="310"/>
      <c r="Z150" s="310"/>
      <c r="AA150" s="310"/>
      <c r="AB150" s="310"/>
      <c r="AC150" s="310"/>
      <c r="AD150" s="310"/>
      <c r="AE150" s="310"/>
      <c r="AF150" s="391"/>
      <c r="AG150" s="391"/>
      <c r="AH150" s="391"/>
      <c r="AI150" s="391"/>
      <c r="AJ150" s="391"/>
      <c r="AK150" s="310"/>
      <c r="AL150" s="310"/>
    </row>
    <row r="151" spans="1:38" ht="15.75" customHeight="1">
      <c r="A151" s="310"/>
      <c r="B151" s="310"/>
      <c r="C151" s="310"/>
      <c r="D151" s="310"/>
      <c r="E151" s="310"/>
      <c r="F151" s="311"/>
      <c r="G151" s="311"/>
      <c r="H151" s="1"/>
      <c r="I151" s="353"/>
      <c r="J151" s="353"/>
      <c r="K151" s="353"/>
      <c r="L151" s="353"/>
      <c r="M151" s="353"/>
      <c r="N151" s="353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  <c r="AA151" s="310"/>
      <c r="AB151" s="310"/>
      <c r="AC151" s="310"/>
      <c r="AD151" s="310"/>
      <c r="AE151" s="310"/>
      <c r="AF151" s="391"/>
      <c r="AG151" s="391"/>
      <c r="AH151" s="391"/>
      <c r="AI151" s="391"/>
      <c r="AJ151" s="391"/>
      <c r="AK151" s="310"/>
      <c r="AL151" s="310"/>
    </row>
    <row r="152" spans="1:38" ht="15.75" customHeight="1">
      <c r="A152" s="310"/>
      <c r="B152" s="310"/>
      <c r="C152" s="310"/>
      <c r="D152" s="310"/>
      <c r="E152" s="310"/>
      <c r="F152" s="311"/>
      <c r="G152" s="311"/>
      <c r="H152" s="1"/>
      <c r="I152" s="353"/>
      <c r="J152" s="353"/>
      <c r="K152" s="353"/>
      <c r="L152" s="353"/>
      <c r="M152" s="353"/>
      <c r="N152" s="353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310"/>
      <c r="AB152" s="310"/>
      <c r="AC152" s="310"/>
      <c r="AD152" s="310"/>
      <c r="AE152" s="310"/>
      <c r="AF152" s="391"/>
      <c r="AG152" s="391"/>
      <c r="AH152" s="391"/>
      <c r="AI152" s="391"/>
      <c r="AJ152" s="391"/>
      <c r="AK152" s="310"/>
      <c r="AL152" s="310"/>
    </row>
    <row r="153" spans="1:38" ht="15.75" customHeight="1">
      <c r="A153" s="310"/>
      <c r="B153" s="310"/>
      <c r="C153" s="310"/>
      <c r="D153" s="310"/>
      <c r="E153" s="310"/>
      <c r="F153" s="311"/>
      <c r="G153" s="311"/>
      <c r="H153" s="1"/>
      <c r="I153" s="353"/>
      <c r="J153" s="353"/>
      <c r="K153" s="353"/>
      <c r="L153" s="353"/>
      <c r="M153" s="353"/>
      <c r="N153" s="353"/>
      <c r="O153" s="310"/>
      <c r="P153" s="310"/>
      <c r="Q153" s="310"/>
      <c r="R153" s="310"/>
      <c r="S153" s="310"/>
      <c r="T153" s="310"/>
      <c r="U153" s="310"/>
      <c r="V153" s="310"/>
      <c r="W153" s="310"/>
      <c r="X153" s="310"/>
      <c r="Y153" s="310"/>
      <c r="Z153" s="310"/>
      <c r="AA153" s="310"/>
      <c r="AB153" s="310"/>
      <c r="AC153" s="310"/>
      <c r="AD153" s="310"/>
      <c r="AE153" s="310"/>
      <c r="AF153" s="391"/>
      <c r="AG153" s="391"/>
      <c r="AH153" s="391"/>
      <c r="AI153" s="391"/>
      <c r="AJ153" s="391"/>
      <c r="AK153" s="310"/>
      <c r="AL153" s="310"/>
    </row>
    <row r="154" spans="1:38" ht="15.75" customHeight="1">
      <c r="A154" s="310"/>
      <c r="B154" s="310"/>
      <c r="C154" s="310"/>
      <c r="D154" s="310"/>
      <c r="E154" s="310"/>
      <c r="F154" s="311"/>
      <c r="G154" s="311"/>
      <c r="H154" s="1"/>
      <c r="I154" s="353"/>
      <c r="J154" s="353"/>
      <c r="K154" s="353"/>
      <c r="L154" s="353"/>
      <c r="M154" s="353"/>
      <c r="N154" s="353"/>
      <c r="O154" s="310"/>
      <c r="P154" s="310"/>
      <c r="Q154" s="310"/>
      <c r="R154" s="310"/>
      <c r="S154" s="310"/>
      <c r="T154" s="310"/>
      <c r="U154" s="310"/>
      <c r="V154" s="310"/>
      <c r="W154" s="310"/>
      <c r="X154" s="310"/>
      <c r="Y154" s="310"/>
      <c r="Z154" s="310"/>
      <c r="AA154" s="310"/>
      <c r="AB154" s="310"/>
      <c r="AC154" s="310"/>
      <c r="AD154" s="310"/>
      <c r="AE154" s="310"/>
      <c r="AF154" s="391"/>
      <c r="AG154" s="391"/>
      <c r="AH154" s="391"/>
      <c r="AI154" s="391"/>
      <c r="AJ154" s="391"/>
      <c r="AK154" s="310"/>
      <c r="AL154" s="310"/>
    </row>
    <row r="155" spans="1:38" ht="15.75" customHeight="1">
      <c r="A155" s="310"/>
      <c r="B155" s="310"/>
      <c r="C155" s="310"/>
      <c r="D155" s="310"/>
      <c r="E155" s="310"/>
      <c r="F155" s="311"/>
      <c r="G155" s="311"/>
      <c r="H155" s="1"/>
      <c r="I155" s="353"/>
      <c r="J155" s="353"/>
      <c r="K155" s="353"/>
      <c r="L155" s="353"/>
      <c r="M155" s="353"/>
      <c r="N155" s="353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  <c r="AA155" s="310"/>
      <c r="AB155" s="310"/>
      <c r="AC155" s="310"/>
      <c r="AD155" s="310"/>
      <c r="AE155" s="310"/>
      <c r="AF155" s="391"/>
      <c r="AG155" s="391"/>
      <c r="AH155" s="391"/>
      <c r="AI155" s="391"/>
      <c r="AJ155" s="391"/>
      <c r="AK155" s="310"/>
      <c r="AL155" s="310"/>
    </row>
    <row r="156" spans="1:38" ht="15.75" customHeight="1">
      <c r="A156" s="310"/>
      <c r="B156" s="310"/>
      <c r="C156" s="310"/>
      <c r="D156" s="310"/>
      <c r="E156" s="310"/>
      <c r="F156" s="311"/>
      <c r="G156" s="311"/>
      <c r="H156" s="1"/>
      <c r="I156" s="353"/>
      <c r="J156" s="353"/>
      <c r="K156" s="353"/>
      <c r="L156" s="353"/>
      <c r="M156" s="353"/>
      <c r="N156" s="353"/>
      <c r="O156" s="310"/>
      <c r="P156" s="310"/>
      <c r="Q156" s="310"/>
      <c r="R156" s="310"/>
      <c r="S156" s="310"/>
      <c r="T156" s="310"/>
      <c r="U156" s="310"/>
      <c r="V156" s="310"/>
      <c r="W156" s="310"/>
      <c r="X156" s="310"/>
      <c r="Y156" s="310"/>
      <c r="Z156" s="310"/>
      <c r="AA156" s="310"/>
      <c r="AB156" s="310"/>
      <c r="AC156" s="310"/>
      <c r="AD156" s="310"/>
      <c r="AE156" s="310"/>
      <c r="AF156" s="391"/>
      <c r="AG156" s="391"/>
      <c r="AH156" s="391"/>
      <c r="AI156" s="391"/>
      <c r="AJ156" s="391"/>
      <c r="AK156" s="310"/>
      <c r="AL156" s="310"/>
    </row>
    <row r="157" spans="1:38" ht="15.75" customHeight="1">
      <c r="A157" s="310"/>
      <c r="B157" s="310"/>
      <c r="C157" s="310"/>
      <c r="D157" s="310"/>
      <c r="E157" s="310"/>
      <c r="F157" s="311"/>
      <c r="G157" s="311"/>
      <c r="H157" s="1"/>
      <c r="I157" s="353"/>
      <c r="J157" s="353"/>
      <c r="K157" s="353"/>
      <c r="L157" s="353"/>
      <c r="M157" s="353"/>
      <c r="N157" s="353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  <c r="AA157" s="310"/>
      <c r="AB157" s="310"/>
      <c r="AC157" s="310"/>
      <c r="AD157" s="310"/>
      <c r="AE157" s="310"/>
      <c r="AF157" s="391"/>
      <c r="AG157" s="391"/>
      <c r="AH157" s="391"/>
      <c r="AI157" s="391"/>
      <c r="AJ157" s="391"/>
      <c r="AK157" s="310"/>
      <c r="AL157" s="310"/>
    </row>
    <row r="158" spans="1:38" ht="15.75" customHeight="1">
      <c r="A158" s="310"/>
      <c r="B158" s="310"/>
      <c r="C158" s="310"/>
      <c r="D158" s="310"/>
      <c r="E158" s="310"/>
      <c r="F158" s="311"/>
      <c r="G158" s="311"/>
      <c r="H158" s="1"/>
      <c r="I158" s="353"/>
      <c r="J158" s="353"/>
      <c r="K158" s="353"/>
      <c r="L158" s="353"/>
      <c r="M158" s="353"/>
      <c r="N158" s="353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310"/>
      <c r="AB158" s="310"/>
      <c r="AC158" s="310"/>
      <c r="AD158" s="310"/>
      <c r="AE158" s="310"/>
      <c r="AF158" s="391"/>
      <c r="AG158" s="391"/>
      <c r="AH158" s="391"/>
      <c r="AI158" s="391"/>
      <c r="AJ158" s="391"/>
      <c r="AK158" s="310"/>
      <c r="AL158" s="310"/>
    </row>
    <row r="159" spans="1:38" ht="15.75" customHeight="1">
      <c r="A159" s="310"/>
      <c r="B159" s="310"/>
      <c r="C159" s="310"/>
      <c r="D159" s="310"/>
      <c r="E159" s="310"/>
      <c r="F159" s="311"/>
      <c r="G159" s="311"/>
      <c r="H159" s="1"/>
      <c r="I159" s="353"/>
      <c r="J159" s="353"/>
      <c r="K159" s="353"/>
      <c r="L159" s="353"/>
      <c r="M159" s="353"/>
      <c r="N159" s="353"/>
      <c r="O159" s="310"/>
      <c r="P159" s="310"/>
      <c r="Q159" s="310"/>
      <c r="R159" s="310"/>
      <c r="S159" s="310"/>
      <c r="T159" s="310"/>
      <c r="U159" s="310"/>
      <c r="V159" s="310"/>
      <c r="W159" s="310"/>
      <c r="X159" s="310"/>
      <c r="Y159" s="310"/>
      <c r="Z159" s="310"/>
      <c r="AA159" s="310"/>
      <c r="AB159" s="310"/>
      <c r="AC159" s="310"/>
      <c r="AD159" s="310"/>
      <c r="AE159" s="310"/>
      <c r="AF159" s="391"/>
      <c r="AG159" s="391"/>
      <c r="AH159" s="391"/>
      <c r="AI159" s="391"/>
      <c r="AJ159" s="391"/>
      <c r="AK159" s="310"/>
      <c r="AL159" s="310"/>
    </row>
    <row r="160" spans="1:38" ht="15.75" customHeight="1">
      <c r="A160" s="310"/>
      <c r="B160" s="310"/>
      <c r="C160" s="310"/>
      <c r="D160" s="310"/>
      <c r="E160" s="310"/>
      <c r="F160" s="311"/>
      <c r="G160" s="311"/>
      <c r="H160" s="1"/>
      <c r="I160" s="353"/>
      <c r="J160" s="353"/>
      <c r="K160" s="353"/>
      <c r="L160" s="353"/>
      <c r="M160" s="353"/>
      <c r="N160" s="353"/>
      <c r="O160" s="310"/>
      <c r="P160" s="310"/>
      <c r="Q160" s="310"/>
      <c r="R160" s="310"/>
      <c r="S160" s="310"/>
      <c r="T160" s="310"/>
      <c r="U160" s="310"/>
      <c r="V160" s="310"/>
      <c r="W160" s="310"/>
      <c r="X160" s="310"/>
      <c r="Y160" s="310"/>
      <c r="Z160" s="310"/>
      <c r="AA160" s="310"/>
      <c r="AB160" s="310"/>
      <c r="AC160" s="310"/>
      <c r="AD160" s="310"/>
      <c r="AE160" s="310"/>
      <c r="AF160" s="391"/>
      <c r="AG160" s="391"/>
      <c r="AH160" s="391"/>
      <c r="AI160" s="391"/>
      <c r="AJ160" s="391"/>
      <c r="AK160" s="310"/>
      <c r="AL160" s="310"/>
    </row>
    <row r="161" spans="1:38" ht="15.75" customHeight="1">
      <c r="A161" s="310"/>
      <c r="B161" s="310"/>
      <c r="C161" s="310"/>
      <c r="D161" s="310"/>
      <c r="E161" s="310"/>
      <c r="F161" s="311"/>
      <c r="G161" s="311"/>
      <c r="H161" s="1"/>
      <c r="I161" s="353"/>
      <c r="J161" s="353"/>
      <c r="K161" s="353"/>
      <c r="L161" s="353"/>
      <c r="M161" s="353"/>
      <c r="N161" s="353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310"/>
      <c r="AB161" s="310"/>
      <c r="AC161" s="310"/>
      <c r="AD161" s="310"/>
      <c r="AE161" s="310"/>
      <c r="AF161" s="391"/>
      <c r="AG161" s="391"/>
      <c r="AH161" s="391"/>
      <c r="AI161" s="391"/>
      <c r="AJ161" s="391"/>
      <c r="AK161" s="310"/>
      <c r="AL161" s="310"/>
    </row>
    <row r="162" spans="1:38" ht="15.75" customHeight="1">
      <c r="A162" s="310"/>
      <c r="B162" s="310"/>
      <c r="C162" s="310"/>
      <c r="D162" s="310"/>
      <c r="E162" s="310"/>
      <c r="F162" s="311"/>
      <c r="G162" s="311"/>
      <c r="H162" s="1"/>
      <c r="I162" s="353"/>
      <c r="J162" s="353"/>
      <c r="K162" s="353"/>
      <c r="L162" s="353"/>
      <c r="M162" s="353"/>
      <c r="N162" s="353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  <c r="AA162" s="310"/>
      <c r="AB162" s="310"/>
      <c r="AC162" s="310"/>
      <c r="AD162" s="310"/>
      <c r="AE162" s="310"/>
      <c r="AF162" s="391"/>
      <c r="AG162" s="391"/>
      <c r="AH162" s="391"/>
      <c r="AI162" s="391"/>
      <c r="AJ162" s="391"/>
      <c r="AK162" s="310"/>
      <c r="AL162" s="310"/>
    </row>
    <row r="163" spans="1:38" ht="15.75" customHeight="1">
      <c r="A163" s="310"/>
      <c r="B163" s="310"/>
      <c r="C163" s="310"/>
      <c r="D163" s="310"/>
      <c r="E163" s="310"/>
      <c r="F163" s="311"/>
      <c r="G163" s="311"/>
      <c r="H163" s="1"/>
      <c r="I163" s="353"/>
      <c r="J163" s="353"/>
      <c r="K163" s="353"/>
      <c r="L163" s="353"/>
      <c r="M163" s="353"/>
      <c r="N163" s="353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310"/>
      <c r="AB163" s="310"/>
      <c r="AC163" s="310"/>
      <c r="AD163" s="310"/>
      <c r="AE163" s="310"/>
      <c r="AF163" s="391"/>
      <c r="AG163" s="391"/>
      <c r="AH163" s="391"/>
      <c r="AI163" s="391"/>
      <c r="AJ163" s="391"/>
      <c r="AK163" s="310"/>
      <c r="AL163" s="310"/>
    </row>
    <row r="164" spans="1:38" ht="15.75" customHeight="1">
      <c r="A164" s="310"/>
      <c r="B164" s="310"/>
      <c r="C164" s="310"/>
      <c r="D164" s="310"/>
      <c r="E164" s="310"/>
      <c r="F164" s="311"/>
      <c r="G164" s="311"/>
      <c r="H164" s="1"/>
      <c r="I164" s="353"/>
      <c r="J164" s="353"/>
      <c r="K164" s="353"/>
      <c r="L164" s="353"/>
      <c r="M164" s="353"/>
      <c r="N164" s="353"/>
      <c r="O164" s="310"/>
      <c r="P164" s="310"/>
      <c r="Q164" s="310"/>
      <c r="R164" s="310"/>
      <c r="S164" s="310"/>
      <c r="T164" s="310"/>
      <c r="U164" s="310"/>
      <c r="V164" s="310"/>
      <c r="W164" s="310"/>
      <c r="X164" s="310"/>
      <c r="Y164" s="310"/>
      <c r="Z164" s="310"/>
      <c r="AA164" s="310"/>
      <c r="AB164" s="310"/>
      <c r="AC164" s="310"/>
      <c r="AD164" s="310"/>
      <c r="AE164" s="310"/>
      <c r="AF164" s="391"/>
      <c r="AG164" s="391"/>
      <c r="AH164" s="391"/>
      <c r="AI164" s="391"/>
      <c r="AJ164" s="391"/>
      <c r="AK164" s="310"/>
      <c r="AL164" s="310"/>
    </row>
    <row r="165" spans="1:38" ht="15.75" customHeight="1">
      <c r="A165" s="310"/>
      <c r="B165" s="310"/>
      <c r="C165" s="310"/>
      <c r="D165" s="310"/>
      <c r="E165" s="310"/>
      <c r="F165" s="311"/>
      <c r="G165" s="311"/>
      <c r="H165" s="1"/>
      <c r="I165" s="353"/>
      <c r="J165" s="353"/>
      <c r="K165" s="353"/>
      <c r="L165" s="353"/>
      <c r="M165" s="353"/>
      <c r="N165" s="353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310"/>
      <c r="AB165" s="310"/>
      <c r="AC165" s="310"/>
      <c r="AD165" s="310"/>
      <c r="AE165" s="310"/>
      <c r="AF165" s="391"/>
      <c r="AG165" s="391"/>
      <c r="AH165" s="391"/>
      <c r="AI165" s="391"/>
      <c r="AJ165" s="391"/>
      <c r="AK165" s="310"/>
      <c r="AL165" s="310"/>
    </row>
    <row r="166" spans="1:38" ht="15.75" customHeight="1">
      <c r="A166" s="310"/>
      <c r="B166" s="310"/>
      <c r="C166" s="310"/>
      <c r="D166" s="310"/>
      <c r="E166" s="310"/>
      <c r="F166" s="311"/>
      <c r="G166" s="311"/>
      <c r="H166" s="1"/>
      <c r="I166" s="353"/>
      <c r="J166" s="353"/>
      <c r="K166" s="353"/>
      <c r="L166" s="353"/>
      <c r="M166" s="353"/>
      <c r="N166" s="353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310"/>
      <c r="AB166" s="310"/>
      <c r="AC166" s="310"/>
      <c r="AD166" s="310"/>
      <c r="AE166" s="310"/>
      <c r="AF166" s="391"/>
      <c r="AG166" s="391"/>
      <c r="AH166" s="391"/>
      <c r="AI166" s="391"/>
      <c r="AJ166" s="391"/>
      <c r="AK166" s="310"/>
      <c r="AL166" s="310"/>
    </row>
    <row r="167" spans="1:38" ht="15.75" customHeight="1">
      <c r="A167" s="310"/>
      <c r="B167" s="310"/>
      <c r="C167" s="310"/>
      <c r="D167" s="310"/>
      <c r="E167" s="310"/>
      <c r="F167" s="311"/>
      <c r="G167" s="311"/>
      <c r="H167" s="1"/>
      <c r="I167" s="353"/>
      <c r="J167" s="353"/>
      <c r="K167" s="353"/>
      <c r="L167" s="353"/>
      <c r="M167" s="353"/>
      <c r="N167" s="353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  <c r="AA167" s="310"/>
      <c r="AB167" s="310"/>
      <c r="AC167" s="310"/>
      <c r="AD167" s="310"/>
      <c r="AE167" s="310"/>
      <c r="AF167" s="391"/>
      <c r="AG167" s="391"/>
      <c r="AH167" s="391"/>
      <c r="AI167" s="391"/>
      <c r="AJ167" s="391"/>
      <c r="AK167" s="310"/>
      <c r="AL167" s="310"/>
    </row>
    <row r="168" spans="1:38" ht="15.75" customHeight="1">
      <c r="A168" s="310"/>
      <c r="B168" s="310"/>
      <c r="C168" s="310"/>
      <c r="D168" s="310"/>
      <c r="E168" s="310"/>
      <c r="F168" s="311"/>
      <c r="G168" s="311"/>
      <c r="H168" s="1"/>
      <c r="I168" s="353"/>
      <c r="J168" s="353"/>
      <c r="K168" s="353"/>
      <c r="L168" s="353"/>
      <c r="M168" s="353"/>
      <c r="N168" s="353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310"/>
      <c r="AB168" s="310"/>
      <c r="AC168" s="310"/>
      <c r="AD168" s="310"/>
      <c r="AE168" s="310"/>
      <c r="AF168" s="391"/>
      <c r="AG168" s="391"/>
      <c r="AH168" s="391"/>
      <c r="AI168" s="391"/>
      <c r="AJ168" s="391"/>
      <c r="AK168" s="310"/>
      <c r="AL168" s="310"/>
    </row>
    <row r="169" spans="1:38" ht="15.75" customHeight="1">
      <c r="A169" s="310"/>
      <c r="B169" s="310"/>
      <c r="C169" s="310"/>
      <c r="D169" s="310"/>
      <c r="E169" s="310"/>
      <c r="F169" s="311"/>
      <c r="G169" s="311"/>
      <c r="H169" s="1"/>
      <c r="I169" s="353"/>
      <c r="J169" s="353"/>
      <c r="K169" s="353"/>
      <c r="L169" s="353"/>
      <c r="M169" s="353"/>
      <c r="N169" s="353"/>
      <c r="O169" s="310"/>
      <c r="P169" s="310"/>
      <c r="Q169" s="310"/>
      <c r="R169" s="310"/>
      <c r="S169" s="310"/>
      <c r="T169" s="310"/>
      <c r="U169" s="310"/>
      <c r="V169" s="310"/>
      <c r="W169" s="310"/>
      <c r="X169" s="310"/>
      <c r="Y169" s="310"/>
      <c r="Z169" s="310"/>
      <c r="AA169" s="310"/>
      <c r="AB169" s="310"/>
      <c r="AC169" s="310"/>
      <c r="AD169" s="310"/>
      <c r="AE169" s="310"/>
      <c r="AF169" s="391"/>
      <c r="AG169" s="391"/>
      <c r="AH169" s="391"/>
      <c r="AI169" s="391"/>
      <c r="AJ169" s="391"/>
      <c r="AK169" s="310"/>
      <c r="AL169" s="310"/>
    </row>
    <row r="170" spans="1:38" ht="15.75" customHeight="1">
      <c r="A170" s="310"/>
      <c r="B170" s="310"/>
      <c r="C170" s="310"/>
      <c r="D170" s="310"/>
      <c r="E170" s="310"/>
      <c r="F170" s="311"/>
      <c r="G170" s="311"/>
      <c r="H170" s="1"/>
      <c r="I170" s="353"/>
      <c r="J170" s="353"/>
      <c r="K170" s="353"/>
      <c r="L170" s="353"/>
      <c r="M170" s="353"/>
      <c r="N170" s="353"/>
      <c r="O170" s="310"/>
      <c r="P170" s="310"/>
      <c r="Q170" s="310"/>
      <c r="R170" s="310"/>
      <c r="S170" s="310"/>
      <c r="T170" s="310"/>
      <c r="U170" s="310"/>
      <c r="V170" s="310"/>
      <c r="W170" s="310"/>
      <c r="X170" s="310"/>
      <c r="Y170" s="310"/>
      <c r="Z170" s="310"/>
      <c r="AA170" s="310"/>
      <c r="AB170" s="310"/>
      <c r="AC170" s="310"/>
      <c r="AD170" s="310"/>
      <c r="AE170" s="310"/>
      <c r="AF170" s="391"/>
      <c r="AG170" s="391"/>
      <c r="AH170" s="391"/>
      <c r="AI170" s="391"/>
      <c r="AJ170" s="391"/>
      <c r="AK170" s="310"/>
      <c r="AL170" s="310"/>
    </row>
    <row r="171" spans="1:38" ht="15.75" customHeight="1">
      <c r="A171" s="310"/>
      <c r="B171" s="310"/>
      <c r="C171" s="310"/>
      <c r="D171" s="310"/>
      <c r="E171" s="310"/>
      <c r="F171" s="311"/>
      <c r="G171" s="311"/>
      <c r="H171" s="1"/>
      <c r="I171" s="353"/>
      <c r="J171" s="353"/>
      <c r="K171" s="353"/>
      <c r="L171" s="353"/>
      <c r="M171" s="353"/>
      <c r="N171" s="353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  <c r="AA171" s="310"/>
      <c r="AB171" s="310"/>
      <c r="AC171" s="310"/>
      <c r="AD171" s="310"/>
      <c r="AE171" s="310"/>
      <c r="AF171" s="391"/>
      <c r="AG171" s="391"/>
      <c r="AH171" s="391"/>
      <c r="AI171" s="391"/>
      <c r="AJ171" s="391"/>
      <c r="AK171" s="310"/>
      <c r="AL171" s="310"/>
    </row>
    <row r="172" spans="1:38" ht="15.75" customHeight="1">
      <c r="A172" s="310"/>
      <c r="B172" s="310"/>
      <c r="C172" s="310"/>
      <c r="D172" s="310"/>
      <c r="E172" s="310"/>
      <c r="F172" s="311"/>
      <c r="G172" s="311"/>
      <c r="H172" s="1"/>
      <c r="I172" s="353"/>
      <c r="J172" s="353"/>
      <c r="K172" s="353"/>
      <c r="L172" s="353"/>
      <c r="M172" s="353"/>
      <c r="N172" s="353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  <c r="AA172" s="310"/>
      <c r="AB172" s="310"/>
      <c r="AC172" s="310"/>
      <c r="AD172" s="310"/>
      <c r="AE172" s="310"/>
      <c r="AF172" s="391"/>
      <c r="AG172" s="391"/>
      <c r="AH172" s="391"/>
      <c r="AI172" s="391"/>
      <c r="AJ172" s="391"/>
      <c r="AK172" s="310"/>
      <c r="AL172" s="310"/>
    </row>
    <row r="173" spans="1:38" ht="15.75" customHeight="1">
      <c r="A173" s="310"/>
      <c r="B173" s="310"/>
      <c r="C173" s="310"/>
      <c r="D173" s="310"/>
      <c r="E173" s="310"/>
      <c r="F173" s="311"/>
      <c r="G173" s="311"/>
      <c r="H173" s="1"/>
      <c r="I173" s="353"/>
      <c r="J173" s="353"/>
      <c r="K173" s="353"/>
      <c r="L173" s="353"/>
      <c r="M173" s="353"/>
      <c r="N173" s="353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/>
      <c r="AA173" s="310"/>
      <c r="AB173" s="310"/>
      <c r="AC173" s="310"/>
      <c r="AD173" s="310"/>
      <c r="AE173" s="310"/>
      <c r="AF173" s="391"/>
      <c r="AG173" s="391"/>
      <c r="AH173" s="391"/>
      <c r="AI173" s="391"/>
      <c r="AJ173" s="391"/>
      <c r="AK173" s="310"/>
      <c r="AL173" s="310"/>
    </row>
    <row r="174" spans="1:38" ht="15.75" customHeight="1">
      <c r="A174" s="310"/>
      <c r="B174" s="310"/>
      <c r="C174" s="310"/>
      <c r="D174" s="310"/>
      <c r="E174" s="310"/>
      <c r="F174" s="311"/>
      <c r="G174" s="311"/>
      <c r="H174" s="1"/>
      <c r="I174" s="353"/>
      <c r="J174" s="353"/>
      <c r="K174" s="353"/>
      <c r="L174" s="353"/>
      <c r="M174" s="353"/>
      <c r="N174" s="353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310"/>
      <c r="AB174" s="310"/>
      <c r="AC174" s="310"/>
      <c r="AD174" s="310"/>
      <c r="AE174" s="310"/>
      <c r="AF174" s="391"/>
      <c r="AG174" s="391"/>
      <c r="AH174" s="391"/>
      <c r="AI174" s="391"/>
      <c r="AJ174" s="391"/>
      <c r="AK174" s="310"/>
      <c r="AL174" s="310"/>
    </row>
    <row r="175" spans="1:38" ht="15.75" customHeight="1">
      <c r="A175" s="310"/>
      <c r="B175" s="310"/>
      <c r="C175" s="310"/>
      <c r="D175" s="310"/>
      <c r="E175" s="310"/>
      <c r="F175" s="311"/>
      <c r="G175" s="311"/>
      <c r="H175" s="1"/>
      <c r="I175" s="353"/>
      <c r="J175" s="353"/>
      <c r="K175" s="353"/>
      <c r="L175" s="353"/>
      <c r="M175" s="353"/>
      <c r="N175" s="353"/>
      <c r="O175" s="310"/>
      <c r="P175" s="310"/>
      <c r="Q175" s="310"/>
      <c r="R175" s="310"/>
      <c r="S175" s="310"/>
      <c r="T175" s="310"/>
      <c r="U175" s="310"/>
      <c r="V175" s="310"/>
      <c r="W175" s="310"/>
      <c r="X175" s="310"/>
      <c r="Y175" s="310"/>
      <c r="Z175" s="310"/>
      <c r="AA175" s="310"/>
      <c r="AB175" s="310"/>
      <c r="AC175" s="310"/>
      <c r="AD175" s="310"/>
      <c r="AE175" s="310"/>
      <c r="AF175" s="391"/>
      <c r="AG175" s="391"/>
      <c r="AH175" s="391"/>
      <c r="AI175" s="391"/>
      <c r="AJ175" s="391"/>
      <c r="AK175" s="310"/>
      <c r="AL175" s="310"/>
    </row>
    <row r="176" spans="1:38" ht="15.75" customHeight="1">
      <c r="A176" s="310"/>
      <c r="B176" s="310"/>
      <c r="C176" s="310"/>
      <c r="D176" s="310"/>
      <c r="E176" s="310"/>
      <c r="F176" s="311"/>
      <c r="G176" s="311"/>
      <c r="H176" s="1"/>
      <c r="I176" s="353"/>
      <c r="J176" s="353"/>
      <c r="K176" s="353"/>
      <c r="L176" s="353"/>
      <c r="M176" s="353"/>
      <c r="N176" s="353"/>
      <c r="O176" s="310"/>
      <c r="P176" s="310"/>
      <c r="Q176" s="310"/>
      <c r="R176" s="310"/>
      <c r="S176" s="310"/>
      <c r="T176" s="310"/>
      <c r="U176" s="310"/>
      <c r="V176" s="310"/>
      <c r="W176" s="310"/>
      <c r="X176" s="310"/>
      <c r="Y176" s="310"/>
      <c r="Z176" s="310"/>
      <c r="AA176" s="310"/>
      <c r="AB176" s="310"/>
      <c r="AC176" s="310"/>
      <c r="AD176" s="310"/>
      <c r="AE176" s="310"/>
      <c r="AF176" s="391"/>
      <c r="AG176" s="391"/>
      <c r="AH176" s="391"/>
      <c r="AI176" s="391"/>
      <c r="AJ176" s="391"/>
      <c r="AK176" s="310"/>
      <c r="AL176" s="310"/>
    </row>
    <row r="177" spans="1:38" ht="15.75" customHeight="1">
      <c r="A177" s="310"/>
      <c r="B177" s="310"/>
      <c r="C177" s="310"/>
      <c r="D177" s="310"/>
      <c r="E177" s="310"/>
      <c r="F177" s="311"/>
      <c r="G177" s="311"/>
      <c r="H177" s="1"/>
      <c r="I177" s="353"/>
      <c r="J177" s="353"/>
      <c r="K177" s="353"/>
      <c r="L177" s="353"/>
      <c r="M177" s="353"/>
      <c r="N177" s="353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310"/>
      <c r="AB177" s="310"/>
      <c r="AC177" s="310"/>
      <c r="AD177" s="310"/>
      <c r="AE177" s="310"/>
      <c r="AF177" s="391"/>
      <c r="AG177" s="391"/>
      <c r="AH177" s="391"/>
      <c r="AI177" s="391"/>
      <c r="AJ177" s="391"/>
      <c r="AK177" s="310"/>
      <c r="AL177" s="310"/>
    </row>
    <row r="178" spans="1:38" ht="15.75" customHeight="1">
      <c r="A178" s="310"/>
      <c r="B178" s="310"/>
      <c r="C178" s="310"/>
      <c r="D178" s="310"/>
      <c r="E178" s="310"/>
      <c r="F178" s="311"/>
      <c r="G178" s="311"/>
      <c r="H178" s="1"/>
      <c r="I178" s="353"/>
      <c r="J178" s="353"/>
      <c r="K178" s="353"/>
      <c r="L178" s="353"/>
      <c r="M178" s="353"/>
      <c r="N178" s="353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310"/>
      <c r="AB178" s="310"/>
      <c r="AC178" s="310"/>
      <c r="AD178" s="310"/>
      <c r="AE178" s="310"/>
      <c r="AF178" s="391"/>
      <c r="AG178" s="391"/>
      <c r="AH178" s="391"/>
      <c r="AI178" s="391"/>
      <c r="AJ178" s="391"/>
      <c r="AK178" s="310"/>
      <c r="AL178" s="310"/>
    </row>
    <row r="179" spans="1:38" ht="15.75" customHeight="1">
      <c r="A179" s="310"/>
      <c r="B179" s="310"/>
      <c r="C179" s="310"/>
      <c r="D179" s="310"/>
      <c r="E179" s="310"/>
      <c r="F179" s="311"/>
      <c r="G179" s="311"/>
      <c r="H179" s="1"/>
      <c r="I179" s="353"/>
      <c r="J179" s="353"/>
      <c r="K179" s="353"/>
      <c r="L179" s="353"/>
      <c r="M179" s="353"/>
      <c r="N179" s="353"/>
      <c r="O179" s="310"/>
      <c r="P179" s="310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  <c r="AA179" s="310"/>
      <c r="AB179" s="310"/>
      <c r="AC179" s="310"/>
      <c r="AD179" s="310"/>
      <c r="AE179" s="310"/>
      <c r="AF179" s="391"/>
      <c r="AG179" s="391"/>
      <c r="AH179" s="391"/>
      <c r="AI179" s="391"/>
      <c r="AJ179" s="391"/>
      <c r="AK179" s="310"/>
      <c r="AL179" s="310"/>
    </row>
    <row r="180" spans="1:38" ht="15.75" customHeight="1">
      <c r="A180" s="310"/>
      <c r="B180" s="310"/>
      <c r="C180" s="310"/>
      <c r="D180" s="310"/>
      <c r="E180" s="310"/>
      <c r="F180" s="311"/>
      <c r="G180" s="311"/>
      <c r="H180" s="1"/>
      <c r="I180" s="353"/>
      <c r="J180" s="353"/>
      <c r="K180" s="353"/>
      <c r="L180" s="353"/>
      <c r="M180" s="353"/>
      <c r="N180" s="353"/>
      <c r="O180" s="310"/>
      <c r="P180" s="310"/>
      <c r="Q180" s="310"/>
      <c r="R180" s="310"/>
      <c r="S180" s="310"/>
      <c r="T180" s="310"/>
      <c r="U180" s="310"/>
      <c r="V180" s="310"/>
      <c r="W180" s="310"/>
      <c r="X180" s="310"/>
      <c r="Y180" s="310"/>
      <c r="Z180" s="310"/>
      <c r="AA180" s="310"/>
      <c r="AB180" s="310"/>
      <c r="AC180" s="310"/>
      <c r="AD180" s="310"/>
      <c r="AE180" s="310"/>
      <c r="AF180" s="391"/>
      <c r="AG180" s="391"/>
      <c r="AH180" s="391"/>
      <c r="AI180" s="391"/>
      <c r="AJ180" s="391"/>
      <c r="AK180" s="310"/>
      <c r="AL180" s="310"/>
    </row>
    <row r="181" spans="1:38" ht="15.75" customHeight="1">
      <c r="A181" s="310"/>
      <c r="B181" s="310"/>
      <c r="C181" s="310"/>
      <c r="D181" s="310"/>
      <c r="E181" s="310"/>
      <c r="F181" s="311"/>
      <c r="G181" s="311"/>
      <c r="H181" s="1"/>
      <c r="I181" s="353"/>
      <c r="J181" s="353"/>
      <c r="K181" s="353"/>
      <c r="L181" s="353"/>
      <c r="M181" s="353"/>
      <c r="N181" s="353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310"/>
      <c r="AB181" s="310"/>
      <c r="AC181" s="310"/>
      <c r="AD181" s="310"/>
      <c r="AE181" s="310"/>
      <c r="AF181" s="391"/>
      <c r="AG181" s="391"/>
      <c r="AH181" s="391"/>
      <c r="AI181" s="391"/>
      <c r="AJ181" s="391"/>
      <c r="AK181" s="310"/>
      <c r="AL181" s="310"/>
    </row>
    <row r="182" spans="1:38" ht="15.75" customHeight="1">
      <c r="A182" s="310"/>
      <c r="B182" s="310"/>
      <c r="C182" s="310"/>
      <c r="D182" s="310"/>
      <c r="E182" s="310"/>
      <c r="F182" s="311"/>
      <c r="G182" s="311"/>
      <c r="H182" s="1"/>
      <c r="I182" s="353"/>
      <c r="J182" s="353"/>
      <c r="K182" s="353"/>
      <c r="L182" s="353"/>
      <c r="M182" s="353"/>
      <c r="N182" s="353"/>
      <c r="O182" s="310"/>
      <c r="P182" s="310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  <c r="AA182" s="310"/>
      <c r="AB182" s="310"/>
      <c r="AC182" s="310"/>
      <c r="AD182" s="310"/>
      <c r="AE182" s="310"/>
      <c r="AF182" s="391"/>
      <c r="AG182" s="391"/>
      <c r="AH182" s="391"/>
      <c r="AI182" s="391"/>
      <c r="AJ182" s="391"/>
      <c r="AK182" s="310"/>
      <c r="AL182" s="310"/>
    </row>
    <row r="183" spans="1:38" ht="15.75" customHeight="1">
      <c r="A183" s="310"/>
      <c r="B183" s="310"/>
      <c r="C183" s="310"/>
      <c r="D183" s="310"/>
      <c r="E183" s="310"/>
      <c r="F183" s="311"/>
      <c r="G183" s="311"/>
      <c r="H183" s="1"/>
      <c r="I183" s="353"/>
      <c r="J183" s="353"/>
      <c r="K183" s="353"/>
      <c r="L183" s="353"/>
      <c r="M183" s="353"/>
      <c r="N183" s="353"/>
      <c r="O183" s="310"/>
      <c r="P183" s="310"/>
      <c r="Q183" s="310"/>
      <c r="R183" s="310"/>
      <c r="S183" s="310"/>
      <c r="T183" s="310"/>
      <c r="U183" s="310"/>
      <c r="V183" s="310"/>
      <c r="W183" s="310"/>
      <c r="X183" s="310"/>
      <c r="Y183" s="310"/>
      <c r="Z183" s="310"/>
      <c r="AA183" s="310"/>
      <c r="AB183" s="310"/>
      <c r="AC183" s="310"/>
      <c r="AD183" s="310"/>
      <c r="AE183" s="310"/>
      <c r="AF183" s="391"/>
      <c r="AG183" s="391"/>
      <c r="AH183" s="391"/>
      <c r="AI183" s="391"/>
      <c r="AJ183" s="391"/>
      <c r="AK183" s="310"/>
      <c r="AL183" s="310"/>
    </row>
    <row r="184" spans="1:38" ht="15.75" customHeight="1">
      <c r="A184" s="310"/>
      <c r="B184" s="310"/>
      <c r="C184" s="310"/>
      <c r="D184" s="310"/>
      <c r="E184" s="310"/>
      <c r="F184" s="311"/>
      <c r="G184" s="311"/>
      <c r="H184" s="1"/>
      <c r="I184" s="353"/>
      <c r="J184" s="353"/>
      <c r="K184" s="353"/>
      <c r="L184" s="353"/>
      <c r="M184" s="353"/>
      <c r="N184" s="353"/>
      <c r="O184" s="310"/>
      <c r="P184" s="310"/>
      <c r="Q184" s="310"/>
      <c r="R184" s="310"/>
      <c r="S184" s="310"/>
      <c r="T184" s="310"/>
      <c r="U184" s="310"/>
      <c r="V184" s="310"/>
      <c r="W184" s="310"/>
      <c r="X184" s="310"/>
      <c r="Y184" s="310"/>
      <c r="Z184" s="310"/>
      <c r="AA184" s="310"/>
      <c r="AB184" s="310"/>
      <c r="AC184" s="310"/>
      <c r="AD184" s="310"/>
      <c r="AE184" s="310"/>
      <c r="AF184" s="391"/>
      <c r="AG184" s="391"/>
      <c r="AH184" s="391"/>
      <c r="AI184" s="391"/>
      <c r="AJ184" s="391"/>
      <c r="AK184" s="310"/>
      <c r="AL184" s="310"/>
    </row>
    <row r="185" spans="1:38" ht="15.75" customHeight="1">
      <c r="A185" s="310"/>
      <c r="B185" s="310"/>
      <c r="C185" s="310"/>
      <c r="D185" s="310"/>
      <c r="E185" s="310"/>
      <c r="F185" s="311"/>
      <c r="G185" s="311"/>
      <c r="H185" s="1"/>
      <c r="I185" s="353"/>
      <c r="J185" s="353"/>
      <c r="K185" s="353"/>
      <c r="L185" s="353"/>
      <c r="M185" s="353"/>
      <c r="N185" s="353"/>
      <c r="O185" s="310"/>
      <c r="P185" s="310"/>
      <c r="Q185" s="310"/>
      <c r="R185" s="310"/>
      <c r="S185" s="310"/>
      <c r="T185" s="310"/>
      <c r="U185" s="310"/>
      <c r="V185" s="310"/>
      <c r="W185" s="310"/>
      <c r="X185" s="310"/>
      <c r="Y185" s="310"/>
      <c r="Z185" s="310"/>
      <c r="AA185" s="310"/>
      <c r="AB185" s="310"/>
      <c r="AC185" s="310"/>
      <c r="AD185" s="310"/>
      <c r="AE185" s="310"/>
      <c r="AF185" s="391"/>
      <c r="AG185" s="391"/>
      <c r="AH185" s="391"/>
      <c r="AI185" s="391"/>
      <c r="AJ185" s="391"/>
      <c r="AK185" s="310"/>
      <c r="AL185" s="310"/>
    </row>
    <row r="186" spans="1:38" ht="15.75" customHeight="1">
      <c r="A186" s="310"/>
      <c r="B186" s="310"/>
      <c r="C186" s="310"/>
      <c r="D186" s="310"/>
      <c r="E186" s="310"/>
      <c r="F186" s="311"/>
      <c r="G186" s="311"/>
      <c r="H186" s="1"/>
      <c r="I186" s="353"/>
      <c r="J186" s="353"/>
      <c r="K186" s="353"/>
      <c r="L186" s="353"/>
      <c r="M186" s="353"/>
      <c r="N186" s="353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310"/>
      <c r="AB186" s="310"/>
      <c r="AC186" s="310"/>
      <c r="AD186" s="310"/>
      <c r="AE186" s="310"/>
      <c r="AF186" s="391"/>
      <c r="AG186" s="391"/>
      <c r="AH186" s="391"/>
      <c r="AI186" s="391"/>
      <c r="AJ186" s="391"/>
      <c r="AK186" s="310"/>
      <c r="AL186" s="310"/>
    </row>
    <row r="187" spans="1:38" ht="15.75" customHeight="1">
      <c r="A187" s="310"/>
      <c r="B187" s="310"/>
      <c r="C187" s="310"/>
      <c r="D187" s="310"/>
      <c r="E187" s="310"/>
      <c r="F187" s="311"/>
      <c r="G187" s="311"/>
      <c r="H187" s="1"/>
      <c r="I187" s="353"/>
      <c r="J187" s="353"/>
      <c r="K187" s="353"/>
      <c r="L187" s="353"/>
      <c r="M187" s="353"/>
      <c r="N187" s="353"/>
      <c r="O187" s="310"/>
      <c r="P187" s="310"/>
      <c r="Q187" s="310"/>
      <c r="R187" s="310"/>
      <c r="S187" s="310"/>
      <c r="T187" s="310"/>
      <c r="U187" s="310"/>
      <c r="V187" s="310"/>
      <c r="W187" s="310"/>
      <c r="X187" s="310"/>
      <c r="Y187" s="310"/>
      <c r="Z187" s="310"/>
      <c r="AA187" s="310"/>
      <c r="AB187" s="310"/>
      <c r="AC187" s="310"/>
      <c r="AD187" s="310"/>
      <c r="AE187" s="310"/>
      <c r="AF187" s="391"/>
      <c r="AG187" s="391"/>
      <c r="AH187" s="391"/>
      <c r="AI187" s="391"/>
      <c r="AJ187" s="391"/>
      <c r="AK187" s="310"/>
      <c r="AL187" s="310"/>
    </row>
    <row r="188" spans="1:38" ht="15.75" customHeight="1">
      <c r="A188" s="310"/>
      <c r="B188" s="310"/>
      <c r="C188" s="310"/>
      <c r="D188" s="310"/>
      <c r="E188" s="310"/>
      <c r="F188" s="311"/>
      <c r="G188" s="311"/>
      <c r="H188" s="1"/>
      <c r="I188" s="353"/>
      <c r="J188" s="353"/>
      <c r="K188" s="353"/>
      <c r="L188" s="353"/>
      <c r="M188" s="353"/>
      <c r="N188" s="353"/>
      <c r="O188" s="310"/>
      <c r="P188" s="310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  <c r="AA188" s="310"/>
      <c r="AB188" s="310"/>
      <c r="AC188" s="310"/>
      <c r="AD188" s="310"/>
      <c r="AE188" s="310"/>
      <c r="AF188" s="391"/>
      <c r="AG188" s="391"/>
      <c r="AH188" s="391"/>
      <c r="AI188" s="391"/>
      <c r="AJ188" s="391"/>
      <c r="AK188" s="310"/>
      <c r="AL188" s="310"/>
    </row>
    <row r="189" spans="1:38" ht="15.75" customHeight="1">
      <c r="A189" s="310"/>
      <c r="B189" s="310"/>
      <c r="C189" s="310"/>
      <c r="D189" s="310"/>
      <c r="E189" s="310"/>
      <c r="F189" s="311"/>
      <c r="G189" s="311"/>
      <c r="H189" s="1"/>
      <c r="I189" s="353"/>
      <c r="J189" s="353"/>
      <c r="K189" s="353"/>
      <c r="L189" s="353"/>
      <c r="M189" s="353"/>
      <c r="N189" s="353"/>
      <c r="O189" s="310"/>
      <c r="P189" s="310"/>
      <c r="Q189" s="310"/>
      <c r="R189" s="310"/>
      <c r="S189" s="310"/>
      <c r="T189" s="310"/>
      <c r="U189" s="310"/>
      <c r="V189" s="310"/>
      <c r="W189" s="310"/>
      <c r="X189" s="310"/>
      <c r="Y189" s="310"/>
      <c r="Z189" s="310"/>
      <c r="AA189" s="310"/>
      <c r="AB189" s="310"/>
      <c r="AC189" s="310"/>
      <c r="AD189" s="310"/>
      <c r="AE189" s="310"/>
      <c r="AF189" s="391"/>
      <c r="AG189" s="391"/>
      <c r="AH189" s="391"/>
      <c r="AI189" s="391"/>
      <c r="AJ189" s="391"/>
      <c r="AK189" s="310"/>
      <c r="AL189" s="310"/>
    </row>
    <row r="190" spans="1:38" ht="15.75" customHeight="1">
      <c r="A190" s="310"/>
      <c r="B190" s="310"/>
      <c r="C190" s="310"/>
      <c r="D190" s="310"/>
      <c r="E190" s="310"/>
      <c r="F190" s="311"/>
      <c r="G190" s="311"/>
      <c r="H190" s="1"/>
      <c r="I190" s="353"/>
      <c r="J190" s="353"/>
      <c r="K190" s="353"/>
      <c r="L190" s="353"/>
      <c r="M190" s="353"/>
      <c r="N190" s="353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310"/>
      <c r="AB190" s="310"/>
      <c r="AC190" s="310"/>
      <c r="AD190" s="310"/>
      <c r="AE190" s="310"/>
      <c r="AF190" s="391"/>
      <c r="AG190" s="391"/>
      <c r="AH190" s="391"/>
      <c r="AI190" s="391"/>
      <c r="AJ190" s="391"/>
      <c r="AK190" s="310"/>
      <c r="AL190" s="310"/>
    </row>
    <row r="191" spans="1:38" ht="15.75" customHeight="1">
      <c r="A191" s="310"/>
      <c r="B191" s="310"/>
      <c r="C191" s="310"/>
      <c r="D191" s="310"/>
      <c r="E191" s="310"/>
      <c r="F191" s="311"/>
      <c r="G191" s="311"/>
      <c r="H191" s="1"/>
      <c r="I191" s="353"/>
      <c r="J191" s="353"/>
      <c r="K191" s="353"/>
      <c r="L191" s="353"/>
      <c r="M191" s="353"/>
      <c r="N191" s="353"/>
      <c r="O191" s="310"/>
      <c r="P191" s="310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  <c r="AA191" s="310"/>
      <c r="AB191" s="310"/>
      <c r="AC191" s="310"/>
      <c r="AD191" s="310"/>
      <c r="AE191" s="310"/>
      <c r="AF191" s="391"/>
      <c r="AG191" s="391"/>
      <c r="AH191" s="391"/>
      <c r="AI191" s="391"/>
      <c r="AJ191" s="391"/>
      <c r="AK191" s="310"/>
      <c r="AL191" s="310"/>
    </row>
    <row r="192" spans="1:38" ht="15.75" customHeight="1">
      <c r="A192" s="310"/>
      <c r="B192" s="310"/>
      <c r="C192" s="310"/>
      <c r="D192" s="310"/>
      <c r="E192" s="310"/>
      <c r="F192" s="311"/>
      <c r="G192" s="311"/>
      <c r="H192" s="1"/>
      <c r="I192" s="353"/>
      <c r="J192" s="353"/>
      <c r="K192" s="353"/>
      <c r="L192" s="353"/>
      <c r="M192" s="353"/>
      <c r="N192" s="353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310"/>
      <c r="AB192" s="310"/>
      <c r="AC192" s="310"/>
      <c r="AD192" s="310"/>
      <c r="AE192" s="310"/>
      <c r="AF192" s="391"/>
      <c r="AG192" s="391"/>
      <c r="AH192" s="391"/>
      <c r="AI192" s="391"/>
      <c r="AJ192" s="391"/>
      <c r="AK192" s="310"/>
      <c r="AL192" s="310"/>
    </row>
    <row r="193" spans="1:38" ht="15.75" customHeight="1">
      <c r="A193" s="310"/>
      <c r="B193" s="310"/>
      <c r="C193" s="310"/>
      <c r="D193" s="310"/>
      <c r="E193" s="310"/>
      <c r="F193" s="311"/>
      <c r="G193" s="311"/>
      <c r="H193" s="1"/>
      <c r="I193" s="353"/>
      <c r="J193" s="353"/>
      <c r="K193" s="353"/>
      <c r="L193" s="353"/>
      <c r="M193" s="353"/>
      <c r="N193" s="353"/>
      <c r="O193" s="310"/>
      <c r="P193" s="310"/>
      <c r="Q193" s="310"/>
      <c r="R193" s="310"/>
      <c r="S193" s="310"/>
      <c r="T193" s="310"/>
      <c r="U193" s="310"/>
      <c r="V193" s="310"/>
      <c r="W193" s="310"/>
      <c r="X193" s="310"/>
      <c r="Y193" s="310"/>
      <c r="Z193" s="310"/>
      <c r="AA193" s="310"/>
      <c r="AB193" s="310"/>
      <c r="AC193" s="310"/>
      <c r="AD193" s="310"/>
      <c r="AE193" s="310"/>
      <c r="AF193" s="391"/>
      <c r="AG193" s="391"/>
      <c r="AH193" s="391"/>
      <c r="AI193" s="391"/>
      <c r="AJ193" s="391"/>
      <c r="AK193" s="310"/>
      <c r="AL193" s="310"/>
    </row>
    <row r="194" spans="1:38" ht="15.75" customHeight="1">
      <c r="A194" s="310"/>
      <c r="B194" s="310"/>
      <c r="C194" s="310"/>
      <c r="D194" s="310"/>
      <c r="E194" s="310"/>
      <c r="F194" s="311"/>
      <c r="G194" s="311"/>
      <c r="H194" s="1"/>
      <c r="I194" s="353"/>
      <c r="J194" s="353"/>
      <c r="K194" s="353"/>
      <c r="L194" s="353"/>
      <c r="M194" s="353"/>
      <c r="N194" s="353"/>
      <c r="O194" s="310"/>
      <c r="P194" s="310"/>
      <c r="Q194" s="310"/>
      <c r="R194" s="310"/>
      <c r="S194" s="310"/>
      <c r="T194" s="310"/>
      <c r="U194" s="310"/>
      <c r="V194" s="310"/>
      <c r="W194" s="310"/>
      <c r="X194" s="310"/>
      <c r="Y194" s="310"/>
      <c r="Z194" s="310"/>
      <c r="AA194" s="310"/>
      <c r="AB194" s="310"/>
      <c r="AC194" s="310"/>
      <c r="AD194" s="310"/>
      <c r="AE194" s="310"/>
      <c r="AF194" s="391"/>
      <c r="AG194" s="391"/>
      <c r="AH194" s="391"/>
      <c r="AI194" s="391"/>
      <c r="AJ194" s="391"/>
      <c r="AK194" s="310"/>
      <c r="AL194" s="310"/>
    </row>
    <row r="195" spans="1:38" ht="15.75" customHeight="1">
      <c r="A195" s="310"/>
      <c r="B195" s="310"/>
      <c r="C195" s="310"/>
      <c r="D195" s="310"/>
      <c r="E195" s="310"/>
      <c r="F195" s="311"/>
      <c r="G195" s="311"/>
      <c r="H195" s="1"/>
      <c r="I195" s="353"/>
      <c r="J195" s="353"/>
      <c r="K195" s="353"/>
      <c r="L195" s="353"/>
      <c r="M195" s="353"/>
      <c r="N195" s="353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310"/>
      <c r="AB195" s="310"/>
      <c r="AC195" s="310"/>
      <c r="AD195" s="310"/>
      <c r="AE195" s="310"/>
      <c r="AF195" s="391"/>
      <c r="AG195" s="391"/>
      <c r="AH195" s="391"/>
      <c r="AI195" s="391"/>
      <c r="AJ195" s="391"/>
      <c r="AK195" s="310"/>
      <c r="AL195" s="310"/>
    </row>
    <row r="196" spans="1:38" ht="15.75" customHeight="1">
      <c r="A196" s="310"/>
      <c r="B196" s="310"/>
      <c r="C196" s="310"/>
      <c r="D196" s="310"/>
      <c r="E196" s="310"/>
      <c r="F196" s="311"/>
      <c r="G196" s="311"/>
      <c r="H196" s="1"/>
      <c r="I196" s="353"/>
      <c r="J196" s="353"/>
      <c r="K196" s="353"/>
      <c r="L196" s="353"/>
      <c r="M196" s="353"/>
      <c r="N196" s="353"/>
      <c r="O196" s="310"/>
      <c r="P196" s="310"/>
      <c r="Q196" s="310"/>
      <c r="R196" s="310"/>
      <c r="S196" s="310"/>
      <c r="T196" s="310"/>
      <c r="U196" s="310"/>
      <c r="V196" s="310"/>
      <c r="W196" s="310"/>
      <c r="X196" s="310"/>
      <c r="Y196" s="310"/>
      <c r="Z196" s="310"/>
      <c r="AA196" s="310"/>
      <c r="AB196" s="310"/>
      <c r="AC196" s="310"/>
      <c r="AD196" s="310"/>
      <c r="AE196" s="310"/>
      <c r="AF196" s="391"/>
      <c r="AG196" s="391"/>
      <c r="AH196" s="391"/>
      <c r="AI196" s="391"/>
      <c r="AJ196" s="391"/>
      <c r="AK196" s="310"/>
      <c r="AL196" s="310"/>
    </row>
    <row r="197" spans="1:38" ht="15.75" customHeight="1">
      <c r="A197" s="310"/>
      <c r="B197" s="310"/>
      <c r="C197" s="310"/>
      <c r="D197" s="310"/>
      <c r="E197" s="310"/>
      <c r="F197" s="311"/>
      <c r="G197" s="311"/>
      <c r="H197" s="1"/>
      <c r="I197" s="353"/>
      <c r="J197" s="353"/>
      <c r="K197" s="353"/>
      <c r="L197" s="353"/>
      <c r="M197" s="353"/>
      <c r="N197" s="353"/>
      <c r="O197" s="310"/>
      <c r="P197" s="310"/>
      <c r="Q197" s="310"/>
      <c r="R197" s="310"/>
      <c r="S197" s="310"/>
      <c r="T197" s="310"/>
      <c r="U197" s="310"/>
      <c r="V197" s="310"/>
      <c r="W197" s="310"/>
      <c r="X197" s="310"/>
      <c r="Y197" s="310"/>
      <c r="Z197" s="310"/>
      <c r="AA197" s="310"/>
      <c r="AB197" s="310"/>
      <c r="AC197" s="310"/>
      <c r="AD197" s="310"/>
      <c r="AE197" s="310"/>
      <c r="AF197" s="391"/>
      <c r="AG197" s="391"/>
      <c r="AH197" s="391"/>
      <c r="AI197" s="391"/>
      <c r="AJ197" s="391"/>
      <c r="AK197" s="310"/>
      <c r="AL197" s="310"/>
    </row>
    <row r="198" spans="1:38" ht="15.75" customHeight="1">
      <c r="A198" s="310"/>
      <c r="B198" s="310"/>
      <c r="C198" s="310"/>
      <c r="D198" s="310"/>
      <c r="E198" s="310"/>
      <c r="F198" s="311"/>
      <c r="G198" s="311"/>
      <c r="H198" s="1"/>
      <c r="I198" s="353"/>
      <c r="J198" s="353"/>
      <c r="K198" s="353"/>
      <c r="L198" s="353"/>
      <c r="M198" s="353"/>
      <c r="N198" s="353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  <c r="AA198" s="310"/>
      <c r="AB198" s="310"/>
      <c r="AC198" s="310"/>
      <c r="AD198" s="310"/>
      <c r="AE198" s="310"/>
      <c r="AF198" s="391"/>
      <c r="AG198" s="391"/>
      <c r="AH198" s="391"/>
      <c r="AI198" s="391"/>
      <c r="AJ198" s="391"/>
      <c r="AK198" s="310"/>
      <c r="AL198" s="310"/>
    </row>
    <row r="199" spans="1:38" ht="15.75" customHeight="1">
      <c r="A199" s="310"/>
      <c r="B199" s="310"/>
      <c r="C199" s="310"/>
      <c r="D199" s="310"/>
      <c r="E199" s="310"/>
      <c r="F199" s="311"/>
      <c r="G199" s="311"/>
      <c r="H199" s="1"/>
      <c r="I199" s="353"/>
      <c r="J199" s="353"/>
      <c r="K199" s="353"/>
      <c r="L199" s="353"/>
      <c r="M199" s="353"/>
      <c r="N199" s="353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  <c r="AA199" s="310"/>
      <c r="AB199" s="310"/>
      <c r="AC199" s="310"/>
      <c r="AD199" s="310"/>
      <c r="AE199" s="310"/>
      <c r="AF199" s="391"/>
      <c r="AG199" s="391"/>
      <c r="AH199" s="391"/>
      <c r="AI199" s="391"/>
      <c r="AJ199" s="391"/>
      <c r="AK199" s="310"/>
      <c r="AL199" s="310"/>
    </row>
    <row r="200" spans="1:38" ht="15.75" customHeight="1">
      <c r="A200" s="310"/>
      <c r="B200" s="310"/>
      <c r="C200" s="310"/>
      <c r="D200" s="310"/>
      <c r="E200" s="310"/>
      <c r="F200" s="311"/>
      <c r="G200" s="311"/>
      <c r="H200" s="1"/>
      <c r="I200" s="353"/>
      <c r="J200" s="353"/>
      <c r="K200" s="353"/>
      <c r="L200" s="353"/>
      <c r="M200" s="353"/>
      <c r="N200" s="353"/>
      <c r="O200" s="310"/>
      <c r="P200" s="310"/>
      <c r="Q200" s="310"/>
      <c r="R200" s="310"/>
      <c r="S200" s="310"/>
      <c r="T200" s="310"/>
      <c r="U200" s="310"/>
      <c r="V200" s="310"/>
      <c r="W200" s="310"/>
      <c r="X200" s="310"/>
      <c r="Y200" s="310"/>
      <c r="Z200" s="310"/>
      <c r="AA200" s="310"/>
      <c r="AB200" s="310"/>
      <c r="AC200" s="310"/>
      <c r="AD200" s="310"/>
      <c r="AE200" s="310"/>
      <c r="AF200" s="391"/>
      <c r="AG200" s="391"/>
      <c r="AH200" s="391"/>
      <c r="AI200" s="391"/>
      <c r="AJ200" s="391"/>
      <c r="AK200" s="310"/>
      <c r="AL200" s="310"/>
    </row>
    <row r="201" spans="1:38" ht="15.75" customHeight="1">
      <c r="A201" s="310"/>
      <c r="B201" s="310"/>
      <c r="C201" s="310"/>
      <c r="D201" s="310"/>
      <c r="E201" s="310"/>
      <c r="F201" s="311"/>
      <c r="G201" s="311"/>
      <c r="H201" s="1"/>
      <c r="I201" s="353"/>
      <c r="J201" s="353"/>
      <c r="K201" s="353"/>
      <c r="L201" s="353"/>
      <c r="M201" s="353"/>
      <c r="N201" s="353"/>
      <c r="O201" s="310"/>
      <c r="P201" s="310"/>
      <c r="Q201" s="310"/>
      <c r="R201" s="310"/>
      <c r="S201" s="310"/>
      <c r="T201" s="310"/>
      <c r="U201" s="310"/>
      <c r="V201" s="310"/>
      <c r="W201" s="310"/>
      <c r="X201" s="310"/>
      <c r="Y201" s="310"/>
      <c r="Z201" s="310"/>
      <c r="AA201" s="310"/>
      <c r="AB201" s="310"/>
      <c r="AC201" s="310"/>
      <c r="AD201" s="310"/>
      <c r="AE201" s="310"/>
      <c r="AF201" s="391"/>
      <c r="AG201" s="391"/>
      <c r="AH201" s="391"/>
      <c r="AI201" s="391"/>
      <c r="AJ201" s="391"/>
      <c r="AK201" s="310"/>
      <c r="AL201" s="310"/>
    </row>
    <row r="202" spans="1:38" ht="15.75" customHeight="1">
      <c r="A202" s="310"/>
      <c r="B202" s="310"/>
      <c r="C202" s="310"/>
      <c r="D202" s="310"/>
      <c r="E202" s="310"/>
      <c r="F202" s="311"/>
      <c r="G202" s="311"/>
      <c r="H202" s="1"/>
      <c r="I202" s="353"/>
      <c r="J202" s="353"/>
      <c r="K202" s="353"/>
      <c r="L202" s="353"/>
      <c r="M202" s="353"/>
      <c r="N202" s="353"/>
      <c r="O202" s="310"/>
      <c r="P202" s="310"/>
      <c r="Q202" s="310"/>
      <c r="R202" s="310"/>
      <c r="S202" s="310"/>
      <c r="T202" s="310"/>
      <c r="U202" s="310"/>
      <c r="V202" s="310"/>
      <c r="W202" s="310"/>
      <c r="X202" s="310"/>
      <c r="Y202" s="310"/>
      <c r="Z202" s="310"/>
      <c r="AA202" s="310"/>
      <c r="AB202" s="310"/>
      <c r="AC202" s="310"/>
      <c r="AD202" s="310"/>
      <c r="AE202" s="310"/>
      <c r="AF202" s="391"/>
      <c r="AG202" s="391"/>
      <c r="AH202" s="391"/>
      <c r="AI202" s="391"/>
      <c r="AJ202" s="391"/>
      <c r="AK202" s="310"/>
      <c r="AL202" s="310"/>
    </row>
    <row r="203" spans="1:38" ht="15.75" customHeight="1">
      <c r="A203" s="310"/>
      <c r="B203" s="310"/>
      <c r="C203" s="310"/>
      <c r="D203" s="310"/>
      <c r="E203" s="310"/>
      <c r="F203" s="311"/>
      <c r="G203" s="311"/>
      <c r="H203" s="1"/>
      <c r="I203" s="353"/>
      <c r="J203" s="353"/>
      <c r="K203" s="353"/>
      <c r="L203" s="353"/>
      <c r="M203" s="353"/>
      <c r="N203" s="353"/>
      <c r="O203" s="310"/>
      <c r="P203" s="310"/>
      <c r="Q203" s="310"/>
      <c r="R203" s="310"/>
      <c r="S203" s="310"/>
      <c r="T203" s="310"/>
      <c r="U203" s="310"/>
      <c r="V203" s="310"/>
      <c r="W203" s="310"/>
      <c r="X203" s="310"/>
      <c r="Y203" s="310"/>
      <c r="Z203" s="310"/>
      <c r="AA203" s="310"/>
      <c r="AB203" s="310"/>
      <c r="AC203" s="310"/>
      <c r="AD203" s="310"/>
      <c r="AE203" s="310"/>
      <c r="AF203" s="391"/>
      <c r="AG203" s="391"/>
      <c r="AH203" s="391"/>
      <c r="AI203" s="391"/>
      <c r="AJ203" s="391"/>
      <c r="AK203" s="310"/>
      <c r="AL203" s="310"/>
    </row>
    <row r="204" spans="1:38" ht="15.75" customHeight="1">
      <c r="A204" s="310"/>
      <c r="B204" s="310"/>
      <c r="C204" s="310"/>
      <c r="D204" s="310"/>
      <c r="E204" s="310"/>
      <c r="F204" s="311"/>
      <c r="G204" s="311"/>
      <c r="H204" s="1"/>
      <c r="I204" s="353"/>
      <c r="J204" s="353"/>
      <c r="K204" s="353"/>
      <c r="L204" s="353"/>
      <c r="M204" s="353"/>
      <c r="N204" s="353"/>
      <c r="O204" s="310"/>
      <c r="P204" s="310"/>
      <c r="Q204" s="310"/>
      <c r="R204" s="310"/>
      <c r="S204" s="310"/>
      <c r="T204" s="310"/>
      <c r="U204" s="310"/>
      <c r="V204" s="310"/>
      <c r="W204" s="310"/>
      <c r="X204" s="310"/>
      <c r="Y204" s="310"/>
      <c r="Z204" s="310"/>
      <c r="AA204" s="310"/>
      <c r="AB204" s="310"/>
      <c r="AC204" s="310"/>
      <c r="AD204" s="310"/>
      <c r="AE204" s="310"/>
      <c r="AF204" s="391"/>
      <c r="AG204" s="391"/>
      <c r="AH204" s="391"/>
      <c r="AI204" s="391"/>
      <c r="AJ204" s="391"/>
      <c r="AK204" s="310"/>
      <c r="AL204" s="310"/>
    </row>
    <row r="205" spans="1:38" ht="15.75" customHeight="1">
      <c r="A205" s="310"/>
      <c r="B205" s="310"/>
      <c r="C205" s="310"/>
      <c r="D205" s="310"/>
      <c r="E205" s="310"/>
      <c r="F205" s="311"/>
      <c r="G205" s="311"/>
      <c r="H205" s="1"/>
      <c r="I205" s="353"/>
      <c r="J205" s="353"/>
      <c r="K205" s="353"/>
      <c r="L205" s="353"/>
      <c r="M205" s="353"/>
      <c r="N205" s="353"/>
      <c r="O205" s="310"/>
      <c r="P205" s="310"/>
      <c r="Q205" s="310"/>
      <c r="R205" s="310"/>
      <c r="S205" s="310"/>
      <c r="T205" s="310"/>
      <c r="U205" s="310"/>
      <c r="V205" s="310"/>
      <c r="W205" s="310"/>
      <c r="X205" s="310"/>
      <c r="Y205" s="310"/>
      <c r="Z205" s="310"/>
      <c r="AA205" s="310"/>
      <c r="AB205" s="310"/>
      <c r="AC205" s="310"/>
      <c r="AD205" s="310"/>
      <c r="AE205" s="310"/>
      <c r="AF205" s="391"/>
      <c r="AG205" s="391"/>
      <c r="AH205" s="391"/>
      <c r="AI205" s="391"/>
      <c r="AJ205" s="391"/>
      <c r="AK205" s="310"/>
      <c r="AL205" s="310"/>
    </row>
    <row r="206" spans="1:38" ht="15.75" customHeight="1">
      <c r="A206" s="310"/>
      <c r="B206" s="310"/>
      <c r="C206" s="310"/>
      <c r="D206" s="310"/>
      <c r="E206" s="310"/>
      <c r="F206" s="311"/>
      <c r="G206" s="311"/>
      <c r="H206" s="1"/>
      <c r="I206" s="353"/>
      <c r="J206" s="353"/>
      <c r="K206" s="353"/>
      <c r="L206" s="353"/>
      <c r="M206" s="353"/>
      <c r="N206" s="353"/>
      <c r="O206" s="310"/>
      <c r="P206" s="310"/>
      <c r="Q206" s="310"/>
      <c r="R206" s="310"/>
      <c r="S206" s="310"/>
      <c r="T206" s="310"/>
      <c r="U206" s="310"/>
      <c r="V206" s="310"/>
      <c r="W206" s="310"/>
      <c r="X206" s="310"/>
      <c r="Y206" s="310"/>
      <c r="Z206" s="310"/>
      <c r="AA206" s="310"/>
      <c r="AB206" s="310"/>
      <c r="AC206" s="310"/>
      <c r="AD206" s="310"/>
      <c r="AE206" s="310"/>
      <c r="AF206" s="391"/>
      <c r="AG206" s="391"/>
      <c r="AH206" s="391"/>
      <c r="AI206" s="391"/>
      <c r="AJ206" s="391"/>
      <c r="AK206" s="310"/>
      <c r="AL206" s="310"/>
    </row>
    <row r="207" spans="1:38" ht="15.75" customHeight="1">
      <c r="A207" s="310"/>
      <c r="B207" s="310"/>
      <c r="C207" s="310"/>
      <c r="D207" s="310"/>
      <c r="E207" s="310"/>
      <c r="F207" s="311"/>
      <c r="G207" s="311"/>
      <c r="H207" s="1"/>
      <c r="I207" s="353"/>
      <c r="J207" s="353"/>
      <c r="K207" s="353"/>
      <c r="L207" s="353"/>
      <c r="M207" s="353"/>
      <c r="N207" s="353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310"/>
      <c r="AB207" s="310"/>
      <c r="AC207" s="310"/>
      <c r="AD207" s="310"/>
      <c r="AE207" s="310"/>
      <c r="AF207" s="391"/>
      <c r="AG207" s="391"/>
      <c r="AH207" s="391"/>
      <c r="AI207" s="391"/>
      <c r="AJ207" s="391"/>
      <c r="AK207" s="310"/>
      <c r="AL207" s="310"/>
    </row>
    <row r="208" spans="1:38" ht="15.75" customHeight="1">
      <c r="A208" s="310"/>
      <c r="B208" s="310"/>
      <c r="C208" s="310"/>
      <c r="D208" s="310"/>
      <c r="E208" s="310"/>
      <c r="F208" s="311"/>
      <c r="G208" s="311"/>
      <c r="H208" s="1"/>
      <c r="I208" s="353"/>
      <c r="J208" s="353"/>
      <c r="K208" s="353"/>
      <c r="L208" s="353"/>
      <c r="M208" s="353"/>
      <c r="N208" s="353"/>
      <c r="O208" s="310"/>
      <c r="P208" s="310"/>
      <c r="Q208" s="310"/>
      <c r="R208" s="310"/>
      <c r="S208" s="310"/>
      <c r="T208" s="310"/>
      <c r="U208" s="310"/>
      <c r="V208" s="310"/>
      <c r="W208" s="310"/>
      <c r="X208" s="310"/>
      <c r="Y208" s="310"/>
      <c r="Z208" s="310"/>
      <c r="AA208" s="310"/>
      <c r="AB208" s="310"/>
      <c r="AC208" s="310"/>
      <c r="AD208" s="310"/>
      <c r="AE208" s="310"/>
      <c r="AF208" s="391"/>
      <c r="AG208" s="391"/>
      <c r="AH208" s="391"/>
      <c r="AI208" s="391"/>
      <c r="AJ208" s="391"/>
      <c r="AK208" s="310"/>
      <c r="AL208" s="310"/>
    </row>
    <row r="209" spans="1:38" ht="15.75" customHeight="1">
      <c r="A209" s="310"/>
      <c r="B209" s="310"/>
      <c r="C209" s="310"/>
      <c r="D209" s="310"/>
      <c r="E209" s="310"/>
      <c r="F209" s="311"/>
      <c r="G209" s="311"/>
      <c r="H209" s="1"/>
      <c r="I209" s="353"/>
      <c r="J209" s="353"/>
      <c r="K209" s="353"/>
      <c r="L209" s="353"/>
      <c r="M209" s="353"/>
      <c r="N209" s="353"/>
      <c r="O209" s="310"/>
      <c r="P209" s="310"/>
      <c r="Q209" s="310"/>
      <c r="R209" s="310"/>
      <c r="S209" s="310"/>
      <c r="T209" s="310"/>
      <c r="U209" s="310"/>
      <c r="V209" s="310"/>
      <c r="W209" s="310"/>
      <c r="X209" s="310"/>
      <c r="Y209" s="310"/>
      <c r="Z209" s="310"/>
      <c r="AA209" s="310"/>
      <c r="AB209" s="310"/>
      <c r="AC209" s="310"/>
      <c r="AD209" s="310"/>
      <c r="AE209" s="310"/>
      <c r="AF209" s="391"/>
      <c r="AG209" s="391"/>
      <c r="AH209" s="391"/>
      <c r="AI209" s="391"/>
      <c r="AJ209" s="391"/>
      <c r="AK209" s="310"/>
      <c r="AL209" s="310"/>
    </row>
    <row r="210" spans="1:38" ht="15.75" customHeight="1">
      <c r="A210" s="310"/>
      <c r="B210" s="310"/>
      <c r="C210" s="310"/>
      <c r="D210" s="310"/>
      <c r="E210" s="310"/>
      <c r="F210" s="311"/>
      <c r="G210" s="311"/>
      <c r="H210" s="1"/>
      <c r="I210" s="353"/>
      <c r="J210" s="353"/>
      <c r="K210" s="353"/>
      <c r="L210" s="353"/>
      <c r="M210" s="353"/>
      <c r="N210" s="353"/>
      <c r="O210" s="310"/>
      <c r="P210" s="310"/>
      <c r="Q210" s="310"/>
      <c r="R210" s="310"/>
      <c r="S210" s="310"/>
      <c r="T210" s="310"/>
      <c r="U210" s="310"/>
      <c r="V210" s="310"/>
      <c r="W210" s="310"/>
      <c r="X210" s="310"/>
      <c r="Y210" s="310"/>
      <c r="Z210" s="310"/>
      <c r="AA210" s="310"/>
      <c r="AB210" s="310"/>
      <c r="AC210" s="310"/>
      <c r="AD210" s="310"/>
      <c r="AE210" s="310"/>
      <c r="AF210" s="391"/>
      <c r="AG210" s="391"/>
      <c r="AH210" s="391"/>
      <c r="AI210" s="391"/>
      <c r="AJ210" s="391"/>
      <c r="AK210" s="310"/>
      <c r="AL210" s="310"/>
    </row>
    <row r="211" spans="1:38" ht="15.75" customHeight="1">
      <c r="A211" s="310"/>
      <c r="B211" s="310"/>
      <c r="C211" s="310"/>
      <c r="D211" s="310"/>
      <c r="E211" s="310"/>
      <c r="F211" s="311"/>
      <c r="G211" s="311"/>
      <c r="H211" s="1"/>
      <c r="I211" s="353"/>
      <c r="J211" s="353"/>
      <c r="K211" s="353"/>
      <c r="L211" s="353"/>
      <c r="M211" s="353"/>
      <c r="N211" s="353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310"/>
      <c r="AB211" s="310"/>
      <c r="AC211" s="310"/>
      <c r="AD211" s="310"/>
      <c r="AE211" s="310"/>
      <c r="AF211" s="391"/>
      <c r="AG211" s="391"/>
      <c r="AH211" s="391"/>
      <c r="AI211" s="391"/>
      <c r="AJ211" s="391"/>
      <c r="AK211" s="310"/>
      <c r="AL211" s="310"/>
    </row>
    <row r="212" spans="1:38" ht="15.75" customHeight="1">
      <c r="A212" s="310"/>
      <c r="B212" s="310"/>
      <c r="C212" s="310"/>
      <c r="D212" s="310"/>
      <c r="E212" s="310"/>
      <c r="F212" s="311"/>
      <c r="G212" s="311"/>
      <c r="H212" s="1"/>
      <c r="I212" s="353"/>
      <c r="J212" s="353"/>
      <c r="K212" s="353"/>
      <c r="L212" s="353"/>
      <c r="M212" s="353"/>
      <c r="N212" s="353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310"/>
      <c r="AB212" s="310"/>
      <c r="AC212" s="310"/>
      <c r="AD212" s="310"/>
      <c r="AE212" s="310"/>
      <c r="AF212" s="391"/>
      <c r="AG212" s="391"/>
      <c r="AH212" s="391"/>
      <c r="AI212" s="391"/>
      <c r="AJ212" s="391"/>
      <c r="AK212" s="310"/>
      <c r="AL212" s="310"/>
    </row>
    <row r="213" spans="1:38" ht="15.75" customHeight="1">
      <c r="A213" s="310"/>
      <c r="B213" s="310"/>
      <c r="C213" s="310"/>
      <c r="D213" s="310"/>
      <c r="E213" s="310"/>
      <c r="F213" s="311"/>
      <c r="G213" s="311"/>
      <c r="H213" s="1"/>
      <c r="I213" s="353"/>
      <c r="J213" s="353"/>
      <c r="K213" s="353"/>
      <c r="L213" s="353"/>
      <c r="M213" s="353"/>
      <c r="N213" s="353"/>
      <c r="O213" s="310"/>
      <c r="P213" s="310"/>
      <c r="Q213" s="310"/>
      <c r="R213" s="310"/>
      <c r="S213" s="310"/>
      <c r="T213" s="310"/>
      <c r="U213" s="310"/>
      <c r="V213" s="310"/>
      <c r="W213" s="310"/>
      <c r="X213" s="310"/>
      <c r="Y213" s="310"/>
      <c r="Z213" s="310"/>
      <c r="AA213" s="310"/>
      <c r="AB213" s="310"/>
      <c r="AC213" s="310"/>
      <c r="AD213" s="310"/>
      <c r="AE213" s="310"/>
      <c r="AF213" s="391"/>
      <c r="AG213" s="391"/>
      <c r="AH213" s="391"/>
      <c r="AI213" s="391"/>
      <c r="AJ213" s="391"/>
      <c r="AK213" s="310"/>
      <c r="AL213" s="310"/>
    </row>
    <row r="214" spans="1:38" ht="15.75" customHeight="1">
      <c r="A214" s="310"/>
      <c r="B214" s="310"/>
      <c r="C214" s="310"/>
      <c r="D214" s="310"/>
      <c r="E214" s="310"/>
      <c r="F214" s="311"/>
      <c r="G214" s="311"/>
      <c r="H214" s="1"/>
      <c r="I214" s="353"/>
      <c r="J214" s="353"/>
      <c r="K214" s="353"/>
      <c r="L214" s="353"/>
      <c r="M214" s="353"/>
      <c r="N214" s="353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91"/>
      <c r="AG214" s="391"/>
      <c r="AH214" s="391"/>
      <c r="AI214" s="391"/>
      <c r="AJ214" s="391"/>
      <c r="AK214" s="310"/>
      <c r="AL214" s="310"/>
    </row>
    <row r="215" spans="1:38" ht="15.75" customHeight="1">
      <c r="A215" s="310"/>
      <c r="B215" s="310"/>
      <c r="C215" s="310"/>
      <c r="D215" s="310"/>
      <c r="E215" s="310"/>
      <c r="F215" s="311"/>
      <c r="G215" s="311"/>
      <c r="H215" s="1"/>
      <c r="I215" s="353"/>
      <c r="J215" s="353"/>
      <c r="K215" s="353"/>
      <c r="L215" s="353"/>
      <c r="M215" s="353"/>
      <c r="N215" s="353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91"/>
      <c r="AG215" s="391"/>
      <c r="AH215" s="391"/>
      <c r="AI215" s="391"/>
      <c r="AJ215" s="391"/>
      <c r="AK215" s="310"/>
      <c r="AL215" s="310"/>
    </row>
    <row r="216" spans="1:38" ht="15.75" customHeight="1">
      <c r="A216" s="310"/>
      <c r="B216" s="310"/>
      <c r="C216" s="310"/>
      <c r="D216" s="310"/>
      <c r="E216" s="310"/>
      <c r="F216" s="311"/>
      <c r="G216" s="311"/>
      <c r="H216" s="1"/>
      <c r="I216" s="353"/>
      <c r="J216" s="353"/>
      <c r="K216" s="353"/>
      <c r="L216" s="353"/>
      <c r="M216" s="353"/>
      <c r="N216" s="353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  <c r="AA216" s="310"/>
      <c r="AB216" s="310"/>
      <c r="AC216" s="310"/>
      <c r="AD216" s="310"/>
      <c r="AE216" s="310"/>
      <c r="AF216" s="391"/>
      <c r="AG216" s="391"/>
      <c r="AH216" s="391"/>
      <c r="AI216" s="391"/>
      <c r="AJ216" s="391"/>
      <c r="AK216" s="310"/>
      <c r="AL216" s="310"/>
    </row>
    <row r="217" spans="1:38" ht="15.75" customHeight="1">
      <c r="A217" s="310"/>
      <c r="B217" s="310"/>
      <c r="C217" s="310"/>
      <c r="D217" s="310"/>
      <c r="E217" s="310"/>
      <c r="F217" s="311"/>
      <c r="G217" s="311"/>
      <c r="H217" s="1"/>
      <c r="I217" s="353"/>
      <c r="J217" s="353"/>
      <c r="K217" s="353"/>
      <c r="L217" s="353"/>
      <c r="M217" s="353"/>
      <c r="N217" s="353"/>
      <c r="O217" s="310"/>
      <c r="P217" s="310"/>
      <c r="Q217" s="310"/>
      <c r="R217" s="310"/>
      <c r="S217" s="310"/>
      <c r="T217" s="310"/>
      <c r="U217" s="310"/>
      <c r="V217" s="310"/>
      <c r="W217" s="310"/>
      <c r="X217" s="310"/>
      <c r="Y217" s="310"/>
      <c r="Z217" s="310"/>
      <c r="AA217" s="310"/>
      <c r="AB217" s="310"/>
      <c r="AC217" s="310"/>
      <c r="AD217" s="310"/>
      <c r="AE217" s="310"/>
      <c r="AF217" s="391"/>
      <c r="AG217" s="391"/>
      <c r="AH217" s="391"/>
      <c r="AI217" s="391"/>
      <c r="AJ217" s="391"/>
      <c r="AK217" s="310"/>
      <c r="AL217" s="310"/>
    </row>
    <row r="218" spans="1:38" ht="15.75" customHeight="1">
      <c r="A218" s="310"/>
      <c r="B218" s="310"/>
      <c r="C218" s="310"/>
      <c r="D218" s="310"/>
      <c r="E218" s="310"/>
      <c r="F218" s="311"/>
      <c r="G218" s="311"/>
      <c r="H218" s="1"/>
      <c r="I218" s="353"/>
      <c r="J218" s="353"/>
      <c r="K218" s="353"/>
      <c r="L218" s="353"/>
      <c r="M218" s="353"/>
      <c r="N218" s="353"/>
      <c r="O218" s="310"/>
      <c r="P218" s="310"/>
      <c r="Q218" s="310"/>
      <c r="R218" s="310"/>
      <c r="S218" s="310"/>
      <c r="T218" s="310"/>
      <c r="U218" s="310"/>
      <c r="V218" s="310"/>
      <c r="W218" s="310"/>
      <c r="X218" s="310"/>
      <c r="Y218" s="310"/>
      <c r="Z218" s="310"/>
      <c r="AA218" s="310"/>
      <c r="AB218" s="310"/>
      <c r="AC218" s="310"/>
      <c r="AD218" s="310"/>
      <c r="AE218" s="310"/>
      <c r="AF218" s="391"/>
      <c r="AG218" s="391"/>
      <c r="AH218" s="391"/>
      <c r="AI218" s="391"/>
      <c r="AJ218" s="391"/>
      <c r="AK218" s="310"/>
      <c r="AL218" s="310"/>
    </row>
    <row r="219" spans="1:38" ht="15.75" customHeight="1">
      <c r="A219" s="310"/>
      <c r="B219" s="310"/>
      <c r="C219" s="310"/>
      <c r="D219" s="310"/>
      <c r="E219" s="310"/>
      <c r="F219" s="311"/>
      <c r="G219" s="311"/>
      <c r="H219" s="1"/>
      <c r="I219" s="353"/>
      <c r="J219" s="353"/>
      <c r="K219" s="353"/>
      <c r="L219" s="353"/>
      <c r="M219" s="353"/>
      <c r="N219" s="353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310"/>
      <c r="AB219" s="310"/>
      <c r="AC219" s="310"/>
      <c r="AD219" s="310"/>
      <c r="AE219" s="310"/>
      <c r="AF219" s="391"/>
      <c r="AG219" s="391"/>
      <c r="AH219" s="391"/>
      <c r="AI219" s="391"/>
      <c r="AJ219" s="391"/>
      <c r="AK219" s="310"/>
      <c r="AL219" s="310"/>
    </row>
    <row r="220" spans="1:38" ht="15.75" customHeight="1">
      <c r="A220" s="310"/>
      <c r="B220" s="310"/>
      <c r="C220" s="310"/>
      <c r="D220" s="310"/>
      <c r="E220" s="310"/>
      <c r="F220" s="311"/>
      <c r="G220" s="311"/>
      <c r="H220" s="1"/>
      <c r="I220" s="353"/>
      <c r="J220" s="353"/>
      <c r="K220" s="353"/>
      <c r="L220" s="353"/>
      <c r="M220" s="353"/>
      <c r="N220" s="353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  <c r="AA220" s="310"/>
      <c r="AB220" s="310"/>
      <c r="AC220" s="310"/>
      <c r="AD220" s="310"/>
      <c r="AE220" s="310"/>
      <c r="AF220" s="391"/>
      <c r="AG220" s="391"/>
      <c r="AH220" s="391"/>
      <c r="AI220" s="391"/>
      <c r="AJ220" s="391"/>
      <c r="AK220" s="310"/>
      <c r="AL220" s="310"/>
    </row>
    <row r="221" spans="1:38" ht="15.75" customHeight="1">
      <c r="A221" s="310"/>
      <c r="B221" s="310"/>
      <c r="C221" s="310"/>
      <c r="D221" s="310"/>
      <c r="E221" s="310"/>
      <c r="F221" s="311"/>
      <c r="G221" s="311"/>
      <c r="H221" s="1"/>
      <c r="I221" s="353"/>
      <c r="J221" s="353"/>
      <c r="K221" s="353"/>
      <c r="L221" s="353"/>
      <c r="M221" s="353"/>
      <c r="N221" s="353"/>
      <c r="O221" s="310"/>
      <c r="P221" s="310"/>
      <c r="Q221" s="310"/>
      <c r="R221" s="310"/>
      <c r="S221" s="310"/>
      <c r="T221" s="310"/>
      <c r="U221" s="310"/>
      <c r="V221" s="310"/>
      <c r="W221" s="310"/>
      <c r="X221" s="310"/>
      <c r="Y221" s="310"/>
      <c r="Z221" s="310"/>
      <c r="AA221" s="310"/>
      <c r="AB221" s="310"/>
      <c r="AC221" s="310"/>
      <c r="AD221" s="310"/>
      <c r="AE221" s="310"/>
      <c r="AF221" s="391"/>
      <c r="AG221" s="391"/>
      <c r="AH221" s="391"/>
      <c r="AI221" s="391"/>
      <c r="AJ221" s="391"/>
      <c r="AK221" s="310"/>
      <c r="AL221" s="310"/>
    </row>
    <row r="222" spans="1:38" ht="15.75" customHeight="1">
      <c r="A222" s="310"/>
      <c r="B222" s="310"/>
      <c r="C222" s="310"/>
      <c r="D222" s="310"/>
      <c r="E222" s="310"/>
      <c r="F222" s="311"/>
      <c r="G222" s="311"/>
      <c r="H222" s="1"/>
      <c r="I222" s="353"/>
      <c r="J222" s="353"/>
      <c r="K222" s="353"/>
      <c r="L222" s="353"/>
      <c r="M222" s="353"/>
      <c r="N222" s="353"/>
      <c r="O222" s="310"/>
      <c r="P222" s="310"/>
      <c r="Q222" s="310"/>
      <c r="R222" s="310"/>
      <c r="S222" s="310"/>
      <c r="T222" s="310"/>
      <c r="U222" s="310"/>
      <c r="V222" s="310"/>
      <c r="W222" s="310"/>
      <c r="X222" s="310"/>
      <c r="Y222" s="310"/>
      <c r="Z222" s="310"/>
      <c r="AA222" s="310"/>
      <c r="AB222" s="310"/>
      <c r="AC222" s="310"/>
      <c r="AD222" s="310"/>
      <c r="AE222" s="310"/>
      <c r="AF222" s="391"/>
      <c r="AG222" s="391"/>
      <c r="AH222" s="391"/>
      <c r="AI222" s="391"/>
      <c r="AJ222" s="391"/>
      <c r="AK222" s="310"/>
      <c r="AL222" s="310"/>
    </row>
    <row r="223" spans="1:38" ht="15.75" customHeight="1">
      <c r="A223" s="310"/>
      <c r="B223" s="310"/>
      <c r="C223" s="310"/>
      <c r="D223" s="310"/>
      <c r="E223" s="310"/>
      <c r="F223" s="311"/>
      <c r="G223" s="311"/>
      <c r="H223" s="1"/>
      <c r="I223" s="353"/>
      <c r="J223" s="353"/>
      <c r="K223" s="353"/>
      <c r="L223" s="353"/>
      <c r="M223" s="353"/>
      <c r="N223" s="353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310"/>
      <c r="AB223" s="310"/>
      <c r="AC223" s="310"/>
      <c r="AD223" s="310"/>
      <c r="AE223" s="310"/>
      <c r="AF223" s="391"/>
      <c r="AG223" s="391"/>
      <c r="AH223" s="391"/>
      <c r="AI223" s="391"/>
      <c r="AJ223" s="391"/>
      <c r="AK223" s="310"/>
      <c r="AL223" s="310"/>
    </row>
    <row r="224" spans="1:38" ht="15.75" customHeight="1">
      <c r="A224" s="310"/>
      <c r="B224" s="310"/>
      <c r="C224" s="310"/>
      <c r="D224" s="310"/>
      <c r="E224" s="310"/>
      <c r="F224" s="311"/>
      <c r="G224" s="311"/>
      <c r="H224" s="1"/>
      <c r="I224" s="353"/>
      <c r="J224" s="353"/>
      <c r="K224" s="353"/>
      <c r="L224" s="353"/>
      <c r="M224" s="353"/>
      <c r="N224" s="353"/>
      <c r="O224" s="310"/>
      <c r="P224" s="310"/>
      <c r="Q224" s="310"/>
      <c r="R224" s="310"/>
      <c r="S224" s="310"/>
      <c r="T224" s="310"/>
      <c r="U224" s="310"/>
      <c r="V224" s="310"/>
      <c r="W224" s="310"/>
      <c r="X224" s="310"/>
      <c r="Y224" s="310"/>
      <c r="Z224" s="310"/>
      <c r="AA224" s="310"/>
      <c r="AB224" s="310"/>
      <c r="AC224" s="310"/>
      <c r="AD224" s="310"/>
      <c r="AE224" s="310"/>
      <c r="AF224" s="391"/>
      <c r="AG224" s="391"/>
      <c r="AH224" s="391"/>
      <c r="AI224" s="391"/>
      <c r="AJ224" s="391"/>
      <c r="AK224" s="310"/>
      <c r="AL224" s="310"/>
    </row>
    <row r="225" spans="1:38" ht="15.75" customHeight="1">
      <c r="A225" s="310"/>
      <c r="B225" s="310"/>
      <c r="C225" s="310"/>
      <c r="D225" s="310"/>
      <c r="E225" s="310"/>
      <c r="F225" s="311"/>
      <c r="G225" s="311"/>
      <c r="H225" s="1"/>
      <c r="I225" s="353"/>
      <c r="J225" s="353"/>
      <c r="K225" s="353"/>
      <c r="L225" s="353"/>
      <c r="M225" s="353"/>
      <c r="N225" s="353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310"/>
      <c r="AB225" s="310"/>
      <c r="AC225" s="310"/>
      <c r="AD225" s="310"/>
      <c r="AE225" s="310"/>
      <c r="AF225" s="391"/>
      <c r="AG225" s="391"/>
      <c r="AH225" s="391"/>
      <c r="AI225" s="391"/>
      <c r="AJ225" s="391"/>
      <c r="AK225" s="310"/>
      <c r="AL225" s="310"/>
    </row>
    <row r="226" spans="1:38" ht="15.75" customHeight="1">
      <c r="A226" s="310"/>
      <c r="B226" s="310"/>
      <c r="C226" s="310"/>
      <c r="D226" s="310"/>
      <c r="E226" s="310"/>
      <c r="F226" s="311"/>
      <c r="G226" s="311"/>
      <c r="H226" s="1"/>
      <c r="I226" s="353"/>
      <c r="J226" s="353"/>
      <c r="K226" s="353"/>
      <c r="L226" s="353"/>
      <c r="M226" s="353"/>
      <c r="N226" s="353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  <c r="AA226" s="310"/>
      <c r="AB226" s="310"/>
      <c r="AC226" s="310"/>
      <c r="AD226" s="310"/>
      <c r="AE226" s="310"/>
      <c r="AF226" s="391"/>
      <c r="AG226" s="391"/>
      <c r="AH226" s="391"/>
      <c r="AI226" s="391"/>
      <c r="AJ226" s="391"/>
      <c r="AK226" s="310"/>
      <c r="AL226" s="310"/>
    </row>
    <row r="227" spans="1:38" ht="15.75" customHeight="1">
      <c r="A227" s="310"/>
      <c r="B227" s="310"/>
      <c r="C227" s="310"/>
      <c r="D227" s="310"/>
      <c r="E227" s="310"/>
      <c r="F227" s="311"/>
      <c r="G227" s="311"/>
      <c r="H227" s="1"/>
      <c r="I227" s="353"/>
      <c r="J227" s="353"/>
      <c r="K227" s="353"/>
      <c r="L227" s="353"/>
      <c r="M227" s="353"/>
      <c r="N227" s="353"/>
      <c r="O227" s="310"/>
      <c r="P227" s="310"/>
      <c r="Q227" s="310"/>
      <c r="R227" s="310"/>
      <c r="S227" s="310"/>
      <c r="T227" s="310"/>
      <c r="U227" s="310"/>
      <c r="V227" s="310"/>
      <c r="W227" s="310"/>
      <c r="X227" s="310"/>
      <c r="Y227" s="310"/>
      <c r="Z227" s="310"/>
      <c r="AA227" s="310"/>
      <c r="AB227" s="310"/>
      <c r="AC227" s="310"/>
      <c r="AD227" s="310"/>
      <c r="AE227" s="310"/>
      <c r="AF227" s="391"/>
      <c r="AG227" s="391"/>
      <c r="AH227" s="391"/>
      <c r="AI227" s="391"/>
      <c r="AJ227" s="391"/>
      <c r="AK227" s="310"/>
      <c r="AL227" s="310"/>
    </row>
    <row r="228" spans="1:38" ht="15.75" customHeight="1">
      <c r="A228" s="310"/>
      <c r="B228" s="310"/>
      <c r="C228" s="310"/>
      <c r="D228" s="310"/>
      <c r="E228" s="310"/>
      <c r="F228" s="311"/>
      <c r="G228" s="311"/>
      <c r="H228" s="1"/>
      <c r="I228" s="353"/>
      <c r="J228" s="353"/>
      <c r="K228" s="353"/>
      <c r="L228" s="353"/>
      <c r="M228" s="353"/>
      <c r="N228" s="353"/>
      <c r="O228" s="310"/>
      <c r="P228" s="310"/>
      <c r="Q228" s="310"/>
      <c r="R228" s="310"/>
      <c r="S228" s="310"/>
      <c r="T228" s="310"/>
      <c r="U228" s="310"/>
      <c r="V228" s="310"/>
      <c r="W228" s="310"/>
      <c r="X228" s="310"/>
      <c r="Y228" s="310"/>
      <c r="Z228" s="310"/>
      <c r="AA228" s="310"/>
      <c r="AB228" s="310"/>
      <c r="AC228" s="310"/>
      <c r="AD228" s="310"/>
      <c r="AE228" s="310"/>
      <c r="AF228" s="391"/>
      <c r="AG228" s="391"/>
      <c r="AH228" s="391"/>
      <c r="AI228" s="391"/>
      <c r="AJ228" s="391"/>
      <c r="AK228" s="310"/>
      <c r="AL228" s="310"/>
    </row>
    <row r="229" spans="1:38" ht="15.75" customHeight="1">
      <c r="A229" s="310"/>
      <c r="B229" s="310"/>
      <c r="C229" s="310"/>
      <c r="D229" s="310"/>
      <c r="E229" s="310"/>
      <c r="F229" s="311"/>
      <c r="G229" s="311"/>
      <c r="H229" s="1"/>
      <c r="I229" s="353"/>
      <c r="J229" s="353"/>
      <c r="K229" s="353"/>
      <c r="L229" s="353"/>
      <c r="M229" s="353"/>
      <c r="N229" s="353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310"/>
      <c r="AB229" s="310"/>
      <c r="AC229" s="310"/>
      <c r="AD229" s="310"/>
      <c r="AE229" s="310"/>
      <c r="AF229" s="391"/>
      <c r="AG229" s="391"/>
      <c r="AH229" s="391"/>
      <c r="AI229" s="391"/>
      <c r="AJ229" s="391"/>
      <c r="AK229" s="310"/>
      <c r="AL229" s="310"/>
    </row>
    <row r="230" spans="1:38" ht="15.75" customHeight="1">
      <c r="A230" s="310"/>
      <c r="B230" s="310"/>
      <c r="C230" s="310"/>
      <c r="D230" s="310"/>
      <c r="E230" s="310"/>
      <c r="F230" s="311"/>
      <c r="G230" s="311"/>
      <c r="H230" s="1"/>
      <c r="I230" s="353"/>
      <c r="J230" s="353"/>
      <c r="K230" s="353"/>
      <c r="L230" s="353"/>
      <c r="M230" s="353"/>
      <c r="N230" s="353"/>
      <c r="O230" s="310"/>
      <c r="P230" s="310"/>
      <c r="Q230" s="310"/>
      <c r="R230" s="310"/>
      <c r="S230" s="310"/>
      <c r="T230" s="310"/>
      <c r="U230" s="310"/>
      <c r="V230" s="310"/>
      <c r="W230" s="310"/>
      <c r="X230" s="310"/>
      <c r="Y230" s="310"/>
      <c r="Z230" s="310"/>
      <c r="AA230" s="310"/>
      <c r="AB230" s="310"/>
      <c r="AC230" s="310"/>
      <c r="AD230" s="310"/>
      <c r="AE230" s="310"/>
      <c r="AF230" s="391"/>
      <c r="AG230" s="391"/>
      <c r="AH230" s="391"/>
      <c r="AI230" s="391"/>
      <c r="AJ230" s="391"/>
      <c r="AK230" s="310"/>
      <c r="AL230" s="310"/>
    </row>
    <row r="231" spans="1:38" ht="15.75" customHeight="1">
      <c r="A231" s="310"/>
      <c r="B231" s="310"/>
      <c r="C231" s="310"/>
      <c r="D231" s="310"/>
      <c r="E231" s="310"/>
      <c r="F231" s="311"/>
      <c r="G231" s="311"/>
      <c r="H231" s="1"/>
      <c r="I231" s="353"/>
      <c r="J231" s="353"/>
      <c r="K231" s="353"/>
      <c r="L231" s="353"/>
      <c r="M231" s="353"/>
      <c r="N231" s="353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310"/>
      <c r="AB231" s="310"/>
      <c r="AC231" s="310"/>
      <c r="AD231" s="310"/>
      <c r="AE231" s="310"/>
      <c r="AF231" s="391"/>
      <c r="AG231" s="391"/>
      <c r="AH231" s="391"/>
      <c r="AI231" s="391"/>
      <c r="AJ231" s="391"/>
      <c r="AK231" s="310"/>
      <c r="AL231" s="310"/>
    </row>
    <row r="232" spans="1:38" ht="15.75" customHeight="1">
      <c r="A232" s="310"/>
      <c r="B232" s="310"/>
      <c r="C232" s="310"/>
      <c r="D232" s="310"/>
      <c r="E232" s="310"/>
      <c r="F232" s="311"/>
      <c r="G232" s="311"/>
      <c r="H232" s="1"/>
      <c r="I232" s="353"/>
      <c r="J232" s="353"/>
      <c r="K232" s="353"/>
      <c r="L232" s="353"/>
      <c r="M232" s="353"/>
      <c r="N232" s="353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  <c r="AA232" s="310"/>
      <c r="AB232" s="310"/>
      <c r="AC232" s="310"/>
      <c r="AD232" s="310"/>
      <c r="AE232" s="310"/>
      <c r="AF232" s="391"/>
      <c r="AG232" s="391"/>
      <c r="AH232" s="391"/>
      <c r="AI232" s="391"/>
      <c r="AJ232" s="391"/>
      <c r="AK232" s="310"/>
      <c r="AL232" s="310"/>
    </row>
    <row r="233" spans="1:38" ht="15.75" customHeight="1">
      <c r="A233" s="310"/>
      <c r="B233" s="310"/>
      <c r="C233" s="310"/>
      <c r="D233" s="310"/>
      <c r="E233" s="310"/>
      <c r="F233" s="311"/>
      <c r="G233" s="311"/>
      <c r="H233" s="1"/>
      <c r="I233" s="353"/>
      <c r="J233" s="353"/>
      <c r="K233" s="353"/>
      <c r="L233" s="353"/>
      <c r="M233" s="353"/>
      <c r="N233" s="353"/>
      <c r="O233" s="310"/>
      <c r="P233" s="310"/>
      <c r="Q233" s="310"/>
      <c r="R233" s="310"/>
      <c r="S233" s="310"/>
      <c r="T233" s="310"/>
      <c r="U233" s="310"/>
      <c r="V233" s="310"/>
      <c r="W233" s="310"/>
      <c r="X233" s="310"/>
      <c r="Y233" s="310"/>
      <c r="Z233" s="310"/>
      <c r="AA233" s="310"/>
      <c r="AB233" s="310"/>
      <c r="AC233" s="310"/>
      <c r="AD233" s="310"/>
      <c r="AE233" s="310"/>
      <c r="AF233" s="391"/>
      <c r="AG233" s="391"/>
      <c r="AH233" s="391"/>
      <c r="AI233" s="391"/>
      <c r="AJ233" s="391"/>
      <c r="AK233" s="310"/>
      <c r="AL233" s="310"/>
    </row>
    <row r="234" spans="1:38" ht="15.75" customHeight="1">
      <c r="A234" s="310"/>
      <c r="B234" s="310"/>
      <c r="C234" s="310"/>
      <c r="D234" s="310"/>
      <c r="E234" s="310"/>
      <c r="F234" s="311"/>
      <c r="G234" s="311"/>
      <c r="H234" s="1"/>
      <c r="I234" s="353"/>
      <c r="J234" s="353"/>
      <c r="K234" s="353"/>
      <c r="L234" s="353"/>
      <c r="M234" s="353"/>
      <c r="N234" s="353"/>
      <c r="O234" s="310"/>
      <c r="P234" s="310"/>
      <c r="Q234" s="310"/>
      <c r="R234" s="310"/>
      <c r="S234" s="310"/>
      <c r="T234" s="310"/>
      <c r="U234" s="310"/>
      <c r="V234" s="310"/>
      <c r="W234" s="310"/>
      <c r="X234" s="310"/>
      <c r="Y234" s="310"/>
      <c r="Z234" s="310"/>
      <c r="AA234" s="310"/>
      <c r="AB234" s="310"/>
      <c r="AC234" s="310"/>
      <c r="AD234" s="310"/>
      <c r="AE234" s="310"/>
      <c r="AF234" s="391"/>
      <c r="AG234" s="391"/>
      <c r="AH234" s="391"/>
      <c r="AI234" s="391"/>
      <c r="AJ234" s="391"/>
      <c r="AK234" s="310"/>
      <c r="AL234" s="310"/>
    </row>
    <row r="235" spans="1:38" ht="15.75" customHeight="1">
      <c r="A235" s="310"/>
      <c r="B235" s="310"/>
      <c r="C235" s="310"/>
      <c r="D235" s="310"/>
      <c r="E235" s="310"/>
      <c r="F235" s="311"/>
      <c r="G235" s="311"/>
      <c r="H235" s="1"/>
      <c r="I235" s="353"/>
      <c r="J235" s="353"/>
      <c r="K235" s="353"/>
      <c r="L235" s="353"/>
      <c r="M235" s="353"/>
      <c r="N235" s="353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310"/>
      <c r="AB235" s="310"/>
      <c r="AC235" s="310"/>
      <c r="AD235" s="310"/>
      <c r="AE235" s="310"/>
      <c r="AF235" s="391"/>
      <c r="AG235" s="391"/>
      <c r="AH235" s="391"/>
      <c r="AI235" s="391"/>
      <c r="AJ235" s="391"/>
      <c r="AK235" s="310"/>
      <c r="AL235" s="310"/>
    </row>
    <row r="236" spans="1:38" ht="15.75" customHeight="1">
      <c r="A236" s="310"/>
      <c r="B236" s="310"/>
      <c r="C236" s="310"/>
      <c r="D236" s="310"/>
      <c r="E236" s="310"/>
      <c r="F236" s="311"/>
      <c r="G236" s="311"/>
      <c r="H236" s="1"/>
      <c r="I236" s="353"/>
      <c r="J236" s="353"/>
      <c r="K236" s="353"/>
      <c r="L236" s="353"/>
      <c r="M236" s="353"/>
      <c r="N236" s="353"/>
      <c r="O236" s="310"/>
      <c r="P236" s="310"/>
      <c r="Q236" s="310"/>
      <c r="R236" s="310"/>
      <c r="S236" s="310"/>
      <c r="T236" s="310"/>
      <c r="U236" s="310"/>
      <c r="V236" s="310"/>
      <c r="W236" s="310"/>
      <c r="X236" s="310"/>
      <c r="Y236" s="310"/>
      <c r="Z236" s="310"/>
      <c r="AA236" s="310"/>
      <c r="AB236" s="310"/>
      <c r="AC236" s="310"/>
      <c r="AD236" s="310"/>
      <c r="AE236" s="310"/>
      <c r="AF236" s="391"/>
      <c r="AG236" s="391"/>
      <c r="AH236" s="391"/>
      <c r="AI236" s="391"/>
      <c r="AJ236" s="391"/>
      <c r="AK236" s="310"/>
      <c r="AL236" s="310"/>
    </row>
    <row r="237" spans="1:38" ht="15.75" customHeight="1">
      <c r="A237" s="310"/>
      <c r="B237" s="310"/>
      <c r="C237" s="310"/>
      <c r="D237" s="310"/>
      <c r="E237" s="310"/>
      <c r="F237" s="311"/>
      <c r="G237" s="311"/>
      <c r="H237" s="1"/>
      <c r="I237" s="353"/>
      <c r="J237" s="353"/>
      <c r="K237" s="353"/>
      <c r="L237" s="353"/>
      <c r="M237" s="353"/>
      <c r="N237" s="353"/>
      <c r="O237" s="310"/>
      <c r="P237" s="310"/>
      <c r="Q237" s="310"/>
      <c r="R237" s="310"/>
      <c r="S237" s="310"/>
      <c r="T237" s="310"/>
      <c r="U237" s="310"/>
      <c r="V237" s="310"/>
      <c r="W237" s="310"/>
      <c r="X237" s="310"/>
      <c r="Y237" s="310"/>
      <c r="Z237" s="310"/>
      <c r="AA237" s="310"/>
      <c r="AB237" s="310"/>
      <c r="AC237" s="310"/>
      <c r="AD237" s="310"/>
      <c r="AE237" s="310"/>
      <c r="AF237" s="391"/>
      <c r="AG237" s="391"/>
      <c r="AH237" s="391"/>
      <c r="AI237" s="391"/>
      <c r="AJ237" s="391"/>
      <c r="AK237" s="310"/>
      <c r="AL237" s="310"/>
    </row>
    <row r="238" spans="1:38" ht="15.75" customHeight="1">
      <c r="A238" s="310"/>
      <c r="B238" s="310"/>
      <c r="C238" s="310"/>
      <c r="D238" s="310"/>
      <c r="E238" s="310"/>
      <c r="F238" s="311"/>
      <c r="G238" s="311"/>
      <c r="H238" s="1"/>
      <c r="I238" s="353"/>
      <c r="J238" s="353"/>
      <c r="K238" s="353"/>
      <c r="L238" s="353"/>
      <c r="M238" s="353"/>
      <c r="N238" s="353"/>
      <c r="O238" s="310"/>
      <c r="P238" s="310"/>
      <c r="Q238" s="310"/>
      <c r="R238" s="310"/>
      <c r="S238" s="310"/>
      <c r="T238" s="310"/>
      <c r="U238" s="310"/>
      <c r="V238" s="310"/>
      <c r="W238" s="310"/>
      <c r="X238" s="310"/>
      <c r="Y238" s="310"/>
      <c r="Z238" s="310"/>
      <c r="AA238" s="310"/>
      <c r="AB238" s="310"/>
      <c r="AC238" s="310"/>
      <c r="AD238" s="310"/>
      <c r="AE238" s="310"/>
      <c r="AF238" s="391"/>
      <c r="AG238" s="391"/>
      <c r="AH238" s="391"/>
      <c r="AI238" s="391"/>
      <c r="AJ238" s="391"/>
      <c r="AK238" s="310"/>
      <c r="AL238" s="310"/>
    </row>
    <row r="239" spans="1:38" ht="15.75" customHeight="1">
      <c r="A239" s="310"/>
      <c r="B239" s="310"/>
      <c r="C239" s="310"/>
      <c r="D239" s="310"/>
      <c r="E239" s="310"/>
      <c r="F239" s="311"/>
      <c r="G239" s="311"/>
      <c r="H239" s="1"/>
      <c r="I239" s="353"/>
      <c r="J239" s="353"/>
      <c r="K239" s="353"/>
      <c r="L239" s="353"/>
      <c r="M239" s="353"/>
      <c r="N239" s="353"/>
      <c r="O239" s="310"/>
      <c r="P239" s="310"/>
      <c r="Q239" s="310"/>
      <c r="R239" s="310"/>
      <c r="S239" s="310"/>
      <c r="T239" s="310"/>
      <c r="U239" s="310"/>
      <c r="V239" s="310"/>
      <c r="W239" s="310"/>
      <c r="X239" s="310"/>
      <c r="Y239" s="310"/>
      <c r="Z239" s="310"/>
      <c r="AA239" s="310"/>
      <c r="AB239" s="310"/>
      <c r="AC239" s="310"/>
      <c r="AD239" s="310"/>
      <c r="AE239" s="310"/>
      <c r="AF239" s="391"/>
      <c r="AG239" s="391"/>
      <c r="AH239" s="391"/>
      <c r="AI239" s="391"/>
      <c r="AJ239" s="391"/>
      <c r="AK239" s="310"/>
      <c r="AL239" s="310"/>
    </row>
    <row r="240" spans="1:38" ht="15.75" customHeight="1">
      <c r="A240" s="310"/>
      <c r="B240" s="310"/>
      <c r="C240" s="310"/>
      <c r="D240" s="310"/>
      <c r="E240" s="310"/>
      <c r="F240" s="311"/>
      <c r="G240" s="311"/>
      <c r="H240" s="1"/>
      <c r="I240" s="353"/>
      <c r="J240" s="353"/>
      <c r="K240" s="353"/>
      <c r="L240" s="353"/>
      <c r="M240" s="353"/>
      <c r="N240" s="353"/>
      <c r="O240" s="310"/>
      <c r="P240" s="310"/>
      <c r="Q240" s="310"/>
      <c r="R240" s="310"/>
      <c r="S240" s="310"/>
      <c r="T240" s="310"/>
      <c r="U240" s="310"/>
      <c r="V240" s="310"/>
      <c r="W240" s="310"/>
      <c r="X240" s="310"/>
      <c r="Y240" s="310"/>
      <c r="Z240" s="310"/>
      <c r="AA240" s="310"/>
      <c r="AB240" s="310"/>
      <c r="AC240" s="310"/>
      <c r="AD240" s="310"/>
      <c r="AE240" s="310"/>
      <c r="AF240" s="391"/>
      <c r="AG240" s="391"/>
      <c r="AH240" s="391"/>
      <c r="AI240" s="391"/>
      <c r="AJ240" s="391"/>
      <c r="AK240" s="310"/>
      <c r="AL240" s="310"/>
    </row>
    <row r="241" spans="1:38" ht="15.75" customHeight="1">
      <c r="A241" s="310"/>
      <c r="B241" s="310"/>
      <c r="C241" s="310"/>
      <c r="D241" s="310"/>
      <c r="E241" s="310"/>
      <c r="F241" s="311"/>
      <c r="G241" s="311"/>
      <c r="H241" s="1"/>
      <c r="I241" s="353"/>
      <c r="J241" s="353"/>
      <c r="K241" s="353"/>
      <c r="L241" s="353"/>
      <c r="M241" s="353"/>
      <c r="N241" s="353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310"/>
      <c r="AB241" s="310"/>
      <c r="AC241" s="310"/>
      <c r="AD241" s="310"/>
      <c r="AE241" s="310"/>
      <c r="AF241" s="391"/>
      <c r="AG241" s="391"/>
      <c r="AH241" s="391"/>
      <c r="AI241" s="391"/>
      <c r="AJ241" s="391"/>
      <c r="AK241" s="310"/>
      <c r="AL241" s="310"/>
    </row>
    <row r="242" spans="1:38" ht="15.75" customHeight="1">
      <c r="A242" s="310"/>
      <c r="B242" s="310"/>
      <c r="C242" s="310"/>
      <c r="D242" s="310"/>
      <c r="E242" s="310"/>
      <c r="F242" s="311"/>
      <c r="G242" s="311"/>
      <c r="H242" s="1"/>
      <c r="I242" s="353"/>
      <c r="J242" s="353"/>
      <c r="K242" s="353"/>
      <c r="L242" s="353"/>
      <c r="M242" s="353"/>
      <c r="N242" s="353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310"/>
      <c r="AB242" s="310"/>
      <c r="AC242" s="310"/>
      <c r="AD242" s="310"/>
      <c r="AE242" s="310"/>
      <c r="AF242" s="391"/>
      <c r="AG242" s="391"/>
      <c r="AH242" s="391"/>
      <c r="AI242" s="391"/>
      <c r="AJ242" s="391"/>
      <c r="AK242" s="310"/>
      <c r="AL242" s="310"/>
    </row>
    <row r="243" spans="1:38" ht="15.75" customHeight="1">
      <c r="A243" s="310"/>
      <c r="B243" s="310"/>
      <c r="C243" s="310"/>
      <c r="D243" s="310"/>
      <c r="E243" s="310"/>
      <c r="F243" s="311"/>
      <c r="G243" s="311"/>
      <c r="H243" s="1"/>
      <c r="I243" s="353"/>
      <c r="J243" s="353"/>
      <c r="K243" s="353"/>
      <c r="L243" s="353"/>
      <c r="M243" s="353"/>
      <c r="N243" s="353"/>
      <c r="O243" s="310"/>
      <c r="P243" s="310"/>
      <c r="Q243" s="310"/>
      <c r="R243" s="310"/>
      <c r="S243" s="310"/>
      <c r="T243" s="310"/>
      <c r="U243" s="310"/>
      <c r="V243" s="310"/>
      <c r="W243" s="310"/>
      <c r="X243" s="310"/>
      <c r="Y243" s="310"/>
      <c r="Z243" s="310"/>
      <c r="AA243" s="310"/>
      <c r="AB243" s="310"/>
      <c r="AC243" s="310"/>
      <c r="AD243" s="310"/>
      <c r="AE243" s="310"/>
      <c r="AF243" s="391"/>
      <c r="AG243" s="391"/>
      <c r="AH243" s="391"/>
      <c r="AI243" s="391"/>
      <c r="AJ243" s="391"/>
      <c r="AK243" s="310"/>
      <c r="AL243" s="310"/>
    </row>
    <row r="244" spans="1:38" ht="15.75" customHeight="1">
      <c r="A244" s="310"/>
      <c r="B244" s="310"/>
      <c r="C244" s="310"/>
      <c r="D244" s="310"/>
      <c r="E244" s="310"/>
      <c r="F244" s="311"/>
      <c r="G244" s="311"/>
      <c r="H244" s="1"/>
      <c r="I244" s="353"/>
      <c r="J244" s="353"/>
      <c r="K244" s="353"/>
      <c r="L244" s="353"/>
      <c r="M244" s="353"/>
      <c r="N244" s="353"/>
      <c r="O244" s="310"/>
      <c r="P244" s="310"/>
      <c r="Q244" s="310"/>
      <c r="R244" s="310"/>
      <c r="S244" s="310"/>
      <c r="T244" s="310"/>
      <c r="U244" s="310"/>
      <c r="V244" s="310"/>
      <c r="W244" s="310"/>
      <c r="X244" s="310"/>
      <c r="Y244" s="310"/>
      <c r="Z244" s="310"/>
      <c r="AA244" s="310"/>
      <c r="AB244" s="310"/>
      <c r="AC244" s="310"/>
      <c r="AD244" s="310"/>
      <c r="AE244" s="310"/>
      <c r="AF244" s="391"/>
      <c r="AG244" s="391"/>
      <c r="AH244" s="391"/>
      <c r="AI244" s="391"/>
      <c r="AJ244" s="391"/>
      <c r="AK244" s="310"/>
      <c r="AL244" s="310"/>
    </row>
    <row r="245" spans="1:38" ht="15.75" customHeight="1">
      <c r="A245" s="310"/>
      <c r="B245" s="310"/>
      <c r="C245" s="310"/>
      <c r="D245" s="310"/>
      <c r="E245" s="310"/>
      <c r="F245" s="311"/>
      <c r="G245" s="311"/>
      <c r="H245" s="1"/>
      <c r="I245" s="353"/>
      <c r="J245" s="353"/>
      <c r="K245" s="353"/>
      <c r="L245" s="353"/>
      <c r="M245" s="353"/>
      <c r="N245" s="353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310"/>
      <c r="AB245" s="310"/>
      <c r="AC245" s="310"/>
      <c r="AD245" s="310"/>
      <c r="AE245" s="310"/>
      <c r="AF245" s="391"/>
      <c r="AG245" s="391"/>
      <c r="AH245" s="391"/>
      <c r="AI245" s="391"/>
      <c r="AJ245" s="391"/>
      <c r="AK245" s="310"/>
      <c r="AL245" s="310"/>
    </row>
    <row r="246" spans="1:38" ht="15.75" customHeight="1">
      <c r="A246" s="310"/>
      <c r="B246" s="310"/>
      <c r="C246" s="310"/>
      <c r="D246" s="310"/>
      <c r="E246" s="310"/>
      <c r="F246" s="311"/>
      <c r="G246" s="311"/>
      <c r="H246" s="1"/>
      <c r="I246" s="353"/>
      <c r="J246" s="353"/>
      <c r="K246" s="353"/>
      <c r="L246" s="353"/>
      <c r="M246" s="353"/>
      <c r="N246" s="353"/>
      <c r="O246" s="310"/>
      <c r="P246" s="310"/>
      <c r="Q246" s="310"/>
      <c r="R246" s="310"/>
      <c r="S246" s="310"/>
      <c r="T246" s="310"/>
      <c r="U246" s="310"/>
      <c r="V246" s="310"/>
      <c r="W246" s="310"/>
      <c r="X246" s="310"/>
      <c r="Y246" s="310"/>
      <c r="Z246" s="310"/>
      <c r="AA246" s="310"/>
      <c r="AB246" s="310"/>
      <c r="AC246" s="310"/>
      <c r="AD246" s="310"/>
      <c r="AE246" s="310"/>
      <c r="AF246" s="391"/>
      <c r="AG246" s="391"/>
      <c r="AH246" s="391"/>
      <c r="AI246" s="391"/>
      <c r="AJ246" s="391"/>
      <c r="AK246" s="310"/>
      <c r="AL246" s="310"/>
    </row>
    <row r="247" spans="1:38" ht="15.75" customHeight="1">
      <c r="A247" s="310"/>
      <c r="B247" s="310"/>
      <c r="C247" s="310"/>
      <c r="D247" s="310"/>
      <c r="E247" s="310"/>
      <c r="F247" s="311"/>
      <c r="G247" s="311"/>
      <c r="H247" s="1"/>
      <c r="I247" s="353"/>
      <c r="J247" s="353"/>
      <c r="K247" s="353"/>
      <c r="L247" s="353"/>
      <c r="M247" s="353"/>
      <c r="N247" s="353"/>
      <c r="O247" s="310"/>
      <c r="P247" s="310"/>
      <c r="Q247" s="310"/>
      <c r="R247" s="310"/>
      <c r="S247" s="310"/>
      <c r="T247" s="310"/>
      <c r="U247" s="310"/>
      <c r="V247" s="310"/>
      <c r="W247" s="310"/>
      <c r="X247" s="310"/>
      <c r="Y247" s="310"/>
      <c r="Z247" s="310"/>
      <c r="AA247" s="310"/>
      <c r="AB247" s="310"/>
      <c r="AC247" s="310"/>
      <c r="AD247" s="310"/>
      <c r="AE247" s="310"/>
      <c r="AF247" s="391"/>
      <c r="AG247" s="391"/>
      <c r="AH247" s="391"/>
      <c r="AI247" s="391"/>
      <c r="AJ247" s="391"/>
      <c r="AK247" s="310"/>
      <c r="AL247" s="310"/>
    </row>
    <row r="248" spans="1:38" ht="15.75" customHeight="1">
      <c r="A248" s="310"/>
      <c r="B248" s="310"/>
      <c r="C248" s="310"/>
      <c r="D248" s="310"/>
      <c r="E248" s="310"/>
      <c r="F248" s="311"/>
      <c r="G248" s="311"/>
      <c r="H248" s="1"/>
      <c r="I248" s="353"/>
      <c r="J248" s="353"/>
      <c r="K248" s="353"/>
      <c r="L248" s="353"/>
      <c r="M248" s="353"/>
      <c r="N248" s="353"/>
      <c r="O248" s="310"/>
      <c r="P248" s="310"/>
      <c r="Q248" s="310"/>
      <c r="R248" s="310"/>
      <c r="S248" s="310"/>
      <c r="T248" s="310"/>
      <c r="U248" s="310"/>
      <c r="V248" s="310"/>
      <c r="W248" s="310"/>
      <c r="X248" s="310"/>
      <c r="Y248" s="310"/>
      <c r="Z248" s="310"/>
      <c r="AA248" s="310"/>
      <c r="AB248" s="310"/>
      <c r="AC248" s="310"/>
      <c r="AD248" s="310"/>
      <c r="AE248" s="310"/>
      <c r="AF248" s="391"/>
      <c r="AG248" s="391"/>
      <c r="AH248" s="391"/>
      <c r="AI248" s="391"/>
      <c r="AJ248" s="391"/>
      <c r="AK248" s="310"/>
      <c r="AL248" s="310"/>
    </row>
    <row r="249" spans="1:38" ht="15.75" customHeight="1">
      <c r="A249" s="310"/>
      <c r="B249" s="310"/>
      <c r="C249" s="310"/>
      <c r="D249" s="310"/>
      <c r="E249" s="310"/>
      <c r="F249" s="311"/>
      <c r="G249" s="311"/>
      <c r="H249" s="1"/>
      <c r="I249" s="353"/>
      <c r="J249" s="353"/>
      <c r="K249" s="353"/>
      <c r="L249" s="353"/>
      <c r="M249" s="353"/>
      <c r="N249" s="353"/>
      <c r="O249" s="310"/>
      <c r="P249" s="310"/>
      <c r="Q249" s="310"/>
      <c r="R249" s="310"/>
      <c r="S249" s="310"/>
      <c r="T249" s="310"/>
      <c r="U249" s="310"/>
      <c r="V249" s="310"/>
      <c r="W249" s="310"/>
      <c r="X249" s="310"/>
      <c r="Y249" s="310"/>
      <c r="Z249" s="310"/>
      <c r="AA249" s="310"/>
      <c r="AB249" s="310"/>
      <c r="AC249" s="310"/>
      <c r="AD249" s="310"/>
      <c r="AE249" s="310"/>
      <c r="AF249" s="391"/>
      <c r="AG249" s="391"/>
      <c r="AH249" s="391"/>
      <c r="AI249" s="391"/>
      <c r="AJ249" s="391"/>
      <c r="AK249" s="310"/>
      <c r="AL249" s="310"/>
    </row>
    <row r="250" spans="1:38" ht="15.75" customHeight="1">
      <c r="A250" s="310"/>
      <c r="B250" s="310"/>
      <c r="C250" s="310"/>
      <c r="D250" s="310"/>
      <c r="E250" s="310"/>
      <c r="F250" s="311"/>
      <c r="G250" s="311"/>
      <c r="H250" s="1"/>
      <c r="I250" s="353"/>
      <c r="J250" s="353"/>
      <c r="K250" s="353"/>
      <c r="L250" s="353"/>
      <c r="M250" s="353"/>
      <c r="N250" s="353"/>
      <c r="O250" s="310"/>
      <c r="P250" s="310"/>
      <c r="Q250" s="310"/>
      <c r="R250" s="310"/>
      <c r="S250" s="310"/>
      <c r="T250" s="310"/>
      <c r="U250" s="310"/>
      <c r="V250" s="310"/>
      <c r="W250" s="310"/>
      <c r="X250" s="310"/>
      <c r="Y250" s="310"/>
      <c r="Z250" s="310"/>
      <c r="AA250" s="310"/>
      <c r="AB250" s="310"/>
      <c r="AC250" s="310"/>
      <c r="AD250" s="310"/>
      <c r="AE250" s="310"/>
      <c r="AF250" s="391"/>
      <c r="AG250" s="391"/>
      <c r="AH250" s="391"/>
      <c r="AI250" s="391"/>
      <c r="AJ250" s="391"/>
      <c r="AK250" s="310"/>
      <c r="AL250" s="310"/>
    </row>
    <row r="251" spans="1:38" ht="15.75" customHeight="1">
      <c r="A251" s="310"/>
      <c r="B251" s="310"/>
      <c r="C251" s="310"/>
      <c r="D251" s="310"/>
      <c r="E251" s="310"/>
      <c r="F251" s="311"/>
      <c r="G251" s="311"/>
      <c r="H251" s="1"/>
      <c r="I251" s="353"/>
      <c r="J251" s="353"/>
      <c r="K251" s="353"/>
      <c r="L251" s="353"/>
      <c r="M251" s="353"/>
      <c r="N251" s="353"/>
      <c r="O251" s="310"/>
      <c r="P251" s="310"/>
      <c r="Q251" s="310"/>
      <c r="R251" s="310"/>
      <c r="S251" s="310"/>
      <c r="T251" s="310"/>
      <c r="U251" s="310"/>
      <c r="V251" s="310"/>
      <c r="W251" s="310"/>
      <c r="X251" s="310"/>
      <c r="Y251" s="310"/>
      <c r="Z251" s="310"/>
      <c r="AA251" s="310"/>
      <c r="AB251" s="310"/>
      <c r="AC251" s="310"/>
      <c r="AD251" s="310"/>
      <c r="AE251" s="310"/>
      <c r="AF251" s="391"/>
      <c r="AG251" s="391"/>
      <c r="AH251" s="391"/>
      <c r="AI251" s="391"/>
      <c r="AJ251" s="391"/>
      <c r="AK251" s="310"/>
      <c r="AL251" s="310"/>
    </row>
    <row r="252" spans="1:38" ht="15.75" customHeight="1">
      <c r="A252" s="310"/>
      <c r="B252" s="310"/>
      <c r="C252" s="310"/>
      <c r="D252" s="310"/>
      <c r="E252" s="310"/>
      <c r="F252" s="311"/>
      <c r="G252" s="311"/>
      <c r="H252" s="1"/>
      <c r="I252" s="353"/>
      <c r="J252" s="353"/>
      <c r="K252" s="353"/>
      <c r="L252" s="353"/>
      <c r="M252" s="353"/>
      <c r="N252" s="353"/>
      <c r="O252" s="310"/>
      <c r="P252" s="310"/>
      <c r="Q252" s="310"/>
      <c r="R252" s="310"/>
      <c r="S252" s="310"/>
      <c r="T252" s="310"/>
      <c r="U252" s="310"/>
      <c r="V252" s="310"/>
      <c r="W252" s="310"/>
      <c r="X252" s="310"/>
      <c r="Y252" s="310"/>
      <c r="Z252" s="310"/>
      <c r="AA252" s="310"/>
      <c r="AB252" s="310"/>
      <c r="AC252" s="310"/>
      <c r="AD252" s="310"/>
      <c r="AE252" s="310"/>
      <c r="AF252" s="391"/>
      <c r="AG252" s="391"/>
      <c r="AH252" s="391"/>
      <c r="AI252" s="391"/>
      <c r="AJ252" s="391"/>
      <c r="AK252" s="310"/>
      <c r="AL252" s="310"/>
    </row>
    <row r="253" spans="1:38" ht="15.75" customHeight="1">
      <c r="A253" s="310"/>
      <c r="B253" s="310"/>
      <c r="C253" s="310"/>
      <c r="D253" s="310"/>
      <c r="E253" s="310"/>
      <c r="F253" s="311"/>
      <c r="G253" s="311"/>
      <c r="H253" s="1"/>
      <c r="I253" s="353"/>
      <c r="J253" s="353"/>
      <c r="K253" s="353"/>
      <c r="L253" s="353"/>
      <c r="M253" s="353"/>
      <c r="N253" s="353"/>
      <c r="O253" s="310"/>
      <c r="P253" s="310"/>
      <c r="Q253" s="310"/>
      <c r="R253" s="310"/>
      <c r="S253" s="310"/>
      <c r="T253" s="310"/>
      <c r="U253" s="310"/>
      <c r="V253" s="310"/>
      <c r="W253" s="310"/>
      <c r="X253" s="310"/>
      <c r="Y253" s="310"/>
      <c r="Z253" s="310"/>
      <c r="AA253" s="310"/>
      <c r="AB253" s="310"/>
      <c r="AC253" s="310"/>
      <c r="AD253" s="310"/>
      <c r="AE253" s="310"/>
      <c r="AF253" s="391"/>
      <c r="AG253" s="391"/>
      <c r="AH253" s="391"/>
      <c r="AI253" s="391"/>
      <c r="AJ253" s="391"/>
      <c r="AK253" s="310"/>
      <c r="AL253" s="310"/>
    </row>
    <row r="254" spans="1:38" ht="15.75" customHeight="1">
      <c r="A254" s="310"/>
      <c r="B254" s="310"/>
      <c r="C254" s="310"/>
      <c r="D254" s="310"/>
      <c r="E254" s="310"/>
      <c r="F254" s="311"/>
      <c r="G254" s="311"/>
      <c r="H254" s="1"/>
      <c r="I254" s="353"/>
      <c r="J254" s="353"/>
      <c r="K254" s="353"/>
      <c r="L254" s="353"/>
      <c r="M254" s="353"/>
      <c r="N254" s="353"/>
      <c r="O254" s="310"/>
      <c r="P254" s="310"/>
      <c r="Q254" s="310"/>
      <c r="R254" s="310"/>
      <c r="S254" s="310"/>
      <c r="T254" s="310"/>
      <c r="U254" s="310"/>
      <c r="V254" s="310"/>
      <c r="W254" s="310"/>
      <c r="X254" s="310"/>
      <c r="Y254" s="310"/>
      <c r="Z254" s="310"/>
      <c r="AA254" s="310"/>
      <c r="AB254" s="310"/>
      <c r="AC254" s="310"/>
      <c r="AD254" s="310"/>
      <c r="AE254" s="310"/>
      <c r="AF254" s="391"/>
      <c r="AG254" s="391"/>
      <c r="AH254" s="391"/>
      <c r="AI254" s="391"/>
      <c r="AJ254" s="391"/>
      <c r="AK254" s="310"/>
      <c r="AL254" s="310"/>
    </row>
    <row r="255" spans="1:38" ht="15.75" customHeight="1">
      <c r="A255" s="310"/>
      <c r="B255" s="310"/>
      <c r="C255" s="310"/>
      <c r="D255" s="310"/>
      <c r="E255" s="310"/>
      <c r="F255" s="311"/>
      <c r="G255" s="311"/>
      <c r="H255" s="1"/>
      <c r="I255" s="353"/>
      <c r="J255" s="353"/>
      <c r="K255" s="353"/>
      <c r="L255" s="353"/>
      <c r="M255" s="353"/>
      <c r="N255" s="353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  <c r="AA255" s="310"/>
      <c r="AB255" s="310"/>
      <c r="AC255" s="310"/>
      <c r="AD255" s="310"/>
      <c r="AE255" s="310"/>
      <c r="AF255" s="391"/>
      <c r="AG255" s="391"/>
      <c r="AH255" s="391"/>
      <c r="AI255" s="391"/>
      <c r="AJ255" s="391"/>
      <c r="AK255" s="310"/>
      <c r="AL255" s="310"/>
    </row>
    <row r="256" spans="1:38" ht="15.75" customHeight="1">
      <c r="A256" s="310"/>
      <c r="B256" s="310"/>
      <c r="C256" s="310"/>
      <c r="D256" s="310"/>
      <c r="E256" s="310"/>
      <c r="F256" s="311"/>
      <c r="G256" s="311"/>
      <c r="H256" s="1"/>
      <c r="I256" s="353"/>
      <c r="J256" s="353"/>
      <c r="K256" s="353"/>
      <c r="L256" s="353"/>
      <c r="M256" s="353"/>
      <c r="N256" s="353"/>
      <c r="O256" s="310"/>
      <c r="P256" s="310"/>
      <c r="Q256" s="310"/>
      <c r="R256" s="310"/>
      <c r="S256" s="310"/>
      <c r="T256" s="310"/>
      <c r="U256" s="310"/>
      <c r="V256" s="310"/>
      <c r="W256" s="310"/>
      <c r="X256" s="310"/>
      <c r="Y256" s="310"/>
      <c r="Z256" s="310"/>
      <c r="AA256" s="310"/>
      <c r="AB256" s="310"/>
      <c r="AC256" s="310"/>
      <c r="AD256" s="310"/>
      <c r="AE256" s="310"/>
      <c r="AF256" s="391"/>
      <c r="AG256" s="391"/>
      <c r="AH256" s="391"/>
      <c r="AI256" s="391"/>
      <c r="AJ256" s="391"/>
      <c r="AK256" s="310"/>
      <c r="AL256" s="310"/>
    </row>
    <row r="257" spans="1:38" ht="15.75" customHeight="1">
      <c r="A257" s="310"/>
      <c r="B257" s="310"/>
      <c r="C257" s="310"/>
      <c r="D257" s="310"/>
      <c r="E257" s="310"/>
      <c r="F257" s="311"/>
      <c r="G257" s="311"/>
      <c r="H257" s="1"/>
      <c r="I257" s="353"/>
      <c r="J257" s="353"/>
      <c r="K257" s="353"/>
      <c r="L257" s="353"/>
      <c r="M257" s="353"/>
      <c r="N257" s="353"/>
      <c r="O257" s="310"/>
      <c r="P257" s="310"/>
      <c r="Q257" s="310"/>
      <c r="R257" s="310"/>
      <c r="S257" s="310"/>
      <c r="T257" s="310"/>
      <c r="U257" s="310"/>
      <c r="V257" s="310"/>
      <c r="W257" s="310"/>
      <c r="X257" s="310"/>
      <c r="Y257" s="310"/>
      <c r="Z257" s="310"/>
      <c r="AA257" s="310"/>
      <c r="AB257" s="310"/>
      <c r="AC257" s="310"/>
      <c r="AD257" s="310"/>
      <c r="AE257" s="310"/>
      <c r="AF257" s="391"/>
      <c r="AG257" s="391"/>
      <c r="AH257" s="391"/>
      <c r="AI257" s="391"/>
      <c r="AJ257" s="391"/>
      <c r="AK257" s="310"/>
      <c r="AL257" s="310"/>
    </row>
    <row r="258" spans="1:38" ht="15.75" customHeight="1">
      <c r="A258" s="310"/>
      <c r="B258" s="310"/>
      <c r="C258" s="310"/>
      <c r="D258" s="310"/>
      <c r="E258" s="310"/>
      <c r="F258" s="311"/>
      <c r="G258" s="311"/>
      <c r="H258" s="1"/>
      <c r="I258" s="353"/>
      <c r="J258" s="353"/>
      <c r="K258" s="353"/>
      <c r="L258" s="353"/>
      <c r="M258" s="353"/>
      <c r="N258" s="353"/>
      <c r="O258" s="310"/>
      <c r="P258" s="310"/>
      <c r="Q258" s="310"/>
      <c r="R258" s="310"/>
      <c r="S258" s="310"/>
      <c r="T258" s="310"/>
      <c r="U258" s="310"/>
      <c r="V258" s="310"/>
      <c r="W258" s="310"/>
      <c r="X258" s="310"/>
      <c r="Y258" s="310"/>
      <c r="Z258" s="310"/>
      <c r="AA258" s="310"/>
      <c r="AB258" s="310"/>
      <c r="AC258" s="310"/>
      <c r="AD258" s="310"/>
      <c r="AE258" s="310"/>
      <c r="AF258" s="391"/>
      <c r="AG258" s="391"/>
      <c r="AH258" s="391"/>
      <c r="AI258" s="391"/>
      <c r="AJ258" s="391"/>
      <c r="AK258" s="310"/>
      <c r="AL258" s="310"/>
    </row>
    <row r="259" spans="1:38" ht="15.75" customHeight="1">
      <c r="A259" s="310"/>
      <c r="B259" s="310"/>
      <c r="C259" s="310"/>
      <c r="D259" s="310"/>
      <c r="E259" s="310"/>
      <c r="F259" s="311"/>
      <c r="G259" s="311"/>
      <c r="H259" s="1"/>
      <c r="I259" s="353"/>
      <c r="J259" s="353"/>
      <c r="K259" s="353"/>
      <c r="L259" s="353"/>
      <c r="M259" s="353"/>
      <c r="N259" s="353"/>
      <c r="O259" s="310"/>
      <c r="P259" s="310"/>
      <c r="Q259" s="310"/>
      <c r="R259" s="310"/>
      <c r="S259" s="310"/>
      <c r="T259" s="310"/>
      <c r="U259" s="310"/>
      <c r="V259" s="310"/>
      <c r="W259" s="310"/>
      <c r="X259" s="310"/>
      <c r="Y259" s="310"/>
      <c r="Z259" s="310"/>
      <c r="AA259" s="310"/>
      <c r="AB259" s="310"/>
      <c r="AC259" s="310"/>
      <c r="AD259" s="310"/>
      <c r="AE259" s="310"/>
      <c r="AF259" s="391"/>
      <c r="AG259" s="391"/>
      <c r="AH259" s="391"/>
      <c r="AI259" s="391"/>
      <c r="AJ259" s="391"/>
      <c r="AK259" s="310"/>
      <c r="AL259" s="310"/>
    </row>
    <row r="260" spans="1:38" ht="15.75" customHeight="1">
      <c r="A260" s="310"/>
      <c r="B260" s="310"/>
      <c r="C260" s="310"/>
      <c r="D260" s="310"/>
      <c r="E260" s="310"/>
      <c r="F260" s="311"/>
      <c r="G260" s="311"/>
      <c r="H260" s="1"/>
      <c r="I260" s="353"/>
      <c r="J260" s="353"/>
      <c r="K260" s="353"/>
      <c r="L260" s="353"/>
      <c r="M260" s="353"/>
      <c r="N260" s="353"/>
      <c r="O260" s="310"/>
      <c r="P260" s="310"/>
      <c r="Q260" s="310"/>
      <c r="R260" s="310"/>
      <c r="S260" s="310"/>
      <c r="T260" s="310"/>
      <c r="U260" s="310"/>
      <c r="V260" s="310"/>
      <c r="W260" s="310"/>
      <c r="X260" s="310"/>
      <c r="Y260" s="310"/>
      <c r="Z260" s="310"/>
      <c r="AA260" s="310"/>
      <c r="AB260" s="310"/>
      <c r="AC260" s="310"/>
      <c r="AD260" s="310"/>
      <c r="AE260" s="310"/>
      <c r="AF260" s="391"/>
      <c r="AG260" s="391"/>
      <c r="AH260" s="391"/>
      <c r="AI260" s="391"/>
      <c r="AJ260" s="391"/>
      <c r="AK260" s="310"/>
      <c r="AL260" s="310"/>
    </row>
    <row r="261" spans="1:38" ht="15.75" customHeight="1">
      <c r="A261" s="310"/>
      <c r="B261" s="310"/>
      <c r="C261" s="310"/>
      <c r="D261" s="310"/>
      <c r="E261" s="310"/>
      <c r="F261" s="311"/>
      <c r="G261" s="311"/>
      <c r="H261" s="1"/>
      <c r="I261" s="353"/>
      <c r="J261" s="353"/>
      <c r="K261" s="353"/>
      <c r="L261" s="353"/>
      <c r="M261" s="353"/>
      <c r="N261" s="353"/>
      <c r="O261" s="310"/>
      <c r="P261" s="310"/>
      <c r="Q261" s="310"/>
      <c r="R261" s="310"/>
      <c r="S261" s="310"/>
      <c r="T261" s="310"/>
      <c r="U261" s="310"/>
      <c r="V261" s="310"/>
      <c r="W261" s="310"/>
      <c r="X261" s="310"/>
      <c r="Y261" s="310"/>
      <c r="Z261" s="310"/>
      <c r="AA261" s="310"/>
      <c r="AB261" s="310"/>
      <c r="AC261" s="310"/>
      <c r="AD261" s="310"/>
      <c r="AE261" s="310"/>
      <c r="AF261" s="391"/>
      <c r="AG261" s="391"/>
      <c r="AH261" s="391"/>
      <c r="AI261" s="391"/>
      <c r="AJ261" s="391"/>
      <c r="AK261" s="310"/>
      <c r="AL261" s="310"/>
    </row>
    <row r="262" spans="1:38" ht="15.75" customHeight="1">
      <c r="A262" s="310"/>
      <c r="B262" s="310"/>
      <c r="C262" s="310"/>
      <c r="D262" s="310"/>
      <c r="E262" s="310"/>
      <c r="F262" s="311"/>
      <c r="G262" s="311"/>
      <c r="H262" s="1"/>
      <c r="I262" s="353"/>
      <c r="J262" s="353"/>
      <c r="K262" s="353"/>
      <c r="L262" s="353"/>
      <c r="M262" s="353"/>
      <c r="N262" s="353"/>
      <c r="O262" s="310"/>
      <c r="P262" s="310"/>
      <c r="Q262" s="310"/>
      <c r="R262" s="310"/>
      <c r="S262" s="310"/>
      <c r="T262" s="310"/>
      <c r="U262" s="310"/>
      <c r="V262" s="310"/>
      <c r="W262" s="310"/>
      <c r="X262" s="310"/>
      <c r="Y262" s="310"/>
      <c r="Z262" s="310"/>
      <c r="AA262" s="310"/>
      <c r="AB262" s="310"/>
      <c r="AC262" s="310"/>
      <c r="AD262" s="310"/>
      <c r="AE262" s="310"/>
      <c r="AF262" s="391"/>
      <c r="AG262" s="391"/>
      <c r="AH262" s="391"/>
      <c r="AI262" s="391"/>
      <c r="AJ262" s="391"/>
      <c r="AK262" s="310"/>
      <c r="AL262" s="310"/>
    </row>
    <row r="263" spans="1:38" ht="15.75" customHeight="1">
      <c r="A263" s="310"/>
      <c r="B263" s="310"/>
      <c r="C263" s="310"/>
      <c r="D263" s="310"/>
      <c r="E263" s="310"/>
      <c r="F263" s="311"/>
      <c r="G263" s="311"/>
      <c r="H263" s="1"/>
      <c r="I263" s="353"/>
      <c r="J263" s="353"/>
      <c r="K263" s="353"/>
      <c r="L263" s="353"/>
      <c r="M263" s="353"/>
      <c r="N263" s="353"/>
      <c r="O263" s="310"/>
      <c r="P263" s="310"/>
      <c r="Q263" s="310"/>
      <c r="R263" s="310"/>
      <c r="S263" s="310"/>
      <c r="T263" s="310"/>
      <c r="U263" s="310"/>
      <c r="V263" s="310"/>
      <c r="W263" s="310"/>
      <c r="X263" s="310"/>
      <c r="Y263" s="310"/>
      <c r="Z263" s="310"/>
      <c r="AA263" s="310"/>
      <c r="AB263" s="310"/>
      <c r="AC263" s="310"/>
      <c r="AD263" s="310"/>
      <c r="AE263" s="310"/>
      <c r="AF263" s="391"/>
      <c r="AG263" s="391"/>
      <c r="AH263" s="391"/>
      <c r="AI263" s="391"/>
      <c r="AJ263" s="391"/>
      <c r="AK263" s="310"/>
      <c r="AL263" s="310"/>
    </row>
    <row r="264" spans="1:38" ht="15.75" customHeight="1">
      <c r="A264" s="310"/>
      <c r="B264" s="310"/>
      <c r="C264" s="310"/>
      <c r="D264" s="310"/>
      <c r="E264" s="310"/>
      <c r="F264" s="311"/>
      <c r="G264" s="311"/>
      <c r="H264" s="1"/>
      <c r="I264" s="353"/>
      <c r="J264" s="353"/>
      <c r="K264" s="353"/>
      <c r="L264" s="353"/>
      <c r="M264" s="353"/>
      <c r="N264" s="353"/>
      <c r="O264" s="310"/>
      <c r="P264" s="310"/>
      <c r="Q264" s="310"/>
      <c r="R264" s="310"/>
      <c r="S264" s="310"/>
      <c r="T264" s="310"/>
      <c r="U264" s="310"/>
      <c r="V264" s="310"/>
      <c r="W264" s="310"/>
      <c r="X264" s="310"/>
      <c r="Y264" s="310"/>
      <c r="Z264" s="310"/>
      <c r="AA264" s="310"/>
      <c r="AB264" s="310"/>
      <c r="AC264" s="310"/>
      <c r="AD264" s="310"/>
      <c r="AE264" s="310"/>
      <c r="AF264" s="391"/>
      <c r="AG264" s="391"/>
      <c r="AH264" s="391"/>
      <c r="AI264" s="391"/>
      <c r="AJ264" s="391"/>
      <c r="AK264" s="310"/>
      <c r="AL264" s="310"/>
    </row>
    <row r="265" spans="1:38" ht="15.75" customHeight="1">
      <c r="A265" s="310"/>
      <c r="B265" s="310"/>
      <c r="C265" s="310"/>
      <c r="D265" s="310"/>
      <c r="E265" s="310"/>
      <c r="F265" s="311"/>
      <c r="G265" s="311"/>
      <c r="H265" s="1"/>
      <c r="I265" s="353"/>
      <c r="J265" s="353"/>
      <c r="K265" s="353"/>
      <c r="L265" s="353"/>
      <c r="M265" s="353"/>
      <c r="N265" s="353"/>
      <c r="O265" s="310"/>
      <c r="P265" s="310"/>
      <c r="Q265" s="310"/>
      <c r="R265" s="310"/>
      <c r="S265" s="310"/>
      <c r="T265" s="310"/>
      <c r="U265" s="310"/>
      <c r="V265" s="310"/>
      <c r="W265" s="310"/>
      <c r="X265" s="310"/>
      <c r="Y265" s="310"/>
      <c r="Z265" s="310"/>
      <c r="AA265" s="310"/>
      <c r="AB265" s="310"/>
      <c r="AC265" s="310"/>
      <c r="AD265" s="310"/>
      <c r="AE265" s="310"/>
      <c r="AF265" s="391"/>
      <c r="AG265" s="391"/>
      <c r="AH265" s="391"/>
      <c r="AI265" s="391"/>
      <c r="AJ265" s="391"/>
      <c r="AK265" s="310"/>
      <c r="AL265" s="310"/>
    </row>
    <row r="266" spans="1:38" ht="15.75" customHeight="1">
      <c r="A266" s="310"/>
      <c r="B266" s="310"/>
      <c r="C266" s="310"/>
      <c r="D266" s="310"/>
      <c r="E266" s="310"/>
      <c r="F266" s="311"/>
      <c r="G266" s="311"/>
      <c r="H266" s="1"/>
      <c r="I266" s="353"/>
      <c r="J266" s="353"/>
      <c r="K266" s="353"/>
      <c r="L266" s="353"/>
      <c r="M266" s="353"/>
      <c r="N266" s="353"/>
      <c r="O266" s="310"/>
      <c r="P266" s="310"/>
      <c r="Q266" s="310"/>
      <c r="R266" s="310"/>
      <c r="S266" s="310"/>
      <c r="T266" s="310"/>
      <c r="U266" s="310"/>
      <c r="V266" s="310"/>
      <c r="W266" s="310"/>
      <c r="X266" s="310"/>
      <c r="Y266" s="310"/>
      <c r="Z266" s="310"/>
      <c r="AA266" s="310"/>
      <c r="AB266" s="310"/>
      <c r="AC266" s="310"/>
      <c r="AD266" s="310"/>
      <c r="AE266" s="310"/>
      <c r="AF266" s="391"/>
      <c r="AG266" s="391"/>
      <c r="AH266" s="391"/>
      <c r="AI266" s="391"/>
      <c r="AJ266" s="391"/>
      <c r="AK266" s="310"/>
      <c r="AL266" s="310"/>
    </row>
    <row r="267" spans="1:38" ht="15.75" customHeight="1">
      <c r="A267" s="310"/>
      <c r="B267" s="310"/>
      <c r="C267" s="310"/>
      <c r="D267" s="310"/>
      <c r="E267" s="310"/>
      <c r="F267" s="311"/>
      <c r="G267" s="311"/>
      <c r="H267" s="1"/>
      <c r="I267" s="353"/>
      <c r="J267" s="353"/>
      <c r="K267" s="353"/>
      <c r="L267" s="353"/>
      <c r="M267" s="353"/>
      <c r="N267" s="353"/>
      <c r="O267" s="310"/>
      <c r="P267" s="310"/>
      <c r="Q267" s="310"/>
      <c r="R267" s="310"/>
      <c r="S267" s="310"/>
      <c r="T267" s="310"/>
      <c r="U267" s="310"/>
      <c r="V267" s="310"/>
      <c r="W267" s="310"/>
      <c r="X267" s="310"/>
      <c r="Y267" s="310"/>
      <c r="Z267" s="310"/>
      <c r="AA267" s="310"/>
      <c r="AB267" s="310"/>
      <c r="AC267" s="310"/>
      <c r="AD267" s="310"/>
      <c r="AE267" s="310"/>
      <c r="AF267" s="391"/>
      <c r="AG267" s="391"/>
      <c r="AH267" s="391"/>
      <c r="AI267" s="391"/>
      <c r="AJ267" s="391"/>
      <c r="AK267" s="310"/>
      <c r="AL267" s="310"/>
    </row>
    <row r="268" spans="1:38" ht="15.75" customHeight="1">
      <c r="A268" s="310"/>
      <c r="B268" s="310"/>
      <c r="C268" s="310"/>
      <c r="D268" s="310"/>
      <c r="E268" s="310"/>
      <c r="F268" s="311"/>
      <c r="G268" s="311"/>
      <c r="H268" s="1"/>
      <c r="I268" s="353"/>
      <c r="J268" s="353"/>
      <c r="K268" s="353"/>
      <c r="L268" s="353"/>
      <c r="M268" s="353"/>
      <c r="N268" s="353"/>
      <c r="O268" s="310"/>
      <c r="P268" s="310"/>
      <c r="Q268" s="310"/>
      <c r="R268" s="310"/>
      <c r="S268" s="310"/>
      <c r="T268" s="310"/>
      <c r="U268" s="310"/>
      <c r="V268" s="310"/>
      <c r="W268" s="310"/>
      <c r="X268" s="310"/>
      <c r="Y268" s="310"/>
      <c r="Z268" s="310"/>
      <c r="AA268" s="310"/>
      <c r="AB268" s="310"/>
      <c r="AC268" s="310"/>
      <c r="AD268" s="310"/>
      <c r="AE268" s="310"/>
      <c r="AF268" s="391"/>
      <c r="AG268" s="391"/>
      <c r="AH268" s="391"/>
      <c r="AI268" s="391"/>
      <c r="AJ268" s="391"/>
      <c r="AK268" s="310"/>
      <c r="AL268" s="310"/>
    </row>
    <row r="269" spans="1:38" ht="15.75" customHeight="1">
      <c r="A269" s="310"/>
      <c r="B269" s="310"/>
      <c r="C269" s="310"/>
      <c r="D269" s="310"/>
      <c r="E269" s="310"/>
      <c r="F269" s="311"/>
      <c r="G269" s="311"/>
      <c r="H269" s="1"/>
      <c r="I269" s="353"/>
      <c r="J269" s="353"/>
      <c r="K269" s="353"/>
      <c r="L269" s="353"/>
      <c r="M269" s="353"/>
      <c r="N269" s="353"/>
      <c r="O269" s="310"/>
      <c r="P269" s="310"/>
      <c r="Q269" s="310"/>
      <c r="R269" s="310"/>
      <c r="S269" s="310"/>
      <c r="T269" s="310"/>
      <c r="U269" s="310"/>
      <c r="V269" s="310"/>
      <c r="W269" s="310"/>
      <c r="X269" s="310"/>
      <c r="Y269" s="310"/>
      <c r="Z269" s="310"/>
      <c r="AA269" s="310"/>
      <c r="AB269" s="310"/>
      <c r="AC269" s="310"/>
      <c r="AD269" s="310"/>
      <c r="AE269" s="310"/>
      <c r="AF269" s="391"/>
      <c r="AG269" s="391"/>
      <c r="AH269" s="391"/>
      <c r="AI269" s="391"/>
      <c r="AJ269" s="391"/>
      <c r="AK269" s="310"/>
      <c r="AL269" s="310"/>
    </row>
    <row r="270" spans="1:38" ht="15.75" customHeight="1">
      <c r="A270" s="310"/>
      <c r="B270" s="310"/>
      <c r="C270" s="310"/>
      <c r="D270" s="310"/>
      <c r="E270" s="310"/>
      <c r="F270" s="311"/>
      <c r="G270" s="311"/>
      <c r="H270" s="1"/>
      <c r="I270" s="353"/>
      <c r="J270" s="353"/>
      <c r="K270" s="353"/>
      <c r="L270" s="353"/>
      <c r="M270" s="353"/>
      <c r="N270" s="353"/>
      <c r="O270" s="310"/>
      <c r="P270" s="310"/>
      <c r="Q270" s="310"/>
      <c r="R270" s="310"/>
      <c r="S270" s="310"/>
      <c r="T270" s="310"/>
      <c r="U270" s="310"/>
      <c r="V270" s="310"/>
      <c r="W270" s="310"/>
      <c r="X270" s="310"/>
      <c r="Y270" s="310"/>
      <c r="Z270" s="310"/>
      <c r="AA270" s="310"/>
      <c r="AB270" s="310"/>
      <c r="AC270" s="310"/>
      <c r="AD270" s="310"/>
      <c r="AE270" s="310"/>
      <c r="AF270" s="391"/>
      <c r="AG270" s="391"/>
      <c r="AH270" s="391"/>
      <c r="AI270" s="391"/>
      <c r="AJ270" s="391"/>
      <c r="AK270" s="310"/>
      <c r="AL270" s="310"/>
    </row>
    <row r="271" spans="1:38" ht="15.75" customHeight="1">
      <c r="A271" s="310"/>
      <c r="B271" s="310"/>
      <c r="C271" s="310"/>
      <c r="D271" s="310"/>
      <c r="E271" s="310"/>
      <c r="F271" s="311"/>
      <c r="G271" s="311"/>
      <c r="H271" s="1"/>
      <c r="I271" s="353"/>
      <c r="J271" s="353"/>
      <c r="K271" s="353"/>
      <c r="L271" s="353"/>
      <c r="M271" s="353"/>
      <c r="N271" s="353"/>
      <c r="O271" s="310"/>
      <c r="P271" s="310"/>
      <c r="Q271" s="310"/>
      <c r="R271" s="310"/>
      <c r="S271" s="310"/>
      <c r="T271" s="310"/>
      <c r="U271" s="310"/>
      <c r="V271" s="310"/>
      <c r="W271" s="310"/>
      <c r="X271" s="310"/>
      <c r="Y271" s="310"/>
      <c r="Z271" s="310"/>
      <c r="AA271" s="310"/>
      <c r="AB271" s="310"/>
      <c r="AC271" s="310"/>
      <c r="AD271" s="310"/>
      <c r="AE271" s="310"/>
      <c r="AF271" s="391"/>
      <c r="AG271" s="391"/>
      <c r="AH271" s="391"/>
      <c r="AI271" s="391"/>
      <c r="AJ271" s="391"/>
      <c r="AK271" s="310"/>
      <c r="AL271" s="310"/>
    </row>
    <row r="272" spans="1:38" ht="15.75" customHeight="1">
      <c r="A272" s="310"/>
      <c r="B272" s="310"/>
      <c r="C272" s="310"/>
      <c r="D272" s="310"/>
      <c r="E272" s="310"/>
      <c r="F272" s="311"/>
      <c r="G272" s="311"/>
      <c r="H272" s="1"/>
      <c r="I272" s="353"/>
      <c r="J272" s="353"/>
      <c r="K272" s="353"/>
      <c r="L272" s="353"/>
      <c r="M272" s="353"/>
      <c r="N272" s="353"/>
      <c r="O272" s="310"/>
      <c r="P272" s="310"/>
      <c r="Q272" s="310"/>
      <c r="R272" s="310"/>
      <c r="S272" s="310"/>
      <c r="T272" s="310"/>
      <c r="U272" s="310"/>
      <c r="V272" s="310"/>
      <c r="W272" s="310"/>
      <c r="X272" s="310"/>
      <c r="Y272" s="310"/>
      <c r="Z272" s="310"/>
      <c r="AA272" s="310"/>
      <c r="AB272" s="310"/>
      <c r="AC272" s="310"/>
      <c r="AD272" s="310"/>
      <c r="AE272" s="310"/>
      <c r="AF272" s="391"/>
      <c r="AG272" s="391"/>
      <c r="AH272" s="391"/>
      <c r="AI272" s="391"/>
      <c r="AJ272" s="391"/>
      <c r="AK272" s="310"/>
      <c r="AL272" s="310"/>
    </row>
    <row r="273" spans="1:38" ht="15.75" customHeight="1">
      <c r="A273" s="310"/>
      <c r="B273" s="310"/>
      <c r="C273" s="310"/>
      <c r="D273" s="310"/>
      <c r="E273" s="310"/>
      <c r="F273" s="311"/>
      <c r="G273" s="311"/>
      <c r="H273" s="1"/>
      <c r="I273" s="353"/>
      <c r="J273" s="353"/>
      <c r="K273" s="353"/>
      <c r="L273" s="353"/>
      <c r="M273" s="353"/>
      <c r="N273" s="353"/>
      <c r="O273" s="310"/>
      <c r="P273" s="310"/>
      <c r="Q273" s="310"/>
      <c r="R273" s="310"/>
      <c r="S273" s="310"/>
      <c r="T273" s="310"/>
      <c r="U273" s="310"/>
      <c r="V273" s="310"/>
      <c r="W273" s="310"/>
      <c r="X273" s="310"/>
      <c r="Y273" s="310"/>
      <c r="Z273" s="310"/>
      <c r="AA273" s="310"/>
      <c r="AB273" s="310"/>
      <c r="AC273" s="310"/>
      <c r="AD273" s="310"/>
      <c r="AE273" s="310"/>
      <c r="AF273" s="391"/>
      <c r="AG273" s="391"/>
      <c r="AH273" s="391"/>
      <c r="AI273" s="391"/>
      <c r="AJ273" s="391"/>
      <c r="AK273" s="310"/>
      <c r="AL273" s="310"/>
    </row>
    <row r="274" spans="1:38" ht="15.75" customHeight="1">
      <c r="A274" s="310"/>
      <c r="B274" s="310"/>
      <c r="C274" s="310"/>
      <c r="D274" s="310"/>
      <c r="E274" s="310"/>
      <c r="F274" s="311"/>
      <c r="G274" s="311"/>
      <c r="H274" s="1"/>
      <c r="I274" s="353"/>
      <c r="J274" s="353"/>
      <c r="K274" s="353"/>
      <c r="L274" s="353"/>
      <c r="M274" s="353"/>
      <c r="N274" s="353"/>
      <c r="O274" s="310"/>
      <c r="P274" s="310"/>
      <c r="Q274" s="310"/>
      <c r="R274" s="310"/>
      <c r="S274" s="310"/>
      <c r="T274" s="310"/>
      <c r="U274" s="310"/>
      <c r="V274" s="310"/>
      <c r="W274" s="310"/>
      <c r="X274" s="310"/>
      <c r="Y274" s="310"/>
      <c r="Z274" s="310"/>
      <c r="AA274" s="310"/>
      <c r="AB274" s="310"/>
      <c r="AC274" s="310"/>
      <c r="AD274" s="310"/>
      <c r="AE274" s="310"/>
      <c r="AF274" s="391"/>
      <c r="AG274" s="391"/>
      <c r="AH274" s="391"/>
      <c r="AI274" s="391"/>
      <c r="AJ274" s="391"/>
      <c r="AK274" s="310"/>
      <c r="AL274" s="310"/>
    </row>
    <row r="275" spans="1:38" ht="15.75" customHeight="1">
      <c r="A275" s="310"/>
      <c r="B275" s="310"/>
      <c r="C275" s="310"/>
      <c r="D275" s="310"/>
      <c r="E275" s="310"/>
      <c r="F275" s="311"/>
      <c r="G275" s="311"/>
      <c r="H275" s="1"/>
      <c r="I275" s="353"/>
      <c r="J275" s="353"/>
      <c r="K275" s="353"/>
      <c r="L275" s="353"/>
      <c r="M275" s="353"/>
      <c r="N275" s="353"/>
      <c r="O275" s="310"/>
      <c r="P275" s="310"/>
      <c r="Q275" s="310"/>
      <c r="R275" s="310"/>
      <c r="S275" s="310"/>
      <c r="T275" s="310"/>
      <c r="U275" s="310"/>
      <c r="V275" s="310"/>
      <c r="W275" s="310"/>
      <c r="X275" s="310"/>
      <c r="Y275" s="310"/>
      <c r="Z275" s="310"/>
      <c r="AA275" s="310"/>
      <c r="AB275" s="310"/>
      <c r="AC275" s="310"/>
      <c r="AD275" s="310"/>
      <c r="AE275" s="310"/>
      <c r="AF275" s="391"/>
      <c r="AG275" s="391"/>
      <c r="AH275" s="391"/>
      <c r="AI275" s="391"/>
      <c r="AJ275" s="391"/>
      <c r="AK275" s="310"/>
      <c r="AL275" s="310"/>
    </row>
    <row r="276" spans="1:38" ht="15.75" customHeight="1">
      <c r="A276" s="310"/>
      <c r="B276" s="310"/>
      <c r="C276" s="310"/>
      <c r="D276" s="310"/>
      <c r="E276" s="310"/>
      <c r="F276" s="311"/>
      <c r="G276" s="311"/>
      <c r="H276" s="1"/>
      <c r="I276" s="353"/>
      <c r="J276" s="353"/>
      <c r="K276" s="353"/>
      <c r="L276" s="353"/>
      <c r="M276" s="353"/>
      <c r="N276" s="353"/>
      <c r="O276" s="310"/>
      <c r="P276" s="310"/>
      <c r="Q276" s="310"/>
      <c r="R276" s="310"/>
      <c r="S276" s="310"/>
      <c r="T276" s="310"/>
      <c r="U276" s="310"/>
      <c r="V276" s="310"/>
      <c r="W276" s="310"/>
      <c r="X276" s="310"/>
      <c r="Y276" s="310"/>
      <c r="Z276" s="310"/>
      <c r="AA276" s="310"/>
      <c r="AB276" s="310"/>
      <c r="AC276" s="310"/>
      <c r="AD276" s="310"/>
      <c r="AE276" s="310"/>
      <c r="AF276" s="391"/>
      <c r="AG276" s="391"/>
      <c r="AH276" s="391"/>
      <c r="AI276" s="391"/>
      <c r="AJ276" s="391"/>
      <c r="AK276" s="310"/>
      <c r="AL276" s="310"/>
    </row>
    <row r="277" spans="1:38" ht="15.75" customHeight="1">
      <c r="A277" s="310"/>
      <c r="B277" s="310"/>
      <c r="C277" s="310"/>
      <c r="D277" s="310"/>
      <c r="E277" s="310"/>
      <c r="F277" s="311"/>
      <c r="G277" s="311"/>
      <c r="H277" s="1"/>
      <c r="I277" s="353"/>
      <c r="J277" s="353"/>
      <c r="K277" s="353"/>
      <c r="L277" s="353"/>
      <c r="M277" s="353"/>
      <c r="N277" s="353"/>
      <c r="O277" s="310"/>
      <c r="P277" s="310"/>
      <c r="Q277" s="310"/>
      <c r="R277" s="310"/>
      <c r="S277" s="310"/>
      <c r="T277" s="310"/>
      <c r="U277" s="310"/>
      <c r="V277" s="310"/>
      <c r="W277" s="310"/>
      <c r="X277" s="310"/>
      <c r="Y277" s="310"/>
      <c r="Z277" s="310"/>
      <c r="AA277" s="310"/>
      <c r="AB277" s="310"/>
      <c r="AC277" s="310"/>
      <c r="AD277" s="310"/>
      <c r="AE277" s="310"/>
      <c r="AF277" s="391"/>
      <c r="AG277" s="391"/>
      <c r="AH277" s="391"/>
      <c r="AI277" s="391"/>
      <c r="AJ277" s="391"/>
      <c r="AK277" s="310"/>
      <c r="AL277" s="310"/>
    </row>
    <row r="278" spans="1:38" ht="15.75" customHeight="1">
      <c r="A278" s="310"/>
      <c r="B278" s="310"/>
      <c r="C278" s="310"/>
      <c r="D278" s="310"/>
      <c r="E278" s="310"/>
      <c r="F278" s="311"/>
      <c r="G278" s="311"/>
      <c r="H278" s="1"/>
      <c r="I278" s="353"/>
      <c r="J278" s="353"/>
      <c r="K278" s="353"/>
      <c r="L278" s="353"/>
      <c r="M278" s="353"/>
      <c r="N278" s="353"/>
      <c r="O278" s="310"/>
      <c r="P278" s="310"/>
      <c r="Q278" s="310"/>
      <c r="R278" s="310"/>
      <c r="S278" s="310"/>
      <c r="T278" s="310"/>
      <c r="U278" s="310"/>
      <c r="V278" s="310"/>
      <c r="W278" s="310"/>
      <c r="X278" s="310"/>
      <c r="Y278" s="310"/>
      <c r="Z278" s="310"/>
      <c r="AA278" s="310"/>
      <c r="AB278" s="310"/>
      <c r="AC278" s="310"/>
      <c r="AD278" s="310"/>
      <c r="AE278" s="310"/>
      <c r="AF278" s="391"/>
      <c r="AG278" s="391"/>
      <c r="AH278" s="391"/>
      <c r="AI278" s="391"/>
      <c r="AJ278" s="391"/>
      <c r="AK278" s="310"/>
      <c r="AL278" s="310"/>
    </row>
    <row r="279" spans="1:38" ht="15.75" customHeight="1">
      <c r="A279" s="310"/>
      <c r="B279" s="310"/>
      <c r="C279" s="310"/>
      <c r="D279" s="310"/>
      <c r="E279" s="310"/>
      <c r="F279" s="311"/>
      <c r="G279" s="311"/>
      <c r="H279" s="1"/>
      <c r="I279" s="353"/>
      <c r="J279" s="353"/>
      <c r="K279" s="353"/>
      <c r="L279" s="353"/>
      <c r="M279" s="353"/>
      <c r="N279" s="353"/>
      <c r="O279" s="310"/>
      <c r="P279" s="310"/>
      <c r="Q279" s="310"/>
      <c r="R279" s="310"/>
      <c r="S279" s="310"/>
      <c r="T279" s="310"/>
      <c r="U279" s="310"/>
      <c r="V279" s="310"/>
      <c r="W279" s="310"/>
      <c r="X279" s="310"/>
      <c r="Y279" s="310"/>
      <c r="Z279" s="310"/>
      <c r="AA279" s="310"/>
      <c r="AB279" s="310"/>
      <c r="AC279" s="310"/>
      <c r="AD279" s="310"/>
      <c r="AE279" s="310"/>
      <c r="AF279" s="391"/>
      <c r="AG279" s="391"/>
      <c r="AH279" s="391"/>
      <c r="AI279" s="391"/>
      <c r="AJ279" s="391"/>
      <c r="AK279" s="310"/>
      <c r="AL279" s="310"/>
    </row>
    <row r="280" spans="1:38" ht="15.75" customHeight="1">
      <c r="A280" s="310"/>
      <c r="B280" s="310"/>
      <c r="C280" s="310"/>
      <c r="D280" s="310"/>
      <c r="E280" s="310"/>
      <c r="F280" s="311"/>
      <c r="G280" s="311"/>
      <c r="H280" s="1"/>
      <c r="I280" s="353"/>
      <c r="J280" s="353"/>
      <c r="K280" s="353"/>
      <c r="L280" s="353"/>
      <c r="M280" s="353"/>
      <c r="N280" s="353"/>
      <c r="O280" s="310"/>
      <c r="P280" s="310"/>
      <c r="Q280" s="310"/>
      <c r="R280" s="310"/>
      <c r="S280" s="310"/>
      <c r="T280" s="310"/>
      <c r="U280" s="310"/>
      <c r="V280" s="310"/>
      <c r="W280" s="310"/>
      <c r="X280" s="310"/>
      <c r="Y280" s="310"/>
      <c r="Z280" s="310"/>
      <c r="AA280" s="310"/>
      <c r="AB280" s="310"/>
      <c r="AC280" s="310"/>
      <c r="AD280" s="310"/>
      <c r="AE280" s="310"/>
      <c r="AF280" s="391"/>
      <c r="AG280" s="391"/>
      <c r="AH280" s="391"/>
      <c r="AI280" s="391"/>
      <c r="AJ280" s="391"/>
      <c r="AK280" s="310"/>
      <c r="AL280" s="310"/>
    </row>
    <row r="281" spans="1:38" ht="15.75" customHeight="1"/>
    <row r="282" spans="1:38" ht="15.75" customHeight="1"/>
    <row r="283" spans="1:38" ht="15.75" customHeight="1"/>
    <row r="284" spans="1:38" ht="15.75" customHeight="1"/>
    <row r="285" spans="1:38" ht="15.75" customHeight="1"/>
    <row r="286" spans="1:38" ht="15.75" customHeight="1"/>
    <row r="287" spans="1:38" ht="15.75" customHeight="1"/>
    <row r="288" spans="1:3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Z4:Z8"/>
    <mergeCell ref="AA4:AA8"/>
    <mergeCell ref="AB4:AB8"/>
    <mergeCell ref="AC4:AC5"/>
    <mergeCell ref="D8:F8"/>
    <mergeCell ref="I8:K8"/>
    <mergeCell ref="P8:R8"/>
    <mergeCell ref="U8:W8"/>
    <mergeCell ref="Y4:Y8"/>
    <mergeCell ref="A1:X1"/>
    <mergeCell ref="A2:X2"/>
    <mergeCell ref="B4:F4"/>
    <mergeCell ref="H4:K4"/>
    <mergeCell ref="O4:R4"/>
    <mergeCell ref="T4:W4"/>
  </mergeCells>
  <phoneticPr fontId="65" type="noConversion"/>
  <conditionalFormatting sqref="B9:C38 H9:H38 O9:O38">
    <cfRule type="cellIs" dxfId="13" priority="1" stopIfTrue="1" operator="equal">
      <formula>#REF!</formula>
    </cfRule>
    <cfRule type="cellIs" dxfId="12" priority="2" stopIfTrue="1" operator="equal">
      <formula>#REF!</formula>
    </cfRule>
  </conditionalFormatting>
  <conditionalFormatting sqref="T9:T38">
    <cfRule type="cellIs" dxfId="11" priority="3" stopIfTrue="1" operator="equal">
      <formula>#REF!</formula>
    </cfRule>
    <cfRule type="cellIs" dxfId="10" priority="4" stopIfTrue="1" operator="equal">
      <formula>#REF!</formula>
    </cfRule>
  </conditionalFormatting>
  <conditionalFormatting sqref="AA25:AA26">
    <cfRule type="cellIs" dxfId="9" priority="5" stopIfTrue="1" operator="equal">
      <formula>"?"</formula>
    </cfRule>
  </conditionalFormatting>
  <conditionalFormatting sqref="AA36:AA38">
    <cfRule type="cellIs" dxfId="8" priority="6" stopIfTrue="1" operator="equal">
      <formula>"?"</formula>
    </cfRule>
  </conditionalFormatting>
  <conditionalFormatting sqref="AF11:AG80">
    <cfRule type="cellIs" dxfId="7" priority="7" stopIfTrue="1" operator="equal">
      <formula>$B$80</formula>
    </cfRule>
  </conditionalFormatting>
  <pageMargins left="0.75" right="0.75" top="1" bottom="1" header="0" footer="0"/>
  <pageSetup paperSize="9" fitToHeight="0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36C09"/>
  </sheetPr>
  <dimension ref="A1:AL1000"/>
  <sheetViews>
    <sheetView workbookViewId="0">
      <selection sqref="A1:X1"/>
    </sheetView>
  </sheetViews>
  <sheetFormatPr defaultColWidth="11.09765625" defaultRowHeight="15" customHeight="1"/>
  <cols>
    <col min="1" max="1" width="8.59765625" customWidth="1"/>
    <col min="2" max="3" width="8.09765625" customWidth="1"/>
    <col min="4" max="4" width="4.296875" customWidth="1"/>
    <col min="5" max="5" width="1.09765625" customWidth="1"/>
    <col min="6" max="6" width="4.09765625" customWidth="1"/>
    <col min="7" max="7" width="3.59765625" customWidth="1"/>
    <col min="8" max="8" width="8.09765625" customWidth="1"/>
    <col min="9" max="9" width="5" customWidth="1"/>
    <col min="10" max="10" width="1.59765625" customWidth="1"/>
    <col min="11" max="13" width="4" customWidth="1"/>
    <col min="14" max="14" width="9.59765625" customWidth="1"/>
    <col min="15" max="15" width="8.09765625" customWidth="1"/>
    <col min="16" max="16" width="4.09765625" customWidth="1"/>
    <col min="17" max="17" width="1.59765625" customWidth="1"/>
    <col min="18" max="18" width="4.296875" customWidth="1"/>
    <col min="19" max="19" width="4" customWidth="1"/>
    <col min="20" max="20" width="8.09765625" customWidth="1"/>
    <col min="21" max="21" width="4.09765625" customWidth="1"/>
    <col min="22" max="22" width="1.59765625" customWidth="1"/>
    <col min="23" max="24" width="4.09765625" customWidth="1"/>
    <col min="25" max="30" width="8.59765625" customWidth="1"/>
    <col min="31" max="31" width="17.59765625" customWidth="1"/>
    <col min="32" max="32" width="5.09765625" customWidth="1"/>
    <col min="33" max="33" width="7" customWidth="1"/>
    <col min="34" max="34" width="6.09765625" customWidth="1"/>
    <col min="35" max="35" width="8.09765625" customWidth="1"/>
    <col min="36" max="36" width="7.09765625" customWidth="1"/>
    <col min="37" max="37" width="8.59765625" customWidth="1"/>
    <col min="38" max="38" width="36.296875" customWidth="1"/>
  </cols>
  <sheetData>
    <row r="1" spans="1:38" ht="20.25" customHeight="1">
      <c r="A1" s="999" t="s">
        <v>735</v>
      </c>
      <c r="B1" s="1000"/>
      <c r="C1" s="1000"/>
      <c r="D1" s="1000"/>
      <c r="E1" s="1000"/>
      <c r="F1" s="1000"/>
      <c r="G1" s="1000"/>
      <c r="H1" s="1000"/>
      <c r="I1" s="1000"/>
      <c r="J1" s="1000"/>
      <c r="K1" s="1000"/>
      <c r="L1" s="1000"/>
      <c r="M1" s="1000"/>
      <c r="N1" s="1000"/>
      <c r="O1" s="1000"/>
      <c r="P1" s="1000"/>
      <c r="Q1" s="1000"/>
      <c r="R1" s="1000"/>
      <c r="S1" s="1000"/>
      <c r="T1" s="1000"/>
      <c r="U1" s="1000"/>
      <c r="V1" s="1000"/>
      <c r="W1" s="1000"/>
      <c r="X1" s="1000"/>
      <c r="Y1" s="225"/>
      <c r="Z1" s="225"/>
      <c r="AA1" s="225"/>
      <c r="AB1" s="225"/>
      <c r="AC1" s="225"/>
      <c r="AD1" s="225"/>
      <c r="AE1" s="225"/>
      <c r="AF1" s="1"/>
      <c r="AG1" s="225"/>
      <c r="AH1" s="209"/>
      <c r="AI1" s="225"/>
      <c r="AJ1" s="225"/>
      <c r="AK1" s="225"/>
      <c r="AL1" s="225"/>
    </row>
    <row r="2" spans="1:38" ht="16.5" customHeight="1">
      <c r="A2" s="1001"/>
      <c r="B2" s="1000"/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  <c r="N2" s="1000"/>
      <c r="O2" s="1000"/>
      <c r="P2" s="1000"/>
      <c r="Q2" s="1000"/>
      <c r="R2" s="1000"/>
      <c r="S2" s="1000"/>
      <c r="T2" s="1000"/>
      <c r="U2" s="1000"/>
      <c r="V2" s="1000"/>
      <c r="W2" s="1000"/>
      <c r="X2" s="1000"/>
      <c r="Y2" s="225"/>
      <c r="Z2" s="225"/>
      <c r="AA2" s="225"/>
      <c r="AB2" s="225"/>
      <c r="AC2" s="225"/>
      <c r="AD2" s="225"/>
      <c r="AE2" s="225"/>
      <c r="AF2" s="1"/>
      <c r="AG2" s="225"/>
      <c r="AH2" s="209"/>
      <c r="AI2" s="225"/>
      <c r="AJ2" s="225"/>
      <c r="AK2" s="225"/>
      <c r="AL2" s="225"/>
    </row>
    <row r="3" spans="1:38" ht="16.5" customHeight="1">
      <c r="A3" s="235"/>
      <c r="B3" s="236"/>
      <c r="C3" s="236"/>
      <c r="D3" s="236"/>
      <c r="E3" s="236"/>
      <c r="F3" s="236"/>
      <c r="G3" s="237"/>
      <c r="H3" s="238"/>
      <c r="I3" s="238"/>
      <c r="J3" s="238"/>
      <c r="K3" s="238"/>
      <c r="L3" s="318"/>
      <c r="M3" s="318"/>
      <c r="N3" s="318"/>
      <c r="O3" s="235"/>
      <c r="P3" s="235"/>
      <c r="Q3" s="235"/>
      <c r="R3" s="235"/>
      <c r="S3" s="235"/>
      <c r="T3" s="354"/>
      <c r="U3" s="354"/>
      <c r="V3" s="354"/>
      <c r="W3" s="354"/>
      <c r="X3" s="354"/>
      <c r="Y3" s="310"/>
      <c r="Z3" s="310"/>
      <c r="AA3" s="310"/>
      <c r="AB3" s="310"/>
      <c r="AC3" s="310"/>
      <c r="AD3" s="225"/>
      <c r="AE3" s="225"/>
      <c r="AF3" s="1"/>
      <c r="AG3" s="225"/>
      <c r="AH3" s="209"/>
      <c r="AI3" s="225"/>
      <c r="AJ3" s="225"/>
      <c r="AK3" s="225"/>
      <c r="AL3" s="225"/>
    </row>
    <row r="4" spans="1:38" ht="15.75" customHeight="1">
      <c r="A4" s="239" t="s">
        <v>44</v>
      </c>
      <c r="B4" s="990" t="s">
        <v>659</v>
      </c>
      <c r="C4" s="954"/>
      <c r="D4" s="954"/>
      <c r="E4" s="954"/>
      <c r="F4" s="954"/>
      <c r="G4" s="240"/>
      <c r="H4" s="990" t="s">
        <v>660</v>
      </c>
      <c r="I4" s="954"/>
      <c r="J4" s="954"/>
      <c r="K4" s="955"/>
      <c r="L4" s="240"/>
      <c r="M4" s="319"/>
      <c r="N4" s="319" t="s">
        <v>661</v>
      </c>
      <c r="O4" s="990" t="s">
        <v>662</v>
      </c>
      <c r="P4" s="954"/>
      <c r="Q4" s="954"/>
      <c r="R4" s="955"/>
      <c r="S4" s="240"/>
      <c r="T4" s="990" t="s">
        <v>663</v>
      </c>
      <c r="U4" s="954"/>
      <c r="V4" s="954"/>
      <c r="W4" s="954"/>
      <c r="X4" s="240"/>
      <c r="Y4" s="998" t="s">
        <v>155</v>
      </c>
      <c r="Z4" s="991" t="s">
        <v>664</v>
      </c>
      <c r="AA4" s="991" t="s">
        <v>157</v>
      </c>
      <c r="AB4" s="991" t="s">
        <v>665</v>
      </c>
      <c r="AC4" s="994" t="s">
        <v>159</v>
      </c>
      <c r="AD4" s="310"/>
      <c r="AE4" s="310"/>
      <c r="AF4" s="391"/>
      <c r="AG4" s="391"/>
      <c r="AH4" s="391"/>
      <c r="AI4" s="391"/>
      <c r="AJ4" s="391"/>
      <c r="AK4" s="310"/>
      <c r="AL4" s="310"/>
    </row>
    <row r="5" spans="1:38" ht="52.5" customHeight="1">
      <c r="A5" s="241" t="s">
        <v>666</v>
      </c>
      <c r="B5" s="242"/>
      <c r="C5" s="242"/>
      <c r="D5" s="242"/>
      <c r="E5" s="242"/>
      <c r="F5" s="243"/>
      <c r="G5" s="244"/>
      <c r="H5" s="242"/>
      <c r="I5" s="242"/>
      <c r="J5" s="242"/>
      <c r="K5" s="243"/>
      <c r="L5" s="320"/>
      <c r="M5" s="320"/>
      <c r="N5" s="320"/>
      <c r="O5" s="242"/>
      <c r="P5" s="242"/>
      <c r="Q5" s="242"/>
      <c r="R5" s="242"/>
      <c r="S5" s="244"/>
      <c r="T5" s="242"/>
      <c r="U5" s="242"/>
      <c r="V5" s="242"/>
      <c r="W5" s="243"/>
      <c r="X5" s="244"/>
      <c r="Y5" s="992"/>
      <c r="Z5" s="992"/>
      <c r="AA5" s="992"/>
      <c r="AB5" s="992"/>
      <c r="AC5" s="995"/>
      <c r="AD5" s="310"/>
      <c r="AE5" s="310"/>
      <c r="AF5" s="391"/>
      <c r="AG5" s="391"/>
      <c r="AH5" s="391"/>
      <c r="AI5" s="391"/>
      <c r="AJ5" s="391"/>
      <c r="AK5" s="310"/>
      <c r="AL5" s="310"/>
    </row>
    <row r="6" spans="1:38" ht="16.5" hidden="1" customHeight="1">
      <c r="A6" s="245" t="s">
        <v>667</v>
      </c>
      <c r="B6" s="246"/>
      <c r="C6" s="246"/>
      <c r="D6" s="246"/>
      <c r="E6" s="246"/>
      <c r="F6" s="247"/>
      <c r="G6" s="248"/>
      <c r="H6" s="246"/>
      <c r="I6" s="246"/>
      <c r="J6" s="246"/>
      <c r="K6" s="247"/>
      <c r="L6" s="320"/>
      <c r="M6" s="320"/>
      <c r="N6" s="320"/>
      <c r="O6" s="246"/>
      <c r="P6" s="246"/>
      <c r="Q6" s="246"/>
      <c r="R6" s="246"/>
      <c r="S6" s="248"/>
      <c r="T6" s="246"/>
      <c r="U6" s="246"/>
      <c r="V6" s="246"/>
      <c r="W6" s="247"/>
      <c r="X6" s="248"/>
      <c r="Y6" s="992"/>
      <c r="Z6" s="992"/>
      <c r="AA6" s="992"/>
      <c r="AB6" s="992"/>
      <c r="AC6" s="392"/>
      <c r="AD6" s="310"/>
      <c r="AE6" s="310"/>
      <c r="AF6" s="391"/>
      <c r="AG6" s="391"/>
      <c r="AH6" s="391"/>
      <c r="AI6" s="391"/>
      <c r="AJ6" s="391"/>
      <c r="AK6" s="310"/>
      <c r="AL6" s="310"/>
    </row>
    <row r="7" spans="1:38" ht="16.5" hidden="1" customHeight="1">
      <c r="A7" s="245"/>
      <c r="B7" s="249"/>
      <c r="C7" s="249"/>
      <c r="D7" s="249"/>
      <c r="E7" s="249"/>
      <c r="F7" s="250"/>
      <c r="G7" s="251"/>
      <c r="H7" s="249"/>
      <c r="I7" s="249"/>
      <c r="J7" s="249"/>
      <c r="K7" s="250"/>
      <c r="L7" s="320"/>
      <c r="M7" s="320"/>
      <c r="N7" s="320"/>
      <c r="O7" s="249"/>
      <c r="P7" s="249"/>
      <c r="Q7" s="249"/>
      <c r="R7" s="249"/>
      <c r="S7" s="251"/>
      <c r="T7" s="249"/>
      <c r="U7" s="249"/>
      <c r="V7" s="249"/>
      <c r="W7" s="250"/>
      <c r="X7" s="251"/>
      <c r="Y7" s="992"/>
      <c r="Z7" s="992"/>
      <c r="AA7" s="992"/>
      <c r="AB7" s="992"/>
      <c r="AC7" s="392"/>
      <c r="AD7" s="310"/>
      <c r="AE7" s="310"/>
      <c r="AF7" s="391"/>
      <c r="AG7" s="391"/>
      <c r="AH7" s="391"/>
      <c r="AI7" s="391"/>
      <c r="AJ7" s="391"/>
      <c r="AK7" s="310"/>
      <c r="AL7" s="310"/>
    </row>
    <row r="8" spans="1:38" ht="16.5" hidden="1" customHeight="1">
      <c r="A8" s="252"/>
      <c r="B8" s="253" t="s">
        <v>668</v>
      </c>
      <c r="C8" s="253" t="s">
        <v>669</v>
      </c>
      <c r="D8" s="996" t="s">
        <v>35</v>
      </c>
      <c r="E8" s="954"/>
      <c r="F8" s="954"/>
      <c r="G8" s="254"/>
      <c r="H8" s="253" t="s">
        <v>669</v>
      </c>
      <c r="I8" s="997" t="str">
        <f>P8</f>
        <v>Time</v>
      </c>
      <c r="J8" s="987"/>
      <c r="K8" s="951"/>
      <c r="L8" s="321"/>
      <c r="M8" s="321"/>
      <c r="N8" s="321"/>
      <c r="O8" s="253" t="s">
        <v>669</v>
      </c>
      <c r="P8" s="996" t="s">
        <v>35</v>
      </c>
      <c r="Q8" s="954"/>
      <c r="R8" s="955"/>
      <c r="S8" s="254"/>
      <c r="T8" s="253" t="s">
        <v>669</v>
      </c>
      <c r="U8" s="996" t="s">
        <v>35</v>
      </c>
      <c r="V8" s="954"/>
      <c r="W8" s="954"/>
      <c r="X8" s="355"/>
      <c r="Y8" s="993"/>
      <c r="Z8" s="993"/>
      <c r="AA8" s="993"/>
      <c r="AB8" s="993"/>
      <c r="AC8" s="393"/>
      <c r="AD8" s="310"/>
      <c r="AE8" s="310"/>
      <c r="AF8" s="391"/>
      <c r="AG8" s="391"/>
      <c r="AH8" s="391"/>
      <c r="AI8" s="391"/>
      <c r="AJ8" s="391"/>
      <c r="AK8" s="310"/>
      <c r="AL8" s="310"/>
    </row>
    <row r="9" spans="1:38" ht="15.75" customHeight="1">
      <c r="A9" s="241">
        <v>44931</v>
      </c>
      <c r="B9" s="255">
        <f>1.2+0.25</f>
        <v>1.45</v>
      </c>
      <c r="C9" s="256">
        <v>1.45</v>
      </c>
      <c r="D9" s="257">
        <v>0.33680555555555602</v>
      </c>
      <c r="E9" s="258" t="s">
        <v>145</v>
      </c>
      <c r="F9" s="259">
        <v>0.38680555555555601</v>
      </c>
      <c r="G9" s="260">
        <f>F9-D9</f>
        <v>4.9999999999999989E-2</v>
      </c>
      <c r="H9" s="255">
        <f>1+25/60+0.25</f>
        <v>1.6666666666666667</v>
      </c>
      <c r="I9" s="322">
        <v>0.33680555555555602</v>
      </c>
      <c r="J9" s="323" t="s">
        <v>145</v>
      </c>
      <c r="K9" s="324">
        <v>0.39583333333333298</v>
      </c>
      <c r="L9" s="260">
        <f>K9-I9</f>
        <v>5.9027777777776957E-2</v>
      </c>
      <c r="M9" s="325">
        <v>1</v>
      </c>
      <c r="N9" s="325" t="s">
        <v>736</v>
      </c>
      <c r="O9" s="326"/>
      <c r="P9" s="296"/>
      <c r="Q9" s="356"/>
      <c r="R9" s="297"/>
      <c r="S9" s="325"/>
      <c r="T9" s="326"/>
      <c r="U9" s="257"/>
      <c r="V9" s="258"/>
      <c r="W9" s="259"/>
      <c r="X9" s="260"/>
      <c r="Y9" s="394" t="s">
        <v>671</v>
      </c>
      <c r="Z9" s="394" t="s">
        <v>671</v>
      </c>
      <c r="AA9" s="394" t="s">
        <v>671</v>
      </c>
      <c r="AB9" s="394" t="s">
        <v>671</v>
      </c>
      <c r="AC9" s="395" t="s">
        <v>672</v>
      </c>
      <c r="AD9" s="310"/>
      <c r="AE9" s="310"/>
      <c r="AF9" s="391"/>
      <c r="AG9" s="391"/>
      <c r="AH9" s="391"/>
      <c r="AI9" s="391"/>
      <c r="AJ9" s="391"/>
      <c r="AK9" s="310"/>
      <c r="AL9" s="310"/>
    </row>
    <row r="10" spans="1:38" ht="15" customHeight="1">
      <c r="A10" s="245"/>
      <c r="B10" s="261">
        <f>0.5+0.25</f>
        <v>0.75</v>
      </c>
      <c r="C10" s="262"/>
      <c r="D10" s="263">
        <v>0.40625</v>
      </c>
      <c r="E10" s="264" t="s">
        <v>145</v>
      </c>
      <c r="F10" s="265">
        <v>0.42708333333333298</v>
      </c>
      <c r="G10" s="260">
        <f>F10-D10</f>
        <v>2.0833333333332982E-2</v>
      </c>
      <c r="H10" s="261">
        <f>1.5</f>
        <v>1.5</v>
      </c>
      <c r="I10" s="327">
        <v>0.39583333333333298</v>
      </c>
      <c r="J10" s="328"/>
      <c r="K10" s="329">
        <v>0.45833333333333298</v>
      </c>
      <c r="L10" s="260">
        <f>K10-I10</f>
        <v>6.25E-2</v>
      </c>
      <c r="M10" s="330"/>
      <c r="N10" s="330" t="s">
        <v>737</v>
      </c>
      <c r="O10" s="331"/>
      <c r="P10" s="332"/>
      <c r="Q10" s="357"/>
      <c r="R10" s="358"/>
      <c r="S10" s="330"/>
      <c r="T10" s="261">
        <f>0.5+0.25</f>
        <v>0.75</v>
      </c>
      <c r="U10" s="263">
        <v>0.40625</v>
      </c>
      <c r="V10" s="264" t="s">
        <v>145</v>
      </c>
      <c r="W10" s="265">
        <v>0.42708333333333298</v>
      </c>
      <c r="X10" s="260">
        <f>W10-U10</f>
        <v>2.0833333333332982E-2</v>
      </c>
      <c r="Y10" s="396" t="s">
        <v>674</v>
      </c>
      <c r="Z10" s="397"/>
      <c r="AA10" s="396" t="s">
        <v>674</v>
      </c>
      <c r="AB10" s="398"/>
      <c r="AC10" s="399"/>
      <c r="AD10" s="310"/>
      <c r="AE10" s="310"/>
      <c r="AF10" s="400"/>
      <c r="AG10" s="391" t="s">
        <v>738</v>
      </c>
      <c r="AH10" s="391"/>
      <c r="AI10" s="391" t="s">
        <v>739</v>
      </c>
      <c r="AJ10" s="391" t="s">
        <v>740</v>
      </c>
      <c r="AK10" s="310"/>
      <c r="AL10" s="440" t="s">
        <v>676</v>
      </c>
    </row>
    <row r="11" spans="1:38" ht="15" customHeight="1">
      <c r="A11" s="266" t="s">
        <v>677</v>
      </c>
      <c r="B11" s="267"/>
      <c r="C11" s="268"/>
      <c r="D11" s="269"/>
      <c r="E11" s="270"/>
      <c r="F11" s="271"/>
      <c r="G11" s="260"/>
      <c r="H11" s="272">
        <f>1+26/60+0.25</f>
        <v>1.6833333333333333</v>
      </c>
      <c r="I11" s="263">
        <v>0.47222222222222199</v>
      </c>
      <c r="J11" s="264" t="s">
        <v>145</v>
      </c>
      <c r="K11" s="265">
        <v>0.55972222222222201</v>
      </c>
      <c r="L11" s="260">
        <f>K11-I11</f>
        <v>8.7500000000000022E-2</v>
      </c>
      <c r="M11" s="330"/>
      <c r="N11" s="330" t="s">
        <v>149</v>
      </c>
      <c r="O11" s="333"/>
      <c r="P11" s="269"/>
      <c r="Q11" s="270"/>
      <c r="R11" s="359"/>
      <c r="S11" s="341"/>
      <c r="T11" s="333"/>
      <c r="U11" s="269"/>
      <c r="V11" s="270"/>
      <c r="W11" s="271"/>
      <c r="X11" s="260"/>
      <c r="Y11" s="401"/>
      <c r="Z11" s="402"/>
      <c r="AA11" s="401"/>
      <c r="AB11" s="403"/>
      <c r="AC11" s="404" t="s">
        <v>679</v>
      </c>
      <c r="AD11" s="310"/>
      <c r="AE11" s="405" t="s">
        <v>475</v>
      </c>
      <c r="AF11" s="406">
        <v>3</v>
      </c>
      <c r="AG11" s="441" t="e">
        <f>SUMIF(C$10:C$53,AF11,G$10:G$53)*24+SUMIF(H$10:H$53,AF11,L$10:L$53)*24+SUMIF(N$10:N$53,AF11,R$10:R$53)*24+SUMIF(S$10:S$53,AF11,W$10:W$53)*24+SUMIF(X$10:X$53,AF11,AB$10:AB$53)*24+SUMIF(AC$10:AC$53,AF11,#REF!)*24+SUMIF(#REF!,AF11,#REF!)*24+SUMIF(#REF!,AF11,#REF!)*24</f>
        <v>#REF!</v>
      </c>
      <c r="AH11" s="441"/>
      <c r="AI11" s="442">
        <f t="shared" ref="AI11:AI88" si="0">COUNTIF($C$10:$AC$53,AF11)</f>
        <v>0</v>
      </c>
      <c r="AJ11" s="441" t="e">
        <f t="shared" ref="AJ11:AJ88" si="1">AG11+AI11*1/6+AH11</f>
        <v>#REF!</v>
      </c>
      <c r="AK11" s="310"/>
      <c r="AL11" s="443" t="s">
        <v>680</v>
      </c>
    </row>
    <row r="12" spans="1:38" ht="15" customHeight="1">
      <c r="A12" s="241">
        <v>44932</v>
      </c>
      <c r="B12" s="255">
        <v>1.45</v>
      </c>
      <c r="C12" s="256">
        <v>1.45</v>
      </c>
      <c r="D12" s="257">
        <v>0.33680555555555602</v>
      </c>
      <c r="E12" s="258" t="s">
        <v>145</v>
      </c>
      <c r="F12" s="259">
        <v>0.38680555555555601</v>
      </c>
      <c r="G12" s="260">
        <f>F12-D12</f>
        <v>4.9999999999999989E-2</v>
      </c>
      <c r="H12" s="273"/>
      <c r="I12" s="257"/>
      <c r="J12" s="258"/>
      <c r="K12" s="259"/>
      <c r="L12" s="260"/>
      <c r="M12" s="325"/>
      <c r="N12" s="325"/>
      <c r="O12" s="326"/>
      <c r="P12" s="296"/>
      <c r="Q12" s="356"/>
      <c r="R12" s="297"/>
      <c r="S12" s="325"/>
      <c r="T12" s="326"/>
      <c r="U12" s="257"/>
      <c r="V12" s="258"/>
      <c r="W12" s="259"/>
      <c r="X12" s="325"/>
      <c r="Y12" s="394" t="s">
        <v>671</v>
      </c>
      <c r="Z12" s="394" t="s">
        <v>671</v>
      </c>
      <c r="AA12" s="394" t="s">
        <v>671</v>
      </c>
      <c r="AB12" s="395"/>
      <c r="AC12" s="395"/>
      <c r="AD12" s="310"/>
      <c r="AE12" s="407" t="s">
        <v>476</v>
      </c>
      <c r="AF12" s="220">
        <v>4</v>
      </c>
      <c r="AG12" s="441" t="e">
        <f>SUMIF(C$10:C$53,AF12,G$10:G$53)*24+SUMIF(H$10:H$53,AF12,L$10:L$53)*24+SUMIF(N$10:N$53,AF12,R$10:R$53)*24+SUMIF(S$10:S$53,AF12,W$10:W$53)*24+SUMIF(X$10:X$53,AF12,AB$10:AB$53)*24+SUMIF(AC$10:AC$53,AF12,#REF!)*24+SUMIF(#REF!,AF12,#REF!)*24+SUMIF(#REF!,AF12,#REF!)*24</f>
        <v>#REF!</v>
      </c>
      <c r="AH12" s="441"/>
      <c r="AI12" s="442">
        <f t="shared" si="0"/>
        <v>0</v>
      </c>
      <c r="AJ12" s="441" t="e">
        <f t="shared" si="1"/>
        <v>#REF!</v>
      </c>
      <c r="AK12" s="310"/>
      <c r="AL12" s="443" t="s">
        <v>681</v>
      </c>
    </row>
    <row r="13" spans="1:38" ht="15" customHeight="1">
      <c r="A13" s="220"/>
      <c r="B13" s="261">
        <v>1.75</v>
      </c>
      <c r="C13" s="274">
        <v>1.75</v>
      </c>
      <c r="D13" s="275">
        <v>0.40625</v>
      </c>
      <c r="E13" s="276" t="s">
        <v>145</v>
      </c>
      <c r="F13" s="277">
        <v>0.46875</v>
      </c>
      <c r="G13" s="260">
        <f>F13-D13</f>
        <v>6.25E-2</v>
      </c>
      <c r="H13" s="261">
        <f>1+35/60+0.25</f>
        <v>1.8333333333333335</v>
      </c>
      <c r="I13" s="257">
        <v>0.40625</v>
      </c>
      <c r="J13" s="258" t="s">
        <v>145</v>
      </c>
      <c r="K13" s="259">
        <v>0.47222222222222199</v>
      </c>
      <c r="L13" s="260">
        <f>K13-I13</f>
        <v>6.5972222222221988E-2</v>
      </c>
      <c r="M13" s="330"/>
      <c r="N13" s="330" t="s">
        <v>148</v>
      </c>
      <c r="O13" s="331"/>
      <c r="P13" s="332"/>
      <c r="Q13" s="357"/>
      <c r="R13" s="358"/>
      <c r="S13" s="330"/>
      <c r="T13" s="331"/>
      <c r="U13" s="282"/>
      <c r="V13" s="283"/>
      <c r="W13" s="284"/>
      <c r="X13" s="330"/>
      <c r="Y13" s="398" t="s">
        <v>683</v>
      </c>
      <c r="Z13" s="398" t="s">
        <v>683</v>
      </c>
      <c r="AA13" s="398" t="s">
        <v>684</v>
      </c>
      <c r="AB13" s="395" t="s">
        <v>684</v>
      </c>
      <c r="AC13" s="395" t="s">
        <v>685</v>
      </c>
      <c r="AD13" s="310"/>
      <c r="AE13" s="407" t="s">
        <v>477</v>
      </c>
      <c r="AF13" s="220">
        <v>5</v>
      </c>
      <c r="AG13" s="441" t="e">
        <f>SUMIF(C$10:C$53,AF13,G$10:G$53)*24+SUMIF(H$10:H$53,AF13,L$10:L$53)*24+SUMIF(N$10:N$53,AF13,R$10:R$53)*24+SUMIF(S$10:S$53,AF13,W$10:W$53)*24+SUMIF(X$10:X$53,AF13,AB$10:AB$53)*24+SUMIF(AC$10:AC$53,AF13,#REF!)*24+SUMIF(#REF!,AF13,#REF!)*24+SUMIF(#REF!,AF13,#REF!)*24</f>
        <v>#REF!</v>
      </c>
      <c r="AH13" s="441"/>
      <c r="AI13" s="442">
        <f t="shared" si="0"/>
        <v>0</v>
      </c>
      <c r="AJ13" s="441" t="e">
        <f t="shared" si="1"/>
        <v>#REF!</v>
      </c>
      <c r="AK13" s="310"/>
      <c r="AL13" s="444" t="s">
        <v>686</v>
      </c>
    </row>
    <row r="14" spans="1:38" ht="15" customHeight="1">
      <c r="A14" s="222" t="s">
        <v>687</v>
      </c>
      <c r="B14" s="267"/>
      <c r="C14" s="268"/>
      <c r="D14" s="275"/>
      <c r="E14" s="276"/>
      <c r="F14" s="277"/>
      <c r="G14" s="260"/>
      <c r="H14" s="272">
        <f>1.25</f>
        <v>1.25</v>
      </c>
      <c r="I14" s="263">
        <v>0.47916666666666702</v>
      </c>
      <c r="J14" s="264" t="s">
        <v>145</v>
      </c>
      <c r="K14" s="265">
        <v>0.52083333333333304</v>
      </c>
      <c r="L14" s="260">
        <f>K14-I14</f>
        <v>4.1666666666666019E-2</v>
      </c>
      <c r="M14" s="330"/>
      <c r="N14" s="330"/>
      <c r="O14" s="333"/>
      <c r="P14" s="269"/>
      <c r="Q14" s="270"/>
      <c r="R14" s="359"/>
      <c r="S14" s="341"/>
      <c r="T14" s="333"/>
      <c r="U14" s="269"/>
      <c r="V14" s="270"/>
      <c r="W14" s="271"/>
      <c r="X14" s="341"/>
      <c r="Y14" s="401"/>
      <c r="Z14" s="401"/>
      <c r="AA14" s="401"/>
      <c r="AB14" s="408" t="s">
        <v>689</v>
      </c>
      <c r="AC14" s="403"/>
      <c r="AD14" s="310"/>
      <c r="AE14" s="407" t="s">
        <v>478</v>
      </c>
      <c r="AF14" s="220">
        <v>22</v>
      </c>
      <c r="AG14" s="441" t="e">
        <f>SUMIF(C$10:C$53,AF14,G$10:G$53)*24+SUMIF(H$10:H$53,AF14,L$10:L$53)*24+SUMIF(N$10:N$53,AF14,R$10:R$53)*24+SUMIF(S$10:S$53,AF14,W$10:W$53)*24+SUMIF(X$10:X$53,AF14,AB$10:AB$53)*24+SUMIF(AC$10:AC$53,AF14,#REF!)*24+SUMIF(#REF!,AF14,#REF!)*24+SUMIF(#REF!,AF14,#REF!)*24</f>
        <v>#REF!</v>
      </c>
      <c r="AH14" s="441"/>
      <c r="AI14" s="442">
        <f t="shared" si="0"/>
        <v>0</v>
      </c>
      <c r="AJ14" s="441" t="e">
        <f t="shared" si="1"/>
        <v>#REF!</v>
      </c>
      <c r="AK14" s="310"/>
      <c r="AL14" s="443" t="s">
        <v>690</v>
      </c>
    </row>
    <row r="15" spans="1:38" ht="15" customHeight="1">
      <c r="A15" s="241">
        <v>44935</v>
      </c>
      <c r="B15" s="255">
        <v>1.45</v>
      </c>
      <c r="C15" s="256">
        <v>1.45</v>
      </c>
      <c r="D15" s="257">
        <v>0.34375</v>
      </c>
      <c r="E15" s="258" t="s">
        <v>145</v>
      </c>
      <c r="F15" s="259">
        <v>0.39374999999999999</v>
      </c>
      <c r="G15" s="260">
        <f>F15-D15</f>
        <v>4.9999999999999989E-2</v>
      </c>
      <c r="H15" s="255">
        <f>2+0.25</f>
        <v>2.25</v>
      </c>
      <c r="I15" s="322">
        <v>0.34375</v>
      </c>
      <c r="J15" s="323" t="s">
        <v>145</v>
      </c>
      <c r="K15" s="324">
        <v>0.42708333333333298</v>
      </c>
      <c r="L15" s="260">
        <f>K15-I15</f>
        <v>8.3333333333332982E-2</v>
      </c>
      <c r="M15" s="325"/>
      <c r="N15" s="325" t="s">
        <v>741</v>
      </c>
      <c r="O15" s="334"/>
      <c r="P15" s="335"/>
      <c r="Q15" s="360"/>
      <c r="R15" s="361"/>
      <c r="S15" s="336"/>
      <c r="T15" s="334"/>
      <c r="U15" s="335"/>
      <c r="V15" s="360"/>
      <c r="W15" s="361"/>
      <c r="X15" s="362"/>
      <c r="Y15" s="409" t="s">
        <v>692</v>
      </c>
      <c r="Z15" s="409" t="s">
        <v>692</v>
      </c>
      <c r="AA15" s="410" t="s">
        <v>692</v>
      </c>
      <c r="AB15" s="411" t="s">
        <v>693</v>
      </c>
      <c r="AC15" s="411" t="s">
        <v>694</v>
      </c>
      <c r="AD15" s="310"/>
      <c r="AE15" s="412" t="s">
        <v>479</v>
      </c>
      <c r="AF15" s="220">
        <v>25</v>
      </c>
      <c r="AG15" s="441" t="e">
        <f>SUMIF(C$10:C$53,AF15,G$10:G$53)*24+SUMIF(H$10:H$53,AF15,L$10:L$53)*24+SUMIF(N$10:N$53,AF15,R$10:R$53)*24+SUMIF(S$10:S$53,AF15,W$10:W$53)*24+SUMIF(X$10:X$53,AF15,AB$10:AB$53)*24+SUMIF(AC$10:AC$53,AF15,#REF!)*24+SUMIF(#REF!,AF15,#REF!)*24+SUMIF(#REF!,AF15,#REF!)*24</f>
        <v>#REF!</v>
      </c>
      <c r="AH15" s="441"/>
      <c r="AI15" s="442">
        <f t="shared" si="0"/>
        <v>0</v>
      </c>
      <c r="AJ15" s="441" t="e">
        <f t="shared" si="1"/>
        <v>#REF!</v>
      </c>
      <c r="AK15" s="310"/>
      <c r="AL15" s="443" t="s">
        <v>695</v>
      </c>
    </row>
    <row r="16" spans="1:38" ht="15" customHeight="1">
      <c r="A16" s="245"/>
      <c r="B16" s="261">
        <v>1.45</v>
      </c>
      <c r="C16" s="262"/>
      <c r="D16" s="269">
        <v>0.41666666666666702</v>
      </c>
      <c r="E16" s="276" t="s">
        <v>145</v>
      </c>
      <c r="F16" s="271">
        <v>0.46666666666666701</v>
      </c>
      <c r="G16" s="260">
        <f>F16-D16</f>
        <v>4.9999999999999989E-2</v>
      </c>
      <c r="H16" s="261">
        <f>2</f>
        <v>2</v>
      </c>
      <c r="I16" s="322">
        <v>0.42708333333333298</v>
      </c>
      <c r="J16" s="323" t="s">
        <v>145</v>
      </c>
      <c r="K16" s="324">
        <v>0.51041666666666696</v>
      </c>
      <c r="L16" s="260">
        <f>K16-I16</f>
        <v>8.3333333333333981E-2</v>
      </c>
      <c r="M16" s="336"/>
      <c r="N16" s="336"/>
      <c r="O16" s="334"/>
      <c r="P16" s="335"/>
      <c r="Q16" s="360"/>
      <c r="R16" s="363"/>
      <c r="S16" s="336"/>
      <c r="T16" s="334"/>
      <c r="U16" s="335"/>
      <c r="V16" s="360"/>
      <c r="W16" s="363"/>
      <c r="X16" s="362"/>
      <c r="Y16" s="409"/>
      <c r="Z16" s="409"/>
      <c r="AA16" s="410" t="s">
        <v>697</v>
      </c>
      <c r="AB16" s="411" t="s">
        <v>698</v>
      </c>
      <c r="AC16" s="411"/>
      <c r="AD16" s="310"/>
      <c r="AE16" s="407" t="s">
        <v>480</v>
      </c>
      <c r="AF16" s="220">
        <v>32</v>
      </c>
      <c r="AG16" s="441" t="e">
        <f>SUMIF(C$10:C$53,AF16,G$10:G$53)*24+SUMIF(H$10:H$53,AF16,L$10:L$53)*24+SUMIF(N$10:N$53,AF16,R$10:R$53)*24+SUMIF(S$10:S$53,AF16,W$10:W$53)*24+SUMIF(X$10:X$53,AF16,AB$10:AB$53)*24+SUMIF(AC$10:AC$53,AF16,#REF!)*24+SUMIF(#REF!,AF16,#REF!)*24+SUMIF(#REF!,AF16,#REF!)*24</f>
        <v>#REF!</v>
      </c>
      <c r="AH16" s="441"/>
      <c r="AI16" s="442">
        <f t="shared" si="0"/>
        <v>0</v>
      </c>
      <c r="AJ16" s="441" t="e">
        <f t="shared" si="1"/>
        <v>#REF!</v>
      </c>
      <c r="AK16" s="310"/>
      <c r="AL16" s="443" t="s">
        <v>699</v>
      </c>
    </row>
    <row r="17" spans="1:38" ht="15" customHeight="1">
      <c r="A17" s="266" t="s">
        <v>452</v>
      </c>
      <c r="B17" s="278"/>
      <c r="C17" s="279"/>
      <c r="D17" s="269"/>
      <c r="E17" s="276"/>
      <c r="F17" s="271"/>
      <c r="G17" s="260"/>
      <c r="H17" s="278"/>
      <c r="I17" s="269"/>
      <c r="J17" s="270"/>
      <c r="K17" s="271"/>
      <c r="L17" s="337"/>
      <c r="M17" s="336"/>
      <c r="N17" s="336"/>
      <c r="O17" s="334"/>
      <c r="P17" s="338"/>
      <c r="Q17" s="364"/>
      <c r="R17" s="365"/>
      <c r="S17" s="337"/>
      <c r="T17" s="334"/>
      <c r="U17" s="338"/>
      <c r="V17" s="364"/>
      <c r="W17" s="365"/>
      <c r="X17" s="337"/>
      <c r="Y17" s="413"/>
      <c r="Z17" s="413"/>
      <c r="AA17" s="414"/>
      <c r="AB17" s="415"/>
      <c r="AC17" s="416"/>
      <c r="AD17" s="310"/>
      <c r="AE17" s="407" t="s">
        <v>481</v>
      </c>
      <c r="AF17" s="220">
        <v>37</v>
      </c>
      <c r="AG17" s="441" t="e">
        <f>SUMIF(C$10:C$53,AF17,G$10:G$53)*24+SUMIF(H$10:H$53,AF17,L$10:L$53)*24+SUMIF(N$10:N$53,AF17,R$10:R$53)*24+SUMIF(S$10:S$53,AF17,W$10:W$53)*24+SUMIF(X$10:X$53,AF17,AB$10:AB$53)*24+SUMIF(AC$10:AC$53,AF17,#REF!)*24+SUMIF(#REF!,AF17,#REF!)*24+SUMIF(#REF!,AF17,#REF!)*24</f>
        <v>#REF!</v>
      </c>
      <c r="AH17" s="441"/>
      <c r="AI17" s="442">
        <f t="shared" si="0"/>
        <v>0</v>
      </c>
      <c r="AJ17" s="441" t="e">
        <f t="shared" si="1"/>
        <v>#REF!</v>
      </c>
      <c r="AK17" s="310"/>
      <c r="AL17" s="445" t="s">
        <v>700</v>
      </c>
    </row>
    <row r="18" spans="1:38" ht="15" customHeight="1">
      <c r="A18" s="241">
        <v>44936</v>
      </c>
      <c r="B18" s="255">
        <f>1+2/60+0.25</f>
        <v>1.2833333333333334</v>
      </c>
      <c r="C18" s="280"/>
      <c r="D18" s="257">
        <v>0.34375</v>
      </c>
      <c r="E18" s="258" t="s">
        <v>145</v>
      </c>
      <c r="F18" s="259">
        <v>0.38680555555555601</v>
      </c>
      <c r="G18" s="260">
        <f>F18-D18</f>
        <v>4.3055555555556013E-2</v>
      </c>
      <c r="H18" s="255">
        <f>1+55/60+0.25</f>
        <v>2.1666666666666665</v>
      </c>
      <c r="I18" s="322">
        <v>0.33680555555555602</v>
      </c>
      <c r="J18" s="323" t="s">
        <v>145</v>
      </c>
      <c r="K18" s="324">
        <v>0.41666666666666702</v>
      </c>
      <c r="L18" s="260">
        <f>K18-I18</f>
        <v>7.9861111111110994E-2</v>
      </c>
      <c r="M18" s="325"/>
      <c r="N18" s="325" t="s">
        <v>741</v>
      </c>
      <c r="O18" s="326"/>
      <c r="P18" s="296"/>
      <c r="Q18" s="356"/>
      <c r="R18" s="297"/>
      <c r="S18" s="325"/>
      <c r="T18" s="326"/>
      <c r="U18" s="296"/>
      <c r="V18" s="356"/>
      <c r="W18" s="366"/>
      <c r="X18" s="260"/>
      <c r="Y18" s="394" t="s">
        <v>215</v>
      </c>
      <c r="Z18" s="394" t="s">
        <v>215</v>
      </c>
      <c r="AA18" s="394" t="s">
        <v>671</v>
      </c>
      <c r="AB18" s="395" t="s">
        <v>701</v>
      </c>
      <c r="AC18" s="395" t="s">
        <v>702</v>
      </c>
      <c r="AD18" s="310"/>
      <c r="AE18" s="417" t="s">
        <v>482</v>
      </c>
      <c r="AF18" s="222">
        <v>39</v>
      </c>
      <c r="AG18" s="441" t="e">
        <f>SUMIF(C$10:C$53,AF18,G$10:G$53)*24+SUMIF(H$10:H$53,AF18,L$10:L$53)*24+SUMIF(N$10:N$53,AF18,R$10:R$53)*24+SUMIF(S$10:S$53,AF18,W$10:W$53)*24+SUMIF(X$10:X$53,AF18,AB$10:AB$53)*24+SUMIF(AC$10:AC$53,AF18,#REF!)*24+SUMIF(#REF!,AF18,#REF!)*24+SUMIF(#REF!,AF18,#REF!)*24</f>
        <v>#REF!</v>
      </c>
      <c r="AH18" s="441"/>
      <c r="AI18" s="442">
        <f t="shared" si="0"/>
        <v>0</v>
      </c>
      <c r="AJ18" s="441" t="e">
        <f t="shared" si="1"/>
        <v>#REF!</v>
      </c>
      <c r="AK18" s="310"/>
      <c r="AL18" s="310"/>
    </row>
    <row r="19" spans="1:38" ht="15" customHeight="1">
      <c r="A19" s="245"/>
      <c r="B19" s="261">
        <v>0.75</v>
      </c>
      <c r="C19" s="262"/>
      <c r="D19" s="263">
        <v>0.40625</v>
      </c>
      <c r="E19" s="264" t="s">
        <v>145</v>
      </c>
      <c r="F19" s="265">
        <v>0.42708333333333298</v>
      </c>
      <c r="G19" s="260">
        <f>F19-D19</f>
        <v>2.0833333333332982E-2</v>
      </c>
      <c r="H19" s="261">
        <v>2</v>
      </c>
      <c r="I19" s="322">
        <v>0.41666666666666702</v>
      </c>
      <c r="J19" s="323" t="s">
        <v>145</v>
      </c>
      <c r="K19" s="324">
        <v>0.5</v>
      </c>
      <c r="L19" s="260">
        <f>K19-I19</f>
        <v>8.3333333333332982E-2</v>
      </c>
      <c r="M19" s="336"/>
      <c r="N19" s="336"/>
      <c r="O19" s="334"/>
      <c r="P19" s="335"/>
      <c r="Q19" s="360"/>
      <c r="R19" s="363"/>
      <c r="S19" s="336"/>
      <c r="T19" s="334"/>
      <c r="U19" s="335"/>
      <c r="V19" s="360"/>
      <c r="W19" s="363"/>
      <c r="X19" s="362"/>
      <c r="Y19" s="409"/>
      <c r="Z19" s="409"/>
      <c r="AA19" s="418" t="s">
        <v>674</v>
      </c>
      <c r="AB19" s="411"/>
      <c r="AC19" s="411"/>
      <c r="AD19" s="310"/>
      <c r="AE19" s="405" t="s">
        <v>483</v>
      </c>
      <c r="AF19" s="406">
        <v>49</v>
      </c>
      <c r="AG19" s="441" t="e">
        <f>SUMIF(C$10:C$53,AF19,G$10:G$53)*24+SUMIF(H$10:H$53,AF19,L$10:L$53)*24+SUMIF(N$10:N$53,AF19,R$10:R$53)*24+SUMIF(S$10:S$53,AF19,W$10:W$53)*24+SUMIF(X$10:X$53,AF19,AB$10:AB$53)*24+SUMIF(AC$10:AC$53,AF19,#REF!)*24+SUMIF(#REF!,AF19,#REF!)*24+SUMIF(#REF!,AF19,#REF!)*24</f>
        <v>#REF!</v>
      </c>
      <c r="AH19" s="441"/>
      <c r="AI19" s="442">
        <f t="shared" si="0"/>
        <v>0</v>
      </c>
      <c r="AJ19" s="441" t="e">
        <f t="shared" si="1"/>
        <v>#REF!</v>
      </c>
      <c r="AK19" s="310"/>
      <c r="AL19" s="310"/>
    </row>
    <row r="20" spans="1:38" ht="15" customHeight="1">
      <c r="A20" s="245"/>
      <c r="B20" s="281"/>
      <c r="C20" s="262"/>
      <c r="D20" s="282"/>
      <c r="E20" s="283"/>
      <c r="F20" s="284"/>
      <c r="G20" s="260"/>
      <c r="H20" s="261">
        <f>1+27/60</f>
        <v>1.45</v>
      </c>
      <c r="I20" s="322">
        <v>0.5</v>
      </c>
      <c r="J20" s="323" t="s">
        <v>145</v>
      </c>
      <c r="K20" s="324">
        <v>0.56041666666666701</v>
      </c>
      <c r="L20" s="260">
        <f>K20-I20</f>
        <v>6.0416666666667007E-2</v>
      </c>
      <c r="M20" s="336"/>
      <c r="N20" s="336"/>
      <c r="O20" s="334"/>
      <c r="P20" s="335"/>
      <c r="Q20" s="360"/>
      <c r="R20" s="363"/>
      <c r="S20" s="336"/>
      <c r="T20" s="334"/>
      <c r="U20" s="335"/>
      <c r="V20" s="360"/>
      <c r="W20" s="363"/>
      <c r="X20" s="362"/>
      <c r="Y20" s="409"/>
      <c r="Z20" s="409"/>
      <c r="AA20" s="409"/>
      <c r="AB20" s="411"/>
      <c r="AC20" s="411"/>
      <c r="AD20" s="310"/>
      <c r="AE20" s="407" t="s">
        <v>485</v>
      </c>
      <c r="AF20" s="220">
        <v>67</v>
      </c>
      <c r="AG20" s="441" t="e">
        <f>SUMIF(C$10:C$53,AF20,G$10:G$53)*24+SUMIF(H$10:H$53,AF20,L$10:L$53)*24+SUMIF(N$10:N$53,AF20,R$10:R$53)*24+SUMIF(S$10:S$53,AF20,W$10:W$53)*24+SUMIF(X$10:X$53,AF20,AB$10:AB$53)*24+SUMIF(AC$10:AC$53,AF20,#REF!)*24+SUMIF(#REF!,AF20,#REF!)*24+SUMIF(#REF!,AF20,#REF!)*24</f>
        <v>#REF!</v>
      </c>
      <c r="AH20" s="441"/>
      <c r="AI20" s="442">
        <f t="shared" si="0"/>
        <v>0</v>
      </c>
      <c r="AJ20" s="441" t="e">
        <f t="shared" si="1"/>
        <v>#REF!</v>
      </c>
      <c r="AK20" s="310"/>
      <c r="AL20" s="310"/>
    </row>
    <row r="21" spans="1:38" ht="15" customHeight="1">
      <c r="A21" s="266" t="s">
        <v>704</v>
      </c>
      <c r="B21" s="267"/>
      <c r="C21" s="268"/>
      <c r="D21" s="269"/>
      <c r="E21" s="270"/>
      <c r="F21" s="271"/>
      <c r="G21" s="260"/>
      <c r="H21" s="267"/>
      <c r="I21" s="275"/>
      <c r="J21" s="276"/>
      <c r="K21" s="277"/>
      <c r="L21" s="337"/>
      <c r="M21" s="339"/>
      <c r="N21" s="339"/>
      <c r="O21" s="340"/>
      <c r="P21" s="338"/>
      <c r="Q21" s="364"/>
      <c r="R21" s="365"/>
      <c r="S21" s="339"/>
      <c r="T21" s="340"/>
      <c r="U21" s="338"/>
      <c r="V21" s="364"/>
      <c r="W21" s="365"/>
      <c r="X21" s="337"/>
      <c r="Y21" s="409"/>
      <c r="Z21" s="409"/>
      <c r="AA21" s="413"/>
      <c r="AB21" s="413" t="s">
        <v>705</v>
      </c>
      <c r="AC21" s="416"/>
      <c r="AD21" s="310"/>
      <c r="AE21" s="407" t="s">
        <v>487</v>
      </c>
      <c r="AF21" s="220">
        <v>72</v>
      </c>
      <c r="AG21" s="441" t="e">
        <f>SUMIF(C$10:C$53,AF21,G$10:G$53)*24+SUMIF(H$10:H$53,AF21,L$10:L$53)*24+SUMIF(N$10:N$53,AF21,R$10:R$53)*24+SUMIF(S$10:S$53,AF21,W$10:W$53)*24+SUMIF(X$10:X$53,AF21,AB$10:AB$53)*24+SUMIF(AC$10:AC$53,AF21,#REF!)*24+SUMIF(#REF!,AF21,#REF!)*24+SUMIF(#REF!,AF21,#REF!)*24</f>
        <v>#REF!</v>
      </c>
      <c r="AH21" s="441"/>
      <c r="AI21" s="442">
        <f t="shared" si="0"/>
        <v>0</v>
      </c>
      <c r="AJ21" s="441" t="e">
        <f t="shared" si="1"/>
        <v>#REF!</v>
      </c>
      <c r="AK21" s="310"/>
      <c r="AL21" s="310"/>
    </row>
    <row r="22" spans="1:38" ht="15" customHeight="1">
      <c r="A22" s="241">
        <v>44937</v>
      </c>
      <c r="B22" s="255">
        <v>1.45</v>
      </c>
      <c r="C22" s="256">
        <v>1.45</v>
      </c>
      <c r="D22" s="257">
        <v>0.33680555555555602</v>
      </c>
      <c r="E22" s="258" t="s">
        <v>145</v>
      </c>
      <c r="F22" s="285">
        <v>0.38680555555555601</v>
      </c>
      <c r="G22" s="260">
        <f t="shared" ref="G22:G28" si="2">F22-D22</f>
        <v>4.9999999999999989E-2</v>
      </c>
      <c r="H22" s="255">
        <f>2+39/60+0.25</f>
        <v>2.9</v>
      </c>
      <c r="I22" s="257">
        <v>0.33680555555555602</v>
      </c>
      <c r="J22" s="258" t="s">
        <v>145</v>
      </c>
      <c r="K22" s="259">
        <v>0.44722222222222202</v>
      </c>
      <c r="L22" s="260">
        <f>K22-I22</f>
        <v>0.110416666666666</v>
      </c>
      <c r="M22" s="325"/>
      <c r="N22" s="325" t="s">
        <v>736</v>
      </c>
      <c r="O22" s="326"/>
      <c r="P22" s="296"/>
      <c r="Q22" s="356"/>
      <c r="R22" s="297"/>
      <c r="S22" s="325"/>
      <c r="T22" s="326"/>
      <c r="U22" s="296"/>
      <c r="V22" s="356"/>
      <c r="W22" s="297"/>
      <c r="X22" s="260"/>
      <c r="Y22" s="394" t="s">
        <v>671</v>
      </c>
      <c r="Z22" s="394" t="s">
        <v>671</v>
      </c>
      <c r="AA22" s="394" t="s">
        <v>215</v>
      </c>
      <c r="AB22" s="394" t="s">
        <v>671</v>
      </c>
      <c r="AC22" s="395" t="s">
        <v>706</v>
      </c>
      <c r="AD22" s="310"/>
      <c r="AE22" s="407" t="s">
        <v>488</v>
      </c>
      <c r="AF22" s="220">
        <v>73</v>
      </c>
      <c r="AG22" s="441" t="e">
        <f>SUMIF(C$10:C$53,AF22,G$10:G$53)*24+SUMIF(H$10:H$53,AF22,L$10:L$53)*24+SUMIF(N$10:N$53,AF22,R$10:R$53)*24+SUMIF(S$10:S$53,AF22,W$10:W$53)*24+SUMIF(X$10:X$53,AF22,AB$10:AB$53)*24+SUMIF(AC$10:AC$53,AF22,#REF!)*24+SUMIF(#REF!,AF22,#REF!)*24+SUMIF(#REF!,AF22,#REF!)*24</f>
        <v>#REF!</v>
      </c>
      <c r="AH22" s="441"/>
      <c r="AI22" s="442">
        <f t="shared" si="0"/>
        <v>0</v>
      </c>
      <c r="AJ22" s="441" t="e">
        <f t="shared" si="1"/>
        <v>#REF!</v>
      </c>
      <c r="AK22" s="310"/>
      <c r="AL22" s="310"/>
    </row>
    <row r="23" spans="1:38" ht="15" customHeight="1">
      <c r="A23" s="266" t="s">
        <v>707</v>
      </c>
      <c r="B23" s="272">
        <v>0.75</v>
      </c>
      <c r="C23" s="268"/>
      <c r="D23" s="263">
        <v>0.40625</v>
      </c>
      <c r="E23" s="264" t="s">
        <v>145</v>
      </c>
      <c r="F23" s="265">
        <v>0.42708333333333298</v>
      </c>
      <c r="G23" s="260">
        <f t="shared" si="2"/>
        <v>2.0833333333332982E-2</v>
      </c>
      <c r="H23" s="267"/>
      <c r="I23" s="275"/>
      <c r="J23" s="276"/>
      <c r="K23" s="277"/>
      <c r="L23" s="298"/>
      <c r="M23" s="341"/>
      <c r="N23" s="341"/>
      <c r="O23" s="333"/>
      <c r="P23" s="269"/>
      <c r="Q23" s="270"/>
      <c r="R23" s="359"/>
      <c r="S23" s="341"/>
      <c r="T23" s="333"/>
      <c r="U23" s="269"/>
      <c r="V23" s="270"/>
      <c r="W23" s="271"/>
      <c r="X23" s="337"/>
      <c r="Y23" s="409"/>
      <c r="Z23" s="418" t="s">
        <v>674</v>
      </c>
      <c r="AA23" s="414"/>
      <c r="AB23" s="413"/>
      <c r="AC23" s="416"/>
      <c r="AD23" s="310"/>
      <c r="AE23" s="407" t="s">
        <v>490</v>
      </c>
      <c r="AF23" s="220">
        <v>78</v>
      </c>
      <c r="AG23" s="441" t="e">
        <f>SUMIF(C$10:C$53,AF23,G$10:G$53)*24+SUMIF(H$10:H$53,AF23,L$10:L$53)*24+SUMIF(N$10:N$53,AF23,R$10:R$53)*24+SUMIF(S$10:S$53,AF23,W$10:W$53)*24+SUMIF(X$10:X$53,AF23,AB$10:AB$53)*24+SUMIF(AC$10:AC$53,AF23,#REF!)*24+SUMIF(#REF!,AF23,#REF!)*24+SUMIF(#REF!,AF23,#REF!)*24</f>
        <v>#REF!</v>
      </c>
      <c r="AH23" s="441"/>
      <c r="AI23" s="442">
        <f t="shared" si="0"/>
        <v>0</v>
      </c>
      <c r="AJ23" s="441" t="e">
        <f t="shared" si="1"/>
        <v>#REF!</v>
      </c>
      <c r="AK23" s="310"/>
      <c r="AL23" s="310"/>
    </row>
    <row r="24" spans="1:38" ht="15" customHeight="1">
      <c r="A24" s="241">
        <v>44938</v>
      </c>
      <c r="B24" s="255">
        <f>1.25+0.25</f>
        <v>1.5</v>
      </c>
      <c r="C24" s="256">
        <v>1.5</v>
      </c>
      <c r="D24" s="286">
        <v>0.33680555555555602</v>
      </c>
      <c r="E24" s="287" t="s">
        <v>145</v>
      </c>
      <c r="F24" s="288">
        <v>0.38888888888888901</v>
      </c>
      <c r="G24" s="260">
        <f t="shared" si="2"/>
        <v>5.2083333333332982E-2</v>
      </c>
      <c r="H24" s="273"/>
      <c r="I24" s="257"/>
      <c r="J24" s="258"/>
      <c r="K24" s="259"/>
      <c r="L24" s="260"/>
      <c r="M24" s="325"/>
      <c r="N24" s="325"/>
      <c r="O24" s="326"/>
      <c r="P24" s="257"/>
      <c r="Q24" s="258"/>
      <c r="R24" s="259"/>
      <c r="S24" s="325"/>
      <c r="T24" s="326"/>
      <c r="U24" s="257"/>
      <c r="V24" s="258"/>
      <c r="W24" s="259"/>
      <c r="X24" s="362"/>
      <c r="Y24" s="394" t="s">
        <v>709</v>
      </c>
      <c r="Z24" s="394" t="s">
        <v>709</v>
      </c>
      <c r="AA24" s="419" t="s">
        <v>710</v>
      </c>
      <c r="AB24" s="395"/>
      <c r="AC24" s="395"/>
      <c r="AD24" s="310"/>
      <c r="AE24" s="407" t="s">
        <v>492</v>
      </c>
      <c r="AF24" s="220">
        <v>84</v>
      </c>
      <c r="AG24" s="441" t="e">
        <f>SUMIF(C$10:C$53,AF24,G$10:G$53)*24+SUMIF(H$10:H$53,AF24,L$10:L$53)*24+SUMIF(N$10:N$53,AF24,R$10:R$53)*24+SUMIF(S$10:S$53,AF24,W$10:W$53)*24+SUMIF(X$10:X$53,AF24,AB$10:AB$53)*24+SUMIF(AC$10:AC$53,AF24,#REF!)*24+SUMIF(#REF!,AF24,#REF!)*24+SUMIF(#REF!,AF24,#REF!)*24</f>
        <v>#REF!</v>
      </c>
      <c r="AH24" s="441"/>
      <c r="AI24" s="442">
        <f t="shared" si="0"/>
        <v>0</v>
      </c>
      <c r="AJ24" s="441" t="e">
        <f t="shared" si="1"/>
        <v>#REF!</v>
      </c>
      <c r="AK24" s="310"/>
      <c r="AL24" s="310"/>
    </row>
    <row r="25" spans="1:38" ht="15" customHeight="1">
      <c r="A25" s="245" t="s">
        <v>677</v>
      </c>
      <c r="B25" s="289">
        <f>46/60</f>
        <v>0.76666666666666672</v>
      </c>
      <c r="C25" s="290"/>
      <c r="D25" s="286">
        <v>0.38888888888888901</v>
      </c>
      <c r="E25" s="287" t="s">
        <v>145</v>
      </c>
      <c r="F25" s="288">
        <v>0.420833333333333</v>
      </c>
      <c r="G25" s="260">
        <f t="shared" si="2"/>
        <v>3.1944444444443998E-2</v>
      </c>
      <c r="H25" s="289">
        <f>2+22/60+0.25</f>
        <v>2.6166666666666667</v>
      </c>
      <c r="I25" s="257">
        <v>0.40625</v>
      </c>
      <c r="J25" s="258" t="s">
        <v>145</v>
      </c>
      <c r="K25" s="259">
        <v>0.50486111111111098</v>
      </c>
      <c r="L25" s="260">
        <f>K25-I25</f>
        <v>9.8611111111110983E-2</v>
      </c>
      <c r="M25" s="336"/>
      <c r="N25" s="336"/>
      <c r="O25" s="340"/>
      <c r="P25" s="338"/>
      <c r="Q25" s="364"/>
      <c r="R25" s="365"/>
      <c r="S25" s="339"/>
      <c r="T25" s="340"/>
      <c r="U25" s="338"/>
      <c r="V25" s="364"/>
      <c r="W25" s="367"/>
      <c r="X25" s="362"/>
      <c r="Y25" s="420" t="s">
        <v>712</v>
      </c>
      <c r="Z25" s="420" t="s">
        <v>712</v>
      </c>
      <c r="AA25" s="421" t="s">
        <v>713</v>
      </c>
      <c r="AB25" s="395" t="s">
        <v>697</v>
      </c>
      <c r="AC25" s="395" t="s">
        <v>714</v>
      </c>
      <c r="AD25" s="310"/>
      <c r="AE25" s="412" t="s">
        <v>494</v>
      </c>
      <c r="AF25" s="220">
        <v>85</v>
      </c>
      <c r="AG25" s="441" t="e">
        <f>SUMIF(C$10:C$53,AF25,G$10:G$53)*24+SUMIF(H$10:H$53,AF25,L$10:L$53)*24+SUMIF(N$10:N$53,AF25,R$10:R$53)*24+SUMIF(S$10:S$53,AF25,W$10:W$53)*24+SUMIF(X$10:X$53,AF25,AB$10:AB$53)*24+SUMIF(AC$10:AC$53,AF25,#REF!)*24+SUMIF(#REF!,AF25,#REF!)*24+SUMIF(#REF!,AF25,#REF!)*24</f>
        <v>#REF!</v>
      </c>
      <c r="AH25" s="441"/>
      <c r="AI25" s="442">
        <f t="shared" si="0"/>
        <v>0</v>
      </c>
      <c r="AJ25" s="441" t="e">
        <f t="shared" si="1"/>
        <v>#REF!</v>
      </c>
      <c r="AK25" s="310"/>
      <c r="AL25" s="310"/>
    </row>
    <row r="26" spans="1:38" ht="15" customHeight="1">
      <c r="A26" s="222"/>
      <c r="B26" s="267"/>
      <c r="C26" s="268"/>
      <c r="D26" s="263">
        <v>0.40625</v>
      </c>
      <c r="E26" s="264" t="s">
        <v>145</v>
      </c>
      <c r="F26" s="265">
        <v>0.42708333333333298</v>
      </c>
      <c r="G26" s="260">
        <f t="shared" si="2"/>
        <v>2.0833333333332982E-2</v>
      </c>
      <c r="H26" s="272">
        <f>1+55/60+0.25</f>
        <v>2.1666666666666665</v>
      </c>
      <c r="I26" s="342">
        <v>0.52430555555555602</v>
      </c>
      <c r="J26" s="343" t="s">
        <v>145</v>
      </c>
      <c r="K26" s="344">
        <v>0.60416666666666696</v>
      </c>
      <c r="L26" s="260">
        <f>K26-I26</f>
        <v>7.9861111111110938E-2</v>
      </c>
      <c r="M26" s="330"/>
      <c r="N26" s="330"/>
      <c r="O26" s="333"/>
      <c r="P26" s="275"/>
      <c r="Q26" s="276"/>
      <c r="R26" s="368"/>
      <c r="S26" s="341"/>
      <c r="T26" s="369">
        <f>0.5+0.25</f>
        <v>0.75</v>
      </c>
      <c r="U26" s="370">
        <v>0.40625</v>
      </c>
      <c r="V26" s="371" t="s">
        <v>145</v>
      </c>
      <c r="W26" s="372">
        <v>0.42708333333333298</v>
      </c>
      <c r="X26" s="260">
        <f>W26-U26</f>
        <v>2.0833333333332982E-2</v>
      </c>
      <c r="Y26" s="420"/>
      <c r="Z26" s="422" t="s">
        <v>674</v>
      </c>
      <c r="AA26" s="423"/>
      <c r="AB26" s="424"/>
      <c r="AC26" s="424" t="s">
        <v>717</v>
      </c>
      <c r="AD26" s="310"/>
      <c r="AE26" s="407" t="s">
        <v>495</v>
      </c>
      <c r="AF26" s="220">
        <v>86</v>
      </c>
      <c r="AG26" s="441" t="e">
        <f>SUMIF(C$10:C$53,AF26,G$10:G$53)*24+SUMIF(H$10:H$53,AF26,L$10:L$53)*24+SUMIF(N$10:N$53,AF26,R$10:R$53)*24+SUMIF(S$10:S$53,AF26,W$10:W$53)*24+SUMIF(X$10:X$53,AF26,AB$10:AB$53)*24+SUMIF(AC$10:AC$53,AF26,#REF!)*24+SUMIF(#REF!,AF26,#REF!)*24+SUMIF(#REF!,AF26,#REF!)*24</f>
        <v>#REF!</v>
      </c>
      <c r="AH26" s="441"/>
      <c r="AI26" s="442">
        <f t="shared" si="0"/>
        <v>0</v>
      </c>
      <c r="AJ26" s="441" t="e">
        <f t="shared" si="1"/>
        <v>#REF!</v>
      </c>
      <c r="AK26" s="310"/>
      <c r="AL26" s="310"/>
    </row>
    <row r="27" spans="1:38" ht="22.5" customHeight="1">
      <c r="A27" s="241">
        <v>44939</v>
      </c>
      <c r="B27" s="255">
        <v>1.45</v>
      </c>
      <c r="C27" s="256">
        <v>1.45</v>
      </c>
      <c r="D27" s="257">
        <v>0.33680555555555602</v>
      </c>
      <c r="E27" s="258" t="s">
        <v>145</v>
      </c>
      <c r="F27" s="285">
        <v>0.38680555555555601</v>
      </c>
      <c r="G27" s="260">
        <f t="shared" si="2"/>
        <v>4.9999999999999989E-2</v>
      </c>
      <c r="H27" s="255">
        <f>1+55/60+0.25</f>
        <v>2.1666666666666665</v>
      </c>
      <c r="I27" s="257">
        <v>0.33680555555555602</v>
      </c>
      <c r="J27" s="258" t="s">
        <v>145</v>
      </c>
      <c r="K27" s="259">
        <v>0.41666666666666702</v>
      </c>
      <c r="L27" s="260">
        <f>K27-I27</f>
        <v>7.9861111111110994E-2</v>
      </c>
      <c r="M27" s="325"/>
      <c r="N27" s="325" t="s">
        <v>736</v>
      </c>
      <c r="O27" s="326"/>
      <c r="P27" s="345"/>
      <c r="Q27" s="373"/>
      <c r="R27" s="374"/>
      <c r="S27" s="375"/>
      <c r="T27" s="326"/>
      <c r="U27" s="296"/>
      <c r="V27" s="356"/>
      <c r="W27" s="297"/>
      <c r="X27" s="260"/>
      <c r="Y27" s="425" t="s">
        <v>671</v>
      </c>
      <c r="Z27" s="425" t="s">
        <v>671</v>
      </c>
      <c r="AA27" s="419" t="s">
        <v>710</v>
      </c>
      <c r="AB27" s="426" t="s">
        <v>718</v>
      </c>
      <c r="AC27" s="426" t="s">
        <v>719</v>
      </c>
      <c r="AD27" s="310"/>
      <c r="AE27" s="405" t="s">
        <v>497</v>
      </c>
      <c r="AF27" s="406">
        <v>90</v>
      </c>
      <c r="AG27" s="441" t="e">
        <f>SUMIF(C$10:C$53,AF27,G$10:G$53)*24+SUMIF(H$10:H$53,AF27,L$10:L$53)*24+SUMIF(N$10:N$53,AF27,R$10:R$53)*24+SUMIF(S$10:S$53,AF27,W$10:W$53)*24+SUMIF(X$10:X$53,AF27,AB$10:AB$53)*24+SUMIF(AC$10:AC$53,AF27,#REF!)*24+SUMIF(#REF!,AF27,#REF!)*24+SUMIF(#REF!,AF27,#REF!)*24</f>
        <v>#REF!</v>
      </c>
      <c r="AH27" s="441"/>
      <c r="AI27" s="442">
        <f t="shared" si="0"/>
        <v>0</v>
      </c>
      <c r="AJ27" s="441" t="e">
        <f t="shared" si="1"/>
        <v>#REF!</v>
      </c>
      <c r="AK27" s="310"/>
      <c r="AL27" s="310"/>
    </row>
    <row r="28" spans="1:38" ht="15" customHeight="1">
      <c r="A28" s="220"/>
      <c r="B28" s="272">
        <v>1.75</v>
      </c>
      <c r="C28" s="291"/>
      <c r="D28" s="269">
        <v>0.39583333333333298</v>
      </c>
      <c r="E28" s="276" t="s">
        <v>145</v>
      </c>
      <c r="F28" s="271">
        <v>0.45833333333333298</v>
      </c>
      <c r="G28" s="260">
        <f t="shared" si="2"/>
        <v>6.25E-2</v>
      </c>
      <c r="H28" s="272">
        <v>2</v>
      </c>
      <c r="I28" s="257">
        <v>0.41666666666666702</v>
      </c>
      <c r="J28" s="258" t="s">
        <v>145</v>
      </c>
      <c r="K28" s="259">
        <v>0.5</v>
      </c>
      <c r="L28" s="260">
        <f>K28-I28</f>
        <v>8.3333333333332982E-2</v>
      </c>
      <c r="M28" s="330"/>
      <c r="N28" s="330"/>
      <c r="O28" s="272">
        <f>0.5+0.25</f>
        <v>0.75</v>
      </c>
      <c r="P28" s="263">
        <v>0.40625</v>
      </c>
      <c r="Q28" s="264" t="s">
        <v>145</v>
      </c>
      <c r="R28" s="376">
        <v>0.42708333333333298</v>
      </c>
      <c r="S28" s="260">
        <f>R28-P28</f>
        <v>2.0833333333332982E-2</v>
      </c>
      <c r="T28" s="331"/>
      <c r="U28" s="332"/>
      <c r="V28" s="357"/>
      <c r="W28" s="377"/>
      <c r="X28" s="362"/>
      <c r="Y28" s="427" t="s">
        <v>674</v>
      </c>
      <c r="Z28" s="409"/>
      <c r="AA28" s="414" t="s">
        <v>721</v>
      </c>
      <c r="AB28" s="428"/>
      <c r="AC28" s="428"/>
      <c r="AD28" s="310"/>
      <c r="AE28" s="407" t="s">
        <v>498</v>
      </c>
      <c r="AF28" s="220">
        <v>91</v>
      </c>
      <c r="AG28" s="441" t="e">
        <f>SUMIF(C$10:C$53,AF28,G$10:G$53)*24+SUMIF(H$10:H$53,AF28,L$10:L$53)*24+SUMIF(N$10:N$53,AF28,R$10:R$53)*24+SUMIF(S$10:S$53,AF28,W$10:W$53)*24+SUMIF(X$10:X$53,AF28,AB$10:AB$53)*24+SUMIF(AC$10:AC$53,AF28,#REF!)*24+SUMIF(#REF!,AF28,#REF!)*24+SUMIF(#REF!,AF28,#REF!)*24</f>
        <v>#REF!</v>
      </c>
      <c r="AH28" s="441"/>
      <c r="AI28" s="442">
        <f t="shared" si="0"/>
        <v>0</v>
      </c>
      <c r="AJ28" s="441" t="e">
        <f t="shared" si="1"/>
        <v>#REF!</v>
      </c>
      <c r="AK28" s="310"/>
      <c r="AL28" s="310"/>
    </row>
    <row r="29" spans="1:38" ht="15" customHeight="1">
      <c r="A29" s="220"/>
      <c r="B29" s="292"/>
      <c r="C29" s="293"/>
      <c r="D29" s="282"/>
      <c r="E29" s="283"/>
      <c r="F29" s="294"/>
      <c r="G29" s="260"/>
      <c r="H29" s="261">
        <v>2.75</v>
      </c>
      <c r="I29" s="257">
        <v>0.5</v>
      </c>
      <c r="J29" s="258" t="s">
        <v>145</v>
      </c>
      <c r="K29" s="259">
        <v>0.61458333333333304</v>
      </c>
      <c r="L29" s="260">
        <f>K29-I29</f>
        <v>0.11458333333333304</v>
      </c>
      <c r="M29" s="330"/>
      <c r="N29" s="330"/>
      <c r="O29" s="331"/>
      <c r="P29" s="282"/>
      <c r="Q29" s="283"/>
      <c r="R29" s="378"/>
      <c r="S29" s="375"/>
      <c r="T29" s="331"/>
      <c r="U29" s="332"/>
      <c r="V29" s="357"/>
      <c r="W29" s="377"/>
      <c r="X29" s="362"/>
      <c r="Y29" s="429"/>
      <c r="Z29" s="429"/>
      <c r="AA29" s="410"/>
      <c r="AB29" s="428"/>
      <c r="AC29" s="413" t="s">
        <v>722</v>
      </c>
      <c r="AD29" s="310"/>
      <c r="AE29" s="407" t="s">
        <v>489</v>
      </c>
      <c r="AF29" s="220">
        <v>92</v>
      </c>
      <c r="AG29" s="441" t="e">
        <f>SUMIF(C$10:C$53,AF29,G$10:G$53)*24+SUMIF(H$10:H$53,AF29,L$10:L$53)*24+SUMIF(N$10:N$53,AF29,R$10:R$53)*24+SUMIF(S$10:S$53,AF29,W$10:W$53)*24+SUMIF(X$10:X$53,AF29,AB$10:AB$53)*24+SUMIF(AC$10:AC$53,AF29,#REF!)*24+SUMIF(#REF!,AF29,#REF!)*24+SUMIF(#REF!,AF29,#REF!)*24</f>
        <v>#REF!</v>
      </c>
      <c r="AH29" s="441"/>
      <c r="AI29" s="442">
        <f t="shared" si="0"/>
        <v>0</v>
      </c>
      <c r="AJ29" s="441" t="e">
        <f t="shared" si="1"/>
        <v>#REF!</v>
      </c>
      <c r="AK29" s="310"/>
      <c r="AL29" s="310"/>
    </row>
    <row r="30" spans="1:38" ht="15" customHeight="1">
      <c r="A30" s="222" t="s">
        <v>687</v>
      </c>
      <c r="B30" s="295"/>
      <c r="C30" s="291"/>
      <c r="D30" s="269"/>
      <c r="E30" s="276"/>
      <c r="F30" s="271"/>
      <c r="G30" s="260"/>
      <c r="H30" s="295"/>
      <c r="I30" s="269"/>
      <c r="J30" s="270"/>
      <c r="K30" s="271"/>
      <c r="L30" s="298"/>
      <c r="M30" s="341"/>
      <c r="N30" s="341"/>
      <c r="O30" s="346"/>
      <c r="P30" s="269"/>
      <c r="Q30" s="270"/>
      <c r="R30" s="359"/>
      <c r="S30" s="260"/>
      <c r="T30" s="333"/>
      <c r="U30" s="269"/>
      <c r="V30" s="270"/>
      <c r="W30" s="271"/>
      <c r="X30" s="337"/>
      <c r="Y30" s="409"/>
      <c r="Z30" s="409"/>
      <c r="AA30" s="414"/>
      <c r="AB30" s="415"/>
      <c r="AC30" s="413"/>
      <c r="AD30" s="310"/>
      <c r="AE30" s="407" t="s">
        <v>499</v>
      </c>
      <c r="AF30" s="220">
        <v>102</v>
      </c>
      <c r="AG30" s="441" t="e">
        <f>SUMIF(C$10:C$53,AF30,G$10:G$53)*24+SUMIF(H$10:H$53,AF30,L$10:L$53)*24+SUMIF(N$10:N$53,AF30,R$10:R$53)*24+SUMIF(S$10:S$53,AF30,W$10:W$53)*24+SUMIF(X$10:X$53,AF30,AB$10:AB$53)*24+SUMIF(AC$10:AC$53,AF30,#REF!)*24+SUMIF(#REF!,AF30,#REF!)*24+SUMIF(#REF!,AF30,#REF!)*24</f>
        <v>#REF!</v>
      </c>
      <c r="AH30" s="441"/>
      <c r="AI30" s="442">
        <f t="shared" si="0"/>
        <v>0</v>
      </c>
      <c r="AJ30" s="441" t="e">
        <f t="shared" si="1"/>
        <v>#REF!</v>
      </c>
      <c r="AK30" s="310"/>
      <c r="AL30" s="310"/>
    </row>
    <row r="31" spans="1:38" ht="15" customHeight="1">
      <c r="A31" s="241">
        <v>44942</v>
      </c>
      <c r="B31" s="255">
        <v>1.45</v>
      </c>
      <c r="C31" s="256">
        <v>1.45</v>
      </c>
      <c r="D31" s="296">
        <v>0.34375</v>
      </c>
      <c r="E31" s="258" t="s">
        <v>145</v>
      </c>
      <c r="F31" s="297">
        <v>0.39374999999999999</v>
      </c>
      <c r="G31" s="260">
        <f>F31-D31</f>
        <v>4.9999999999999989E-2</v>
      </c>
      <c r="H31" s="255">
        <f>2.5+0.25</f>
        <v>2.75</v>
      </c>
      <c r="I31" s="296">
        <v>0.34375</v>
      </c>
      <c r="J31" s="258" t="s">
        <v>145</v>
      </c>
      <c r="K31" s="297">
        <v>0.44791666666666702</v>
      </c>
      <c r="L31" s="260">
        <f>K31-I31</f>
        <v>0.10416666666666702</v>
      </c>
      <c r="M31" s="325"/>
      <c r="N31" s="325" t="s">
        <v>741</v>
      </c>
      <c r="O31" s="326"/>
      <c r="P31" s="345"/>
      <c r="Q31" s="373"/>
      <c r="R31" s="379"/>
      <c r="S31" s="380"/>
      <c r="T31" s="326"/>
      <c r="U31" s="296"/>
      <c r="V31" s="356"/>
      <c r="W31" s="297"/>
      <c r="X31" s="260"/>
      <c r="Y31" s="394" t="s">
        <v>215</v>
      </c>
      <c r="Z31" s="430" t="s">
        <v>692</v>
      </c>
      <c r="AA31" s="419" t="s">
        <v>724</v>
      </c>
      <c r="AB31" s="430" t="s">
        <v>692</v>
      </c>
      <c r="AC31" s="395" t="s">
        <v>725</v>
      </c>
      <c r="AD31" s="310"/>
      <c r="AE31" s="407" t="s">
        <v>500</v>
      </c>
      <c r="AF31" s="220">
        <v>103</v>
      </c>
      <c r="AG31" s="441" t="e">
        <f>SUMIF(C$10:C$53,AF31,G$10:G$53)*24+SUMIF(H$10:H$53,AF31,L$10:L$53)*24+SUMIF(N$10:N$53,AF31,R$10:R$53)*24+SUMIF(S$10:S$53,AF31,W$10:W$53)*24+SUMIF(X$10:X$53,AF31,AB$10:AB$53)*24+SUMIF(AC$10:AC$53,AF31,#REF!)*24+SUMIF(#REF!,AF31,#REF!)*24+SUMIF(#REF!,AF31,#REF!)*24</f>
        <v>#REF!</v>
      </c>
      <c r="AH31" s="441"/>
      <c r="AI31" s="442">
        <f t="shared" si="0"/>
        <v>0</v>
      </c>
      <c r="AJ31" s="441" t="e">
        <f t="shared" si="1"/>
        <v>#REF!</v>
      </c>
      <c r="AK31" s="310"/>
      <c r="AL31" s="310"/>
    </row>
    <row r="32" spans="1:38" ht="15.75" customHeight="1">
      <c r="A32" s="266" t="s">
        <v>452</v>
      </c>
      <c r="B32" s="267"/>
      <c r="C32" s="268"/>
      <c r="D32" s="269"/>
      <c r="E32" s="270"/>
      <c r="F32" s="271"/>
      <c r="G32" s="298"/>
      <c r="H32" s="267"/>
      <c r="I32" s="269"/>
      <c r="J32" s="270"/>
      <c r="K32" s="271"/>
      <c r="L32" s="298"/>
      <c r="M32" s="341"/>
      <c r="N32" s="341"/>
      <c r="O32" s="333"/>
      <c r="P32" s="269"/>
      <c r="Q32" s="270"/>
      <c r="R32" s="271"/>
      <c r="S32" s="381"/>
      <c r="T32" s="333"/>
      <c r="U32" s="269"/>
      <c r="V32" s="270"/>
      <c r="W32" s="271"/>
      <c r="X32" s="382"/>
      <c r="Y32" s="413"/>
      <c r="Z32" s="431"/>
      <c r="AA32" s="414"/>
      <c r="AB32" s="415"/>
      <c r="AC32" s="415"/>
      <c r="AD32" s="310"/>
      <c r="AE32" s="407" t="s">
        <v>501</v>
      </c>
      <c r="AF32" s="220">
        <v>112</v>
      </c>
      <c r="AG32" s="441" t="e">
        <f>SUMIF(C$10:C$53,AF32,G$10:G$53)*24+SUMIF(H$10:H$53,AF32,L$10:L$53)*24+SUMIF(N$10:N$53,AF32,R$10:R$53)*24+SUMIF(S$10:S$53,AF32,W$10:W$53)*24+SUMIF(X$10:X$53,AF32,AB$10:AB$53)*24+SUMIF(AC$10:AC$53,AF32,#REF!)*24+SUMIF(#REF!,AF32,#REF!)*24+SUMIF(#REF!,AF32,#REF!)*24</f>
        <v>#REF!</v>
      </c>
      <c r="AH32" s="441"/>
      <c r="AI32" s="442">
        <f t="shared" si="0"/>
        <v>0</v>
      </c>
      <c r="AJ32" s="441" t="e">
        <f t="shared" si="1"/>
        <v>#REF!</v>
      </c>
      <c r="AK32" s="310"/>
      <c r="AL32" s="310"/>
    </row>
    <row r="33" spans="1:38" ht="15.75" customHeight="1">
      <c r="A33" s="241">
        <v>44943</v>
      </c>
      <c r="B33" s="299">
        <v>1.45</v>
      </c>
      <c r="C33" s="256">
        <v>1.45</v>
      </c>
      <c r="D33" s="257">
        <v>0.33680555555555602</v>
      </c>
      <c r="E33" s="258" t="s">
        <v>145</v>
      </c>
      <c r="F33" s="285">
        <v>0.38680555555555601</v>
      </c>
      <c r="G33" s="260">
        <f>F33-D33</f>
        <v>4.9999999999999989E-2</v>
      </c>
      <c r="H33" s="299">
        <f>1+58/60+0.25</f>
        <v>2.2166666666666668</v>
      </c>
      <c r="I33" s="347">
        <v>0.33680555555555602</v>
      </c>
      <c r="J33" s="258" t="s">
        <v>145</v>
      </c>
      <c r="K33" s="259">
        <v>0.41875000000000001</v>
      </c>
      <c r="L33" s="260">
        <f>K33-I33</f>
        <v>8.1944444444443987E-2</v>
      </c>
      <c r="M33" s="325"/>
      <c r="N33" s="325" t="s">
        <v>741</v>
      </c>
      <c r="O33" s="326"/>
      <c r="P33" s="296"/>
      <c r="Q33" s="356"/>
      <c r="R33" s="297"/>
      <c r="S33" s="325"/>
      <c r="T33" s="326"/>
      <c r="U33" s="296"/>
      <c r="V33" s="356"/>
      <c r="W33" s="297"/>
      <c r="X33" s="260"/>
      <c r="Y33" s="394" t="s">
        <v>671</v>
      </c>
      <c r="Z33" s="394" t="s">
        <v>215</v>
      </c>
      <c r="AA33" s="419" t="s">
        <v>710</v>
      </c>
      <c r="AB33" s="395" t="s">
        <v>701</v>
      </c>
      <c r="AC33" s="395" t="s">
        <v>727</v>
      </c>
      <c r="AD33" s="310"/>
      <c r="AE33" s="407" t="s">
        <v>502</v>
      </c>
      <c r="AF33" s="220">
        <v>113</v>
      </c>
      <c r="AG33" s="441" t="e">
        <f>SUMIF(C$10:C$53,AF33,G$10:G$53)*24+SUMIF(H$10:H$53,AF33,L$10:L$53)*24+SUMIF(N$10:N$53,AF33,R$10:R$53)*24+SUMIF(S$10:S$53,AF33,W$10:W$53)*24+SUMIF(X$10:X$53,AF33,AB$10:AB$53)*24+SUMIF(AC$10:AC$53,AF33,#REF!)*24+SUMIF(#REF!,AF33,#REF!)*24+SUMIF(#REF!,AF33,#REF!)*24</f>
        <v>#REF!</v>
      </c>
      <c r="AH33" s="441"/>
      <c r="AI33" s="442">
        <f t="shared" si="0"/>
        <v>0</v>
      </c>
      <c r="AJ33" s="441" t="e">
        <f t="shared" si="1"/>
        <v>#REF!</v>
      </c>
      <c r="AK33" s="310"/>
      <c r="AL33" s="310"/>
    </row>
    <row r="34" spans="1:38" ht="15.75" customHeight="1">
      <c r="A34" s="266" t="s">
        <v>704</v>
      </c>
      <c r="B34" s="300"/>
      <c r="C34" s="301"/>
      <c r="D34" s="302"/>
      <c r="E34" s="303"/>
      <c r="F34" s="304"/>
      <c r="G34" s="305"/>
      <c r="H34" s="306">
        <f>54/60+0.25</f>
        <v>1.1499999999999999</v>
      </c>
      <c r="I34" s="302">
        <v>0.4375</v>
      </c>
      <c r="J34" s="276" t="s">
        <v>145</v>
      </c>
      <c r="K34" s="304">
        <v>0.47499999999999998</v>
      </c>
      <c r="L34" s="260">
        <f>K34-I34</f>
        <v>3.7499999999999978E-2</v>
      </c>
      <c r="M34" s="330"/>
      <c r="N34" s="330"/>
      <c r="O34" s="348"/>
      <c r="P34" s="349"/>
      <c r="Q34" s="383"/>
      <c r="R34" s="384"/>
      <c r="S34" s="385"/>
      <c r="T34" s="386"/>
      <c r="U34" s="269"/>
      <c r="V34" s="270"/>
      <c r="W34" s="271"/>
      <c r="X34" s="387"/>
      <c r="Y34" s="398"/>
      <c r="Z34" s="397"/>
      <c r="AA34" s="432"/>
      <c r="AB34" s="433" t="s">
        <v>729</v>
      </c>
      <c r="AC34" s="434"/>
      <c r="AD34" s="310"/>
      <c r="AE34" s="417" t="s">
        <v>503</v>
      </c>
      <c r="AF34" s="222">
        <v>114</v>
      </c>
      <c r="AG34" s="441" t="e">
        <f>SUMIF(C$10:C$53,AF34,G$10:G$53)*24+SUMIF(H$10:H$53,AF34,L$10:L$53)*24+SUMIF(N$10:N$53,AF34,R$10:R$53)*24+SUMIF(S$10:S$53,AF34,W$10:W$53)*24+SUMIF(X$10:X$53,AF34,AB$10:AB$53)*24+SUMIF(AC$10:AC$53,AF34,#REF!)*24+SUMIF(#REF!,AF34,#REF!)*24+SUMIF(#REF!,AF34,#REF!)*24</f>
        <v>#REF!</v>
      </c>
      <c r="AH34" s="441"/>
      <c r="AI34" s="442">
        <f t="shared" si="0"/>
        <v>0</v>
      </c>
      <c r="AJ34" s="441" t="e">
        <f t="shared" si="1"/>
        <v>#REF!</v>
      </c>
      <c r="AK34" s="310"/>
      <c r="AL34" s="310"/>
    </row>
    <row r="35" spans="1:38" ht="15.75" customHeight="1">
      <c r="A35" s="241">
        <v>44944</v>
      </c>
      <c r="B35" s="256">
        <f>1+25/60+0.25</f>
        <v>1.6666666666666667</v>
      </c>
      <c r="C35" s="256">
        <f>1+25/60+0.25</f>
        <v>1.6666666666666667</v>
      </c>
      <c r="D35" s="257">
        <v>0.33680555555555602</v>
      </c>
      <c r="E35" s="258" t="s">
        <v>145</v>
      </c>
      <c r="F35" s="285">
        <v>0.39583333333333298</v>
      </c>
      <c r="G35" s="260">
        <f>F35-D35</f>
        <v>5.9027777777776957E-2</v>
      </c>
      <c r="H35" s="307"/>
      <c r="I35" s="257"/>
      <c r="J35" s="258"/>
      <c r="K35" s="259"/>
      <c r="L35" s="260"/>
      <c r="M35" s="325"/>
      <c r="N35" s="325"/>
      <c r="O35" s="350"/>
      <c r="P35" s="351"/>
      <c r="Q35" s="388"/>
      <c r="R35" s="389"/>
      <c r="S35" s="375"/>
      <c r="T35" s="326"/>
      <c r="U35" s="296"/>
      <c r="V35" s="356"/>
      <c r="W35" s="297"/>
      <c r="X35" s="260"/>
      <c r="Y35" s="394" t="s">
        <v>671</v>
      </c>
      <c r="Z35" s="394" t="s">
        <v>671</v>
      </c>
      <c r="AA35" s="419" t="s">
        <v>710</v>
      </c>
      <c r="AB35" s="395"/>
      <c r="AC35" s="395"/>
      <c r="AD35" s="310"/>
      <c r="AE35" s="435" t="s">
        <v>504</v>
      </c>
      <c r="AF35" s="220">
        <v>118</v>
      </c>
      <c r="AG35" s="441" t="e">
        <f>SUMIF(C$10:C$53,AF35,G$10:G$53)*24+SUMIF(H$10:H$53,AF35,L$10:L$53)*24+SUMIF(N$10:N$53,AF35,R$10:R$53)*24+SUMIF(S$10:S$53,AF35,W$10:W$53)*24+SUMIF(X$10:X$53,AF35,AB$10:AB$53)*24+SUMIF(AC$10:AC$53,AF35,#REF!)*24+SUMIF(#REF!,AF35,#REF!)*24+SUMIF(#REF!,AF35,#REF!)*24</f>
        <v>#REF!</v>
      </c>
      <c r="AH35" s="441"/>
      <c r="AI35" s="442">
        <f t="shared" si="0"/>
        <v>0</v>
      </c>
      <c r="AJ35" s="441" t="e">
        <f t="shared" si="1"/>
        <v>#REF!</v>
      </c>
      <c r="AK35" s="310"/>
      <c r="AL35" s="310"/>
    </row>
    <row r="36" spans="1:38" ht="15.75" customHeight="1">
      <c r="A36" s="266" t="s">
        <v>707</v>
      </c>
      <c r="B36" s="308">
        <f>1+27/60</f>
        <v>1.45</v>
      </c>
      <c r="C36" s="308">
        <f>B36</f>
        <v>1.45</v>
      </c>
      <c r="D36" s="257">
        <v>0.39583333333333298</v>
      </c>
      <c r="E36" s="258" t="s">
        <v>145</v>
      </c>
      <c r="F36" s="285">
        <v>0.45624999999999999</v>
      </c>
      <c r="G36" s="260">
        <f>F36-D36</f>
        <v>6.0416666666667007E-2</v>
      </c>
      <c r="H36" s="309">
        <f>2.25+0.25</f>
        <v>2.5</v>
      </c>
      <c r="I36" s="257">
        <v>0.40625</v>
      </c>
      <c r="J36" s="258" t="s">
        <v>145</v>
      </c>
      <c r="K36" s="259">
        <v>0.5</v>
      </c>
      <c r="L36" s="260">
        <f>K36-I36</f>
        <v>9.375E-2</v>
      </c>
      <c r="M36" s="330"/>
      <c r="N36" s="330"/>
      <c r="O36" s="346"/>
      <c r="P36" s="269"/>
      <c r="Q36" s="270"/>
      <c r="R36" s="271"/>
      <c r="S36" s="298"/>
      <c r="T36" s="333"/>
      <c r="U36" s="269"/>
      <c r="V36" s="270"/>
      <c r="W36" s="271"/>
      <c r="X36" s="337"/>
      <c r="Y36" s="401" t="s">
        <v>684</v>
      </c>
      <c r="Z36" s="401" t="s">
        <v>684</v>
      </c>
      <c r="AA36" s="436" t="s">
        <v>730</v>
      </c>
      <c r="AB36" s="395" t="s">
        <v>685</v>
      </c>
      <c r="AC36" s="395" t="s">
        <v>731</v>
      </c>
      <c r="AD36" s="310"/>
      <c r="AE36" s="435" t="s">
        <v>505</v>
      </c>
      <c r="AF36" s="220">
        <v>120</v>
      </c>
      <c r="AG36" s="441" t="e">
        <f>SUMIF(C$10:C$53,AF36,G$10:G$53)*24+SUMIF(H$10:H$53,AF36,L$10:L$53)*24+SUMIF(N$10:N$53,AF36,R$10:R$53)*24+SUMIF(S$10:S$53,AF36,W$10:W$53)*24+SUMIF(X$10:X$53,AF36,AB$10:AB$53)*24+SUMIF(AC$10:AC$53,AF36,#REF!)*24+SUMIF(#REF!,AF36,#REF!)*24+SUMIF(#REF!,AF36,#REF!)*24</f>
        <v>#REF!</v>
      </c>
      <c r="AH36" s="441"/>
      <c r="AI36" s="442">
        <f t="shared" si="0"/>
        <v>0</v>
      </c>
      <c r="AJ36" s="441" t="e">
        <f t="shared" si="1"/>
        <v>#REF!</v>
      </c>
      <c r="AK36" s="310"/>
      <c r="AL36" s="310"/>
    </row>
    <row r="37" spans="1:38" ht="15" customHeight="1">
      <c r="A37" s="310"/>
      <c r="B37" s="310"/>
      <c r="C37" s="310"/>
      <c r="D37" s="310"/>
      <c r="E37" s="310"/>
      <c r="F37" s="311"/>
      <c r="G37" s="311"/>
      <c r="H37" s="312">
        <f>1.25</f>
        <v>1.25</v>
      </c>
      <c r="I37" s="257">
        <v>0.5</v>
      </c>
      <c r="J37" s="258" t="s">
        <v>145</v>
      </c>
      <c r="K37" s="259">
        <v>0.55208333333333304</v>
      </c>
      <c r="L37" s="260">
        <f>K37-I37</f>
        <v>5.2083333333333037E-2</v>
      </c>
      <c r="M37" s="352"/>
      <c r="N37" s="352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310"/>
      <c r="AB37" s="403" t="s">
        <v>733</v>
      </c>
      <c r="AC37" s="403"/>
      <c r="AD37" s="310"/>
      <c r="AE37" s="435" t="s">
        <v>506</v>
      </c>
      <c r="AF37" s="220">
        <v>128</v>
      </c>
      <c r="AG37" s="441" t="e">
        <f>SUMIF(C$10:C$53,AF37,G$10:G$53)*24+SUMIF(H$10:H$53,AF37,L$10:L$53)*24+SUMIF(N$10:N$53,AF37,R$10:R$53)*24+SUMIF(S$10:S$53,AF37,W$10:W$53)*24+SUMIF(X$10:X$53,AF37,AB$10:AB$53)*24+SUMIF(AC$10:AC$53,AF37,#REF!)*24+SUMIF(#REF!,AF37,#REF!)*24+SUMIF(#REF!,AF37,#REF!)*24</f>
        <v>#REF!</v>
      </c>
      <c r="AH37" s="441"/>
      <c r="AI37" s="442">
        <f t="shared" si="0"/>
        <v>0</v>
      </c>
      <c r="AJ37" s="441" t="e">
        <f t="shared" si="1"/>
        <v>#REF!</v>
      </c>
      <c r="AK37" s="310"/>
      <c r="AL37" s="310"/>
    </row>
    <row r="38" spans="1:38" ht="15" customHeight="1">
      <c r="A38" s="310"/>
      <c r="B38" s="310"/>
      <c r="C38" s="310"/>
      <c r="D38" s="310"/>
      <c r="E38" s="310"/>
      <c r="F38" s="311"/>
      <c r="G38" s="311"/>
      <c r="H38" s="1"/>
      <c r="I38" s="353"/>
      <c r="J38" s="353"/>
      <c r="K38" s="353"/>
      <c r="L38" s="353"/>
      <c r="M38" s="353"/>
      <c r="N38" s="353"/>
      <c r="O38" s="310"/>
      <c r="P38" s="310"/>
      <c r="Q38" s="310"/>
      <c r="R38" s="310"/>
      <c r="S38" s="310"/>
      <c r="T38" s="310"/>
      <c r="U38" s="390"/>
      <c r="V38" s="310"/>
      <c r="W38" s="310"/>
      <c r="X38" s="310"/>
      <c r="Y38" s="310"/>
      <c r="Z38" s="310"/>
      <c r="AA38" s="310"/>
      <c r="AB38" s="310"/>
      <c r="AC38" s="310"/>
      <c r="AD38" s="310"/>
      <c r="AE38" s="435" t="s">
        <v>491</v>
      </c>
      <c r="AF38" s="220">
        <v>129</v>
      </c>
      <c r="AG38" s="441" t="e">
        <f>SUMIF(C$10:C$53,AF38,G$10:G$53)*24+SUMIF(H$10:H$53,AF38,L$10:L$53)*24+SUMIF(N$10:N$53,AF38,R$10:R$53)*24+SUMIF(S$10:S$53,AF38,W$10:W$53)*24+SUMIF(X$10:X$53,AF38,AB$10:AB$53)*24+SUMIF(AC$10:AC$53,AF38,#REF!)*24+SUMIF(#REF!,AF38,#REF!)*24+SUMIF(#REF!,AF38,#REF!)*24</f>
        <v>#REF!</v>
      </c>
      <c r="AH38" s="441"/>
      <c r="AI38" s="442">
        <f t="shared" si="0"/>
        <v>0</v>
      </c>
      <c r="AJ38" s="441" t="e">
        <f t="shared" si="1"/>
        <v>#REF!</v>
      </c>
      <c r="AK38" s="310"/>
      <c r="AL38" s="310"/>
    </row>
    <row r="39" spans="1:38" ht="15" customHeight="1">
      <c r="A39" s="313" t="s">
        <v>734</v>
      </c>
      <c r="B39" s="310"/>
      <c r="C39" s="310"/>
      <c r="D39" s="310"/>
      <c r="E39" s="310"/>
      <c r="F39" s="311"/>
      <c r="G39" s="311"/>
      <c r="H39" s="1"/>
      <c r="I39" s="353"/>
      <c r="J39" s="353"/>
      <c r="K39" s="353"/>
      <c r="L39" s="353"/>
      <c r="M39" s="353"/>
      <c r="N39" s="353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435" t="s">
        <v>484</v>
      </c>
      <c r="AF39" s="220">
        <v>134</v>
      </c>
      <c r="AG39" s="441" t="e">
        <f>SUMIF(C$10:C$53,AF39,G$10:G$53)*24+SUMIF(H$10:H$53,AF39,L$10:L$53)*24+SUMIF(N$10:N$53,AF39,R$10:R$53)*24+SUMIF(S$10:S$53,AF39,W$10:W$53)*24+SUMIF(X$10:X$53,AF39,AB$10:AB$53)*24+SUMIF(AC$10:AC$53,AF39,#REF!)*24+SUMIF(#REF!,AF39,#REF!)*24+SUMIF(#REF!,AF39,#REF!)*24</f>
        <v>#REF!</v>
      </c>
      <c r="AH39" s="441"/>
      <c r="AI39" s="442">
        <f t="shared" si="0"/>
        <v>0</v>
      </c>
      <c r="AJ39" s="441" t="e">
        <f t="shared" si="1"/>
        <v>#REF!</v>
      </c>
      <c r="AK39" s="310"/>
      <c r="AL39" s="310"/>
    </row>
    <row r="40" spans="1:38" ht="15" customHeight="1">
      <c r="A40" s="310"/>
      <c r="B40" s="310"/>
      <c r="C40" s="310"/>
      <c r="D40" s="310"/>
      <c r="E40" s="310"/>
      <c r="F40" s="311"/>
      <c r="G40" s="311"/>
      <c r="H40" s="1"/>
      <c r="I40" s="353"/>
      <c r="J40" s="353"/>
      <c r="K40" s="353"/>
      <c r="L40" s="353"/>
      <c r="M40" s="353"/>
      <c r="N40" s="353"/>
      <c r="O40" s="310"/>
      <c r="P40" s="310"/>
      <c r="Q40" s="310"/>
      <c r="R40" s="310"/>
      <c r="S40" s="310"/>
      <c r="T40" s="310"/>
      <c r="U40" s="310"/>
      <c r="V40" s="310"/>
      <c r="W40" s="310"/>
      <c r="X40" s="310"/>
      <c r="Y40" s="310"/>
      <c r="Z40" s="310"/>
      <c r="AA40" s="310"/>
      <c r="AB40" s="310"/>
      <c r="AC40" s="310"/>
      <c r="AD40" s="310"/>
      <c r="AE40" s="435" t="s">
        <v>486</v>
      </c>
      <c r="AF40" s="220">
        <v>135</v>
      </c>
      <c r="AG40" s="441" t="e">
        <f>SUMIF(C$10:C$53,AF40,G$10:G$53)*24+SUMIF(H$10:H$53,AF40,L$10:L$53)*24+SUMIF(N$10:N$53,AF40,R$10:R$53)*24+SUMIF(S$10:S$53,AF40,W$10:W$53)*24+SUMIF(X$10:X$53,AF40,AB$10:AB$53)*24+SUMIF(AC$10:AC$53,AF40,#REF!)*24+SUMIF(#REF!,AF40,#REF!)*24+SUMIF(#REF!,AF40,#REF!)*24</f>
        <v>#REF!</v>
      </c>
      <c r="AH40" s="441"/>
      <c r="AI40" s="442">
        <f t="shared" si="0"/>
        <v>0</v>
      </c>
      <c r="AJ40" s="441" t="e">
        <f t="shared" si="1"/>
        <v>#REF!</v>
      </c>
      <c r="AK40" s="310"/>
      <c r="AL40" s="310"/>
    </row>
    <row r="41" spans="1:38" ht="15" customHeight="1">
      <c r="A41" s="310"/>
      <c r="B41" s="314">
        <f>SUM(B9:B37)</f>
        <v>24.016666666666666</v>
      </c>
      <c r="C41" s="314">
        <f>SUM(C9:C37)</f>
        <v>16.516666666666666</v>
      </c>
      <c r="D41" s="315"/>
      <c r="E41" s="315">
        <f>SUM(E9:E37)</f>
        <v>0</v>
      </c>
      <c r="F41" s="315"/>
      <c r="G41" s="315"/>
      <c r="H41" s="314">
        <f>SUM(H9:H37)</f>
        <v>42.266666666666673</v>
      </c>
      <c r="I41" s="315"/>
      <c r="J41" s="315"/>
      <c r="K41" s="315"/>
      <c r="L41" s="314"/>
      <c r="M41" s="314">
        <f>SUM(M9:M37)</f>
        <v>1</v>
      </c>
      <c r="N41" s="315"/>
      <c r="O41" s="314">
        <f>SUM(O9:O37)</f>
        <v>0.75</v>
      </c>
      <c r="P41" s="315"/>
      <c r="Q41" s="315"/>
      <c r="R41" s="315"/>
      <c r="S41" s="315"/>
      <c r="T41" s="314">
        <f>SUM(T9:T37)</f>
        <v>1.5</v>
      </c>
      <c r="U41" s="310"/>
      <c r="V41" s="310"/>
      <c r="W41" s="310"/>
      <c r="X41" s="310"/>
      <c r="Y41" s="310"/>
      <c r="Z41" s="310"/>
      <c r="AA41" s="310"/>
      <c r="AB41" s="310"/>
      <c r="AC41" s="310"/>
      <c r="AD41" s="310"/>
      <c r="AE41" s="435" t="s">
        <v>493</v>
      </c>
      <c r="AF41" s="220">
        <v>137</v>
      </c>
      <c r="AG41" s="441" t="e">
        <f>SUMIF(C$10:C$53,AF41,G$10:G$53)*24+SUMIF(H$10:H$53,AF41,L$10:L$53)*24+SUMIF(N$10:N$53,AF41,R$10:R$53)*24+SUMIF(S$10:S$53,AF41,W$10:W$53)*24+SUMIF(X$10:X$53,AF41,AB$10:AB$53)*24+SUMIF(AC$10:AC$53,AF41,#REF!)*24+SUMIF(#REF!,AF41,#REF!)*24+SUMIF(#REF!,AF41,#REF!)*24</f>
        <v>#REF!</v>
      </c>
      <c r="AH41" s="441"/>
      <c r="AI41" s="442">
        <f t="shared" si="0"/>
        <v>0</v>
      </c>
      <c r="AJ41" s="441" t="e">
        <f t="shared" si="1"/>
        <v>#REF!</v>
      </c>
      <c r="AK41" s="310"/>
      <c r="AL41" s="310"/>
    </row>
    <row r="42" spans="1:38" ht="15" customHeight="1">
      <c r="A42" s="310"/>
      <c r="B42" s="310"/>
      <c r="C42" s="310"/>
      <c r="D42" s="310"/>
      <c r="E42" s="310"/>
      <c r="F42" s="311"/>
      <c r="G42" s="311"/>
      <c r="H42" s="1"/>
      <c r="I42" s="353"/>
      <c r="J42" s="353"/>
      <c r="K42" s="353"/>
      <c r="L42" s="353"/>
      <c r="M42" s="353"/>
      <c r="N42" s="353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  <c r="Z42" s="310"/>
      <c r="AA42" s="310"/>
      <c r="AB42" s="310"/>
      <c r="AC42" s="310"/>
      <c r="AD42" s="310"/>
      <c r="AE42" s="437" t="s">
        <v>507</v>
      </c>
      <c r="AF42" s="406">
        <v>138</v>
      </c>
      <c r="AG42" s="441" t="e">
        <f>SUMIF(C$10:C$53,AF42,G$10:G$53)*24+SUMIF(H$10:H$53,AF42,L$10:L$53)*24+SUMIF(N$10:N$53,AF42,R$10:R$53)*24+SUMIF(S$10:S$53,AF42,W$10:W$53)*24+SUMIF(X$10:X$53,AF42,AB$10:AB$53)*24+SUMIF(AC$10:AC$53,AF42,#REF!)*24+SUMIF(#REF!,AF42,#REF!)*24+SUMIF(#REF!,AF42,#REF!)*24</f>
        <v>#REF!</v>
      </c>
      <c r="AH42" s="441"/>
      <c r="AI42" s="442">
        <f t="shared" si="0"/>
        <v>0</v>
      </c>
      <c r="AJ42" s="441" t="e">
        <f t="shared" si="1"/>
        <v>#REF!</v>
      </c>
      <c r="AK42" s="310"/>
      <c r="AL42" s="310"/>
    </row>
    <row r="43" spans="1:38" ht="25.5" customHeight="1">
      <c r="A43" s="310"/>
      <c r="B43" s="310"/>
      <c r="C43" s="310" t="s">
        <v>742</v>
      </c>
      <c r="D43" s="316">
        <f>B41+C41+H41+M41+O41+T41</f>
        <v>86.050000000000011</v>
      </c>
      <c r="E43" s="317"/>
      <c r="F43" s="317"/>
      <c r="G43" s="311"/>
      <c r="H43" s="1"/>
      <c r="I43" s="353"/>
      <c r="J43" s="353"/>
      <c r="K43" s="353"/>
      <c r="L43" s="353"/>
      <c r="M43" s="353"/>
      <c r="N43" s="353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0"/>
      <c r="AB43" s="310"/>
      <c r="AC43" s="310"/>
      <c r="AD43" s="310"/>
      <c r="AE43" s="412" t="s">
        <v>508</v>
      </c>
      <c r="AF43" s="220">
        <v>140</v>
      </c>
      <c r="AG43" s="441" t="e">
        <f>SUMIF(C$10:C$53,AF43,G$10:G$53)*24+SUMIF(H$10:H$53,AF43,L$10:L$53)*24+SUMIF(N$10:N$53,AF43,R$10:R$53)*24+SUMIF(S$10:S$53,AF43,W$10:W$53)*24+SUMIF(X$10:X$53,AF43,AB$10:AB$53)*24+SUMIF(AC$10:AC$53,AF43,#REF!)*24+SUMIF(#REF!,AF43,#REF!)*24+SUMIF(#REF!,AF43,#REF!)*24</f>
        <v>#REF!</v>
      </c>
      <c r="AH43" s="441"/>
      <c r="AI43" s="442">
        <f t="shared" si="0"/>
        <v>0</v>
      </c>
      <c r="AJ43" s="441" t="e">
        <f t="shared" si="1"/>
        <v>#REF!</v>
      </c>
      <c r="AK43" s="310"/>
      <c r="AL43" s="310"/>
    </row>
    <row r="44" spans="1:38" ht="15" customHeight="1">
      <c r="A44" s="310"/>
      <c r="B44" s="310"/>
      <c r="C44" s="310"/>
      <c r="D44" s="310"/>
      <c r="E44" s="310"/>
      <c r="F44" s="311"/>
      <c r="G44" s="311"/>
      <c r="H44" s="1"/>
      <c r="I44" s="353"/>
      <c r="J44" s="353"/>
      <c r="K44" s="353"/>
      <c r="L44" s="353"/>
      <c r="M44" s="353"/>
      <c r="N44" s="353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435" t="s">
        <v>509</v>
      </c>
      <c r="AF44" s="220">
        <v>141</v>
      </c>
      <c r="AG44" s="441" t="e">
        <f>SUMIF(C$10:C$53,AF44,G$10:G$53)*24+SUMIF(H$10:H$53,AF44,L$10:L$53)*24+SUMIF(N$10:N$53,AF44,R$10:R$53)*24+SUMIF(S$10:S$53,AF44,W$10:W$53)*24+SUMIF(X$10:X$53,AF44,AB$10:AB$53)*24+SUMIF(AC$10:AC$53,AF44,#REF!)*24+SUMIF(#REF!,AF44,#REF!)*24+SUMIF(#REF!,AF44,#REF!)*24</f>
        <v>#REF!</v>
      </c>
      <c r="AH44" s="441"/>
      <c r="AI44" s="442">
        <f t="shared" si="0"/>
        <v>0</v>
      </c>
      <c r="AJ44" s="441" t="e">
        <f t="shared" si="1"/>
        <v>#REF!</v>
      </c>
      <c r="AK44" s="310"/>
      <c r="AL44" s="310"/>
    </row>
    <row r="45" spans="1:38" ht="15.75" customHeight="1">
      <c r="A45" s="310"/>
      <c r="B45" s="310"/>
      <c r="C45" s="310"/>
      <c r="D45" s="310"/>
      <c r="E45" s="310"/>
      <c r="F45" s="311"/>
      <c r="G45" s="311"/>
      <c r="H45" s="1"/>
      <c r="I45" s="353"/>
      <c r="J45" s="353"/>
      <c r="K45" s="353"/>
      <c r="L45" s="353"/>
      <c r="M45" s="353"/>
      <c r="N45" s="353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310"/>
      <c r="AB45" s="310"/>
      <c r="AC45" s="310"/>
      <c r="AD45" s="310"/>
      <c r="AE45" s="435" t="s">
        <v>510</v>
      </c>
      <c r="AF45" s="220">
        <v>147</v>
      </c>
      <c r="AG45" s="441" t="e">
        <f>SUMIF(C$10:C$53,AF45,G$10:G$53)*24+SUMIF(H$10:H$53,AF45,L$10:L$53)*24+SUMIF(N$10:N$53,AF45,R$10:R$53)*24+SUMIF(S$10:S$53,AF45,W$10:W$53)*24+SUMIF(X$10:X$53,AF45,AB$10:AB$53)*24+SUMIF(AC$10:AC$53,AF45,#REF!)*24+SUMIF(#REF!,AF45,#REF!)*24+SUMIF(#REF!,AF45,#REF!)*24</f>
        <v>#REF!</v>
      </c>
      <c r="AH45" s="441"/>
      <c r="AI45" s="442">
        <f t="shared" si="0"/>
        <v>0</v>
      </c>
      <c r="AJ45" s="441" t="e">
        <f t="shared" si="1"/>
        <v>#REF!</v>
      </c>
      <c r="AK45" s="310"/>
      <c r="AL45" s="310"/>
    </row>
    <row r="46" spans="1:38" ht="15.75" customHeight="1">
      <c r="A46" s="310"/>
      <c r="B46" s="310"/>
      <c r="C46" s="310"/>
      <c r="D46" s="310"/>
      <c r="E46" s="310"/>
      <c r="F46" s="311"/>
      <c r="G46" s="311"/>
      <c r="H46" s="1"/>
      <c r="I46" s="353"/>
      <c r="J46" s="353"/>
      <c r="K46" s="353"/>
      <c r="L46" s="353"/>
      <c r="M46" s="353"/>
      <c r="N46" s="353"/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  <c r="AA46" s="310"/>
      <c r="AB46" s="310"/>
      <c r="AC46" s="310"/>
      <c r="AD46" s="310"/>
      <c r="AE46" s="435" t="s">
        <v>511</v>
      </c>
      <c r="AF46" s="220">
        <v>152</v>
      </c>
      <c r="AG46" s="441" t="e">
        <f>SUMIF(C$10:C$53,AF46,G$10:G$53)*24+SUMIF(H$10:H$53,AF46,L$10:L$53)*24+SUMIF(N$10:N$53,AF46,R$10:R$53)*24+SUMIF(S$10:S$53,AF46,W$10:W$53)*24+SUMIF(X$10:X$53,AF46,AB$10:AB$53)*24+SUMIF(AC$10:AC$53,AF46,#REF!)*24+SUMIF(#REF!,AF46,#REF!)*24+SUMIF(#REF!,AF46,#REF!)*24</f>
        <v>#REF!</v>
      </c>
      <c r="AH46" s="441"/>
      <c r="AI46" s="442">
        <f t="shared" si="0"/>
        <v>0</v>
      </c>
      <c r="AJ46" s="441" t="e">
        <f t="shared" si="1"/>
        <v>#REF!</v>
      </c>
      <c r="AK46" s="310"/>
      <c r="AL46" s="310"/>
    </row>
    <row r="47" spans="1:38" ht="15.75" customHeight="1">
      <c r="A47" s="310"/>
      <c r="B47" s="310"/>
      <c r="C47" s="310"/>
      <c r="D47" s="310"/>
      <c r="E47" s="310"/>
      <c r="F47" s="311"/>
      <c r="G47" s="311"/>
      <c r="H47" s="1"/>
      <c r="I47" s="353"/>
      <c r="J47" s="353"/>
      <c r="K47" s="353"/>
      <c r="L47" s="353"/>
      <c r="M47" s="353"/>
      <c r="N47" s="353"/>
      <c r="O47" s="310"/>
      <c r="P47" s="310"/>
      <c r="Q47" s="310"/>
      <c r="R47" s="310"/>
      <c r="S47" s="310"/>
      <c r="T47" s="310"/>
      <c r="U47" s="310"/>
      <c r="V47" s="310"/>
      <c r="W47" s="310"/>
      <c r="X47" s="310"/>
      <c r="Y47" s="310"/>
      <c r="Z47" s="310"/>
      <c r="AA47" s="310"/>
      <c r="AB47" s="310"/>
      <c r="AC47" s="310"/>
      <c r="AD47" s="310"/>
      <c r="AE47" s="435" t="s">
        <v>512</v>
      </c>
      <c r="AF47" s="220">
        <v>153</v>
      </c>
      <c r="AG47" s="441" t="e">
        <f>SUMIF(C$10:C$53,AF47,G$10:G$53)*24+SUMIF(H$10:H$53,AF47,L$10:L$53)*24+SUMIF(N$10:N$53,AF47,R$10:R$53)*24+SUMIF(S$10:S$53,AF47,W$10:W$53)*24+SUMIF(X$10:X$53,AF47,AB$10:AB$53)*24+SUMIF(AC$10:AC$53,AF47,#REF!)*24+SUMIF(#REF!,AF47,#REF!)*24+SUMIF(#REF!,AF47,#REF!)*24</f>
        <v>#REF!</v>
      </c>
      <c r="AH47" s="441"/>
      <c r="AI47" s="442">
        <f t="shared" si="0"/>
        <v>0</v>
      </c>
      <c r="AJ47" s="441" t="e">
        <f t="shared" si="1"/>
        <v>#REF!</v>
      </c>
      <c r="AK47" s="310"/>
      <c r="AL47" s="310"/>
    </row>
    <row r="48" spans="1:38" ht="15.75" customHeight="1">
      <c r="A48" s="310"/>
      <c r="B48" s="310"/>
      <c r="C48" s="310"/>
      <c r="D48" s="310"/>
      <c r="E48" s="310"/>
      <c r="F48" s="311"/>
      <c r="G48" s="311"/>
      <c r="H48" s="1"/>
      <c r="I48" s="353"/>
      <c r="J48" s="353"/>
      <c r="K48" s="353"/>
      <c r="L48" s="353"/>
      <c r="M48" s="353"/>
      <c r="N48" s="353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  <c r="Z48" s="310"/>
      <c r="AA48" s="310"/>
      <c r="AB48" s="310"/>
      <c r="AC48" s="310"/>
      <c r="AD48" s="310"/>
      <c r="AE48" s="435" t="s">
        <v>513</v>
      </c>
      <c r="AF48" s="245">
        <v>161</v>
      </c>
      <c r="AG48" s="441" t="e">
        <f>SUMIF(C$10:C$53,AF48,G$10:G$53)*24+SUMIF(H$10:H$53,AF48,L$10:L$53)*24+SUMIF(N$10:N$53,AF48,R$10:R$53)*24+SUMIF(S$10:S$53,AF48,W$10:W$53)*24+SUMIF(X$10:X$53,AF48,AB$10:AB$53)*24+SUMIF(AC$10:AC$53,AF48,#REF!)*24+SUMIF(#REF!,AF48,#REF!)*24+SUMIF(#REF!,AF48,#REF!)*24</f>
        <v>#REF!</v>
      </c>
      <c r="AH48" s="441"/>
      <c r="AI48" s="442">
        <f t="shared" si="0"/>
        <v>0</v>
      </c>
      <c r="AJ48" s="441" t="e">
        <f t="shared" si="1"/>
        <v>#REF!</v>
      </c>
      <c r="AK48" s="310"/>
      <c r="AL48" s="310"/>
    </row>
    <row r="49" spans="1:38" ht="15.75" customHeight="1">
      <c r="A49" s="310"/>
      <c r="B49" s="310"/>
      <c r="C49" s="310"/>
      <c r="D49" s="310"/>
      <c r="E49" s="310"/>
      <c r="F49" s="311"/>
      <c r="G49" s="311"/>
      <c r="H49" s="1"/>
      <c r="I49" s="353"/>
      <c r="J49" s="353"/>
      <c r="K49" s="353"/>
      <c r="L49" s="353"/>
      <c r="M49" s="353"/>
      <c r="N49" s="353"/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  <c r="Z49" s="310"/>
      <c r="AA49" s="310"/>
      <c r="AB49" s="310"/>
      <c r="AC49" s="310"/>
      <c r="AD49" s="310"/>
      <c r="AE49" s="438" t="s">
        <v>514</v>
      </c>
      <c r="AF49" s="222">
        <v>178</v>
      </c>
      <c r="AG49" s="441" t="e">
        <f>SUMIF(C$10:C$53,AF49,G$10:G$53)*24+SUMIF(H$10:H$53,AF49,L$10:L$53)*24+SUMIF(N$10:N$53,AF49,R$10:R$53)*24+SUMIF(S$10:S$53,AF49,W$10:W$53)*24+SUMIF(X$10:X$53,AF49,AB$10:AB$53)*24+SUMIF(AC$10:AC$53,AF49,#REF!)*24+SUMIF(#REF!,AF49,#REF!)*24+SUMIF(#REF!,AF49,#REF!)*24</f>
        <v>#REF!</v>
      </c>
      <c r="AH49" s="441"/>
      <c r="AI49" s="442">
        <f t="shared" si="0"/>
        <v>0</v>
      </c>
      <c r="AJ49" s="441" t="e">
        <f t="shared" si="1"/>
        <v>#REF!</v>
      </c>
      <c r="AK49" s="310"/>
      <c r="AL49" s="310"/>
    </row>
    <row r="50" spans="1:38" ht="15.75" customHeight="1">
      <c r="A50" s="310"/>
      <c r="B50" s="310"/>
      <c r="C50" s="310"/>
      <c r="D50" s="310"/>
      <c r="E50" s="310"/>
      <c r="F50" s="311"/>
      <c r="G50" s="311"/>
      <c r="H50" s="1"/>
      <c r="I50" s="353"/>
      <c r="J50" s="353"/>
      <c r="K50" s="353"/>
      <c r="L50" s="353"/>
      <c r="M50" s="353"/>
      <c r="N50" s="353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10"/>
      <c r="AC50" s="310"/>
      <c r="AD50" s="310"/>
      <c r="AE50" s="435" t="s">
        <v>515</v>
      </c>
      <c r="AF50" s="220">
        <v>181</v>
      </c>
      <c r="AG50" s="441" t="e">
        <f>SUMIF(C$10:C$53,AF50,G$10:G$53)*24+SUMIF(H$10:H$53,AF50,L$10:L$53)*24+SUMIF(N$10:N$53,AF50,R$10:R$53)*24+SUMIF(S$10:S$53,AF50,W$10:W$53)*24+SUMIF(X$10:X$53,AF50,AB$10:AB$53)*24+SUMIF(AC$10:AC$53,AF50,#REF!)*24+SUMIF(#REF!,AF50,#REF!)*24+SUMIF(#REF!,AF50,#REF!)*24</f>
        <v>#REF!</v>
      </c>
      <c r="AH50" s="441"/>
      <c r="AI50" s="442">
        <f t="shared" si="0"/>
        <v>0</v>
      </c>
      <c r="AJ50" s="441" t="e">
        <f t="shared" si="1"/>
        <v>#REF!</v>
      </c>
      <c r="AK50" s="310"/>
      <c r="AL50" s="310"/>
    </row>
    <row r="51" spans="1:38" ht="15.75" customHeight="1">
      <c r="A51" s="310"/>
      <c r="B51" s="310"/>
      <c r="C51" s="310"/>
      <c r="D51" s="310"/>
      <c r="E51" s="310"/>
      <c r="F51" s="311"/>
      <c r="G51" s="311"/>
      <c r="H51" s="1"/>
      <c r="I51" s="353"/>
      <c r="J51" s="353"/>
      <c r="K51" s="353"/>
      <c r="L51" s="353"/>
      <c r="M51" s="353"/>
      <c r="N51" s="353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0"/>
      <c r="AA51" s="310"/>
      <c r="AB51" s="310"/>
      <c r="AC51" s="310"/>
      <c r="AD51" s="310"/>
      <c r="AE51" s="435" t="s">
        <v>516</v>
      </c>
      <c r="AF51" s="220">
        <v>186</v>
      </c>
      <c r="AG51" s="441" t="e">
        <f>SUMIF(C$10:C$53,AF51,G$10:G$53)*24+SUMIF(H$10:H$53,AF51,L$10:L$53)*24+SUMIF(N$10:N$53,AF51,R$10:R$53)*24+SUMIF(S$10:S$53,AF51,W$10:W$53)*24+SUMIF(X$10:X$53,AF51,AB$10:AB$53)*24+SUMIF(AC$10:AC$53,AF51,#REF!)*24+SUMIF(#REF!,AF51,#REF!)*24+SUMIF(#REF!,AF51,#REF!)*24</f>
        <v>#REF!</v>
      </c>
      <c r="AH51" s="441"/>
      <c r="AI51" s="442">
        <f t="shared" si="0"/>
        <v>0</v>
      </c>
      <c r="AJ51" s="441" t="e">
        <f t="shared" si="1"/>
        <v>#REF!</v>
      </c>
      <c r="AK51" s="310"/>
      <c r="AL51" s="310"/>
    </row>
    <row r="52" spans="1:38" ht="15.75" customHeight="1">
      <c r="A52" s="310"/>
      <c r="B52" s="310"/>
      <c r="C52" s="310"/>
      <c r="D52" s="310"/>
      <c r="E52" s="310"/>
      <c r="F52" s="311"/>
      <c r="G52" s="311"/>
      <c r="H52" s="1"/>
      <c r="I52" s="353"/>
      <c r="J52" s="353"/>
      <c r="K52" s="353"/>
      <c r="L52" s="353"/>
      <c r="M52" s="353"/>
      <c r="N52" s="353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435" t="s">
        <v>517</v>
      </c>
      <c r="AF52" s="220">
        <v>190</v>
      </c>
      <c r="AG52" s="441" t="e">
        <f>SUMIF(C$10:C$53,AF52,G$10:G$53)*24+SUMIF(H$10:H$53,AF52,L$10:L$53)*24+SUMIF(N$10:N$53,AF52,R$10:R$53)*24+SUMIF(S$10:S$53,AF52,W$10:W$53)*24+SUMIF(X$10:X$53,AF52,AB$10:AB$53)*24+SUMIF(AC$10:AC$53,AF52,#REF!)*24+SUMIF(#REF!,AF52,#REF!)*24+SUMIF(#REF!,AF52,#REF!)*24</f>
        <v>#REF!</v>
      </c>
      <c r="AH52" s="441"/>
      <c r="AI52" s="442">
        <f t="shared" si="0"/>
        <v>0</v>
      </c>
      <c r="AJ52" s="441" t="e">
        <f t="shared" si="1"/>
        <v>#REF!</v>
      </c>
      <c r="AK52" s="310"/>
      <c r="AL52" s="310"/>
    </row>
    <row r="53" spans="1:38" ht="15.75" customHeight="1">
      <c r="A53" s="310"/>
      <c r="B53" s="310"/>
      <c r="C53" s="310"/>
      <c r="D53" s="310"/>
      <c r="E53" s="310"/>
      <c r="F53" s="311"/>
      <c r="G53" s="311"/>
      <c r="H53" s="1"/>
      <c r="I53" s="353"/>
      <c r="J53" s="353"/>
      <c r="K53" s="353"/>
      <c r="L53" s="353"/>
      <c r="M53" s="353"/>
      <c r="N53" s="353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435" t="s">
        <v>518</v>
      </c>
      <c r="AF53" s="220">
        <v>196</v>
      </c>
      <c r="AG53" s="441" t="e">
        <f>SUMIF(C$10:C$53,AF53,G$10:G$53)*24+SUMIF(H$10:H$53,AF53,L$10:L$53)*24+SUMIF(N$10:N$53,AF53,R$10:R$53)*24+SUMIF(S$10:S$53,AF53,W$10:W$53)*24+SUMIF(X$10:X$53,AF53,AB$10:AB$53)*24+SUMIF(AC$10:AC$53,AF53,#REF!)*24+SUMIF(#REF!,AF53,#REF!)*24+SUMIF(#REF!,AF53,#REF!)*24</f>
        <v>#REF!</v>
      </c>
      <c r="AH53" s="441"/>
      <c r="AI53" s="442">
        <f t="shared" si="0"/>
        <v>0</v>
      </c>
      <c r="AJ53" s="441" t="e">
        <f t="shared" si="1"/>
        <v>#REF!</v>
      </c>
      <c r="AK53" s="310"/>
      <c r="AL53" s="310"/>
    </row>
    <row r="54" spans="1:38" ht="15.75" customHeight="1">
      <c r="A54" s="310"/>
      <c r="B54" s="310"/>
      <c r="C54" s="310"/>
      <c r="D54" s="310"/>
      <c r="E54" s="310"/>
      <c r="F54" s="311"/>
      <c r="G54" s="311"/>
      <c r="H54" s="1"/>
      <c r="I54" s="353"/>
      <c r="J54" s="353"/>
      <c r="K54" s="353"/>
      <c r="L54" s="353"/>
      <c r="M54" s="353"/>
      <c r="N54" s="353"/>
      <c r="O54" s="310"/>
      <c r="P54" s="310"/>
      <c r="Q54" s="310"/>
      <c r="R54" s="310"/>
      <c r="S54" s="310"/>
      <c r="T54" s="310"/>
      <c r="U54" s="310"/>
      <c r="V54" s="310"/>
      <c r="W54" s="310"/>
      <c r="X54" s="310"/>
      <c r="Y54" s="310"/>
      <c r="Z54" s="310"/>
      <c r="AA54" s="310"/>
      <c r="AB54" s="310"/>
      <c r="AC54" s="310"/>
      <c r="AD54" s="310"/>
      <c r="AE54" s="435" t="s">
        <v>519</v>
      </c>
      <c r="AF54" s="220">
        <v>197</v>
      </c>
      <c r="AG54" s="441" t="e">
        <f>SUMIF(C$10:C$53,AF54,G$10:G$53)*24+SUMIF(H$10:H$53,AF54,L$10:L$53)*24+SUMIF(N$10:N$53,AF54,R$10:R$53)*24+SUMIF(S$10:S$53,AF54,W$10:W$53)*24+SUMIF(X$10:X$53,AF54,AB$10:AB$53)*24+SUMIF(AC$10:AC$53,AF54,#REF!)*24+SUMIF(#REF!,AF54,#REF!)*24+SUMIF(#REF!,AF54,#REF!)*24</f>
        <v>#REF!</v>
      </c>
      <c r="AH54" s="441"/>
      <c r="AI54" s="442">
        <f t="shared" si="0"/>
        <v>0</v>
      </c>
      <c r="AJ54" s="441" t="e">
        <f t="shared" si="1"/>
        <v>#REF!</v>
      </c>
      <c r="AK54" s="310"/>
      <c r="AL54" s="310"/>
    </row>
    <row r="55" spans="1:38" ht="15.75" customHeight="1">
      <c r="A55" s="310"/>
      <c r="B55" s="310"/>
      <c r="C55" s="310"/>
      <c r="D55" s="310"/>
      <c r="E55" s="310"/>
      <c r="F55" s="311"/>
      <c r="G55" s="311"/>
      <c r="H55" s="1"/>
      <c r="I55" s="353"/>
      <c r="J55" s="353"/>
      <c r="K55" s="353"/>
      <c r="L55" s="353"/>
      <c r="M55" s="353"/>
      <c r="N55" s="353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435" t="s">
        <v>520</v>
      </c>
      <c r="AF55" s="220">
        <v>198</v>
      </c>
      <c r="AG55" s="441" t="e">
        <f>SUMIF(C$10:C$53,AF55,G$10:G$53)*24+SUMIF(H$10:H$53,AF55,L$10:L$53)*24+SUMIF(N$10:N$53,AF55,R$10:R$53)*24+SUMIF(S$10:S$53,AF55,W$10:W$53)*24+SUMIF(X$10:X$53,AF55,AB$10:AB$53)*24+SUMIF(AC$10:AC$53,AF55,#REF!)*24+SUMIF(#REF!,AF55,#REF!)*24+SUMIF(#REF!,AF55,#REF!)*24</f>
        <v>#REF!</v>
      </c>
      <c r="AH55" s="441"/>
      <c r="AI55" s="442">
        <f t="shared" si="0"/>
        <v>0</v>
      </c>
      <c r="AJ55" s="441" t="e">
        <f t="shared" si="1"/>
        <v>#REF!</v>
      </c>
      <c r="AK55" s="310"/>
      <c r="AL55" s="310"/>
    </row>
    <row r="56" spans="1:38" ht="15.75" customHeight="1">
      <c r="A56" s="310"/>
      <c r="B56" s="310"/>
      <c r="C56" s="310"/>
      <c r="D56" s="310"/>
      <c r="E56" s="310"/>
      <c r="F56" s="311"/>
      <c r="G56" s="311"/>
      <c r="H56" s="1"/>
      <c r="I56" s="353"/>
      <c r="J56" s="353"/>
      <c r="K56" s="353"/>
      <c r="L56" s="353"/>
      <c r="M56" s="353"/>
      <c r="N56" s="353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0"/>
      <c r="AB56" s="310"/>
      <c r="AC56" s="310"/>
      <c r="AD56" s="310"/>
      <c r="AE56" s="435" t="s">
        <v>521</v>
      </c>
      <c r="AF56" s="220">
        <v>199</v>
      </c>
      <c r="AG56" s="441" t="e">
        <f>SUMIF(C$10:C$53,AF56,G$10:G$53)*24+SUMIF(H$10:H$53,AF56,L$10:L$53)*24+SUMIF(N$10:N$53,AF56,R$10:R$53)*24+SUMIF(S$10:S$53,AF56,W$10:W$53)*24+SUMIF(X$10:X$53,AF56,AB$10:AB$53)*24+SUMIF(AC$10:AC$53,AF56,#REF!)*24+SUMIF(#REF!,AF56,#REF!)*24+SUMIF(#REF!,AF56,#REF!)*24</f>
        <v>#REF!</v>
      </c>
      <c r="AH56" s="441"/>
      <c r="AI56" s="442">
        <f t="shared" si="0"/>
        <v>0</v>
      </c>
      <c r="AJ56" s="441" t="e">
        <f t="shared" si="1"/>
        <v>#REF!</v>
      </c>
      <c r="AK56" s="310"/>
      <c r="AL56" s="310"/>
    </row>
    <row r="57" spans="1:38" ht="15.75" customHeight="1">
      <c r="A57" s="310"/>
      <c r="B57" s="310"/>
      <c r="C57" s="310"/>
      <c r="D57" s="310"/>
      <c r="E57" s="310"/>
      <c r="F57" s="311"/>
      <c r="G57" s="311"/>
      <c r="H57" s="1"/>
      <c r="I57" s="353"/>
      <c r="J57" s="353"/>
      <c r="K57" s="353"/>
      <c r="L57" s="353"/>
      <c r="M57" s="353"/>
      <c r="N57" s="353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438" t="s">
        <v>522</v>
      </c>
      <c r="AF57" s="222">
        <v>200</v>
      </c>
      <c r="AG57" s="441" t="e">
        <f>SUMIF(C$10:C$53,AF57,G$10:G$53)*24+SUMIF(H$10:H$53,AF57,L$10:L$53)*24+SUMIF(N$10:N$53,AF57,R$10:R$53)*24+SUMIF(S$10:S$53,AF57,W$10:W$53)*24+SUMIF(X$10:X$53,AF57,AB$10:AB$53)*24+SUMIF(AC$10:AC$53,AF57,#REF!)*24+SUMIF(#REF!,AF57,#REF!)*24+SUMIF(#REF!,AF57,#REF!)*24</f>
        <v>#REF!</v>
      </c>
      <c r="AH57" s="441"/>
      <c r="AI57" s="442">
        <f t="shared" si="0"/>
        <v>0</v>
      </c>
      <c r="AJ57" s="441" t="e">
        <f t="shared" si="1"/>
        <v>#REF!</v>
      </c>
      <c r="AK57" s="310"/>
      <c r="AL57" s="310"/>
    </row>
    <row r="58" spans="1:38" ht="15.75" customHeight="1">
      <c r="A58" s="310"/>
      <c r="B58" s="310"/>
      <c r="C58" s="310"/>
      <c r="D58" s="310"/>
      <c r="E58" s="310"/>
      <c r="F58" s="311"/>
      <c r="G58" s="311"/>
      <c r="H58" s="1"/>
      <c r="I58" s="353"/>
      <c r="J58" s="353"/>
      <c r="K58" s="353"/>
      <c r="L58" s="353"/>
      <c r="M58" s="353"/>
      <c r="N58" s="353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310"/>
      <c r="AB58" s="310"/>
      <c r="AC58" s="310"/>
      <c r="AD58" s="310"/>
      <c r="AE58" s="412" t="s">
        <v>523</v>
      </c>
      <c r="AF58" s="220">
        <v>201</v>
      </c>
      <c r="AG58" s="441" t="e">
        <f>SUMIF(C$10:C$53,AF58,G$10:G$53)*24+SUMIF(H$10:H$53,AF58,L$10:L$53)*24+SUMIF(N$10:N$53,AF58,R$10:R$53)*24+SUMIF(S$10:S$53,AF58,W$10:W$53)*24+SUMIF(X$10:X$53,AF58,AB$10:AB$53)*24+SUMIF(AC$10:AC$53,AF58,#REF!)*24+SUMIF(#REF!,AF58,#REF!)*24+SUMIF(#REF!,AF58,#REF!)*24</f>
        <v>#REF!</v>
      </c>
      <c r="AH58" s="441"/>
      <c r="AI58" s="442">
        <f t="shared" si="0"/>
        <v>0</v>
      </c>
      <c r="AJ58" s="441" t="e">
        <f t="shared" si="1"/>
        <v>#REF!</v>
      </c>
      <c r="AK58" s="310"/>
      <c r="AL58" s="310"/>
    </row>
    <row r="59" spans="1:38" ht="15.75" customHeight="1">
      <c r="A59" s="310"/>
      <c r="B59" s="310"/>
      <c r="C59" s="310"/>
      <c r="D59" s="310"/>
      <c r="E59" s="310"/>
      <c r="F59" s="311"/>
      <c r="G59" s="311"/>
      <c r="H59" s="1"/>
      <c r="I59" s="353"/>
      <c r="J59" s="353"/>
      <c r="K59" s="353"/>
      <c r="L59" s="353"/>
      <c r="M59" s="353"/>
      <c r="N59" s="353"/>
      <c r="O59" s="310"/>
      <c r="P59" s="310"/>
      <c r="Q59" s="310"/>
      <c r="R59" s="310"/>
      <c r="S59" s="310"/>
      <c r="T59" s="310"/>
      <c r="U59" s="310"/>
      <c r="V59" s="310"/>
      <c r="W59" s="310"/>
      <c r="X59" s="310"/>
      <c r="Y59" s="310"/>
      <c r="Z59" s="310"/>
      <c r="AA59" s="310"/>
      <c r="AB59" s="310"/>
      <c r="AC59" s="310"/>
      <c r="AD59" s="310"/>
      <c r="AE59" s="439"/>
      <c r="AF59" s="220">
        <v>202</v>
      </c>
      <c r="AG59" s="441" t="e">
        <f>SUMIF(C$10:C$53,AF59,G$10:G$53)*24+SUMIF(H$10:H$53,AF59,L$10:L$53)*24+SUMIF(N$10:N$53,AF59,R$10:R$53)*24+SUMIF(S$10:S$53,AF59,W$10:W$53)*24+SUMIF(X$10:X$53,AF59,AB$10:AB$53)*24+SUMIF(AC$10:AC$53,AF59,#REF!)*24+SUMIF(#REF!,AF59,#REF!)*24+SUMIF(#REF!,AF59,#REF!)*24</f>
        <v>#REF!</v>
      </c>
      <c r="AH59" s="441"/>
      <c r="AI59" s="442">
        <f t="shared" si="0"/>
        <v>0</v>
      </c>
      <c r="AJ59" s="441" t="e">
        <f t="shared" si="1"/>
        <v>#REF!</v>
      </c>
      <c r="AK59" s="310"/>
      <c r="AL59" s="310"/>
    </row>
    <row r="60" spans="1:38" ht="15.75" customHeight="1">
      <c r="A60" s="310"/>
      <c r="B60" s="310"/>
      <c r="C60" s="310"/>
      <c r="D60" s="310"/>
      <c r="E60" s="310"/>
      <c r="F60" s="311"/>
      <c r="G60" s="311"/>
      <c r="H60" s="1"/>
      <c r="I60" s="353"/>
      <c r="J60" s="353"/>
      <c r="K60" s="353"/>
      <c r="L60" s="353"/>
      <c r="M60" s="353"/>
      <c r="N60" s="353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439"/>
      <c r="AF60" s="220">
        <v>203</v>
      </c>
      <c r="AG60" s="441" t="e">
        <f>SUMIF(C$10:C$53,AF60,G$10:G$53)*24+SUMIF(H$10:H$53,AF60,L$10:L$53)*24+SUMIF(N$10:N$53,AF60,R$10:R$53)*24+SUMIF(S$10:S$53,AF60,W$10:W$53)*24+SUMIF(X$10:X$53,AF60,AB$10:AB$53)*24+SUMIF(AC$10:AC$53,AF60,#REF!)*24+SUMIF(#REF!,AF60,#REF!)*24+SUMIF(#REF!,AF60,#REF!)*24</f>
        <v>#REF!</v>
      </c>
      <c r="AH60" s="441"/>
      <c r="AI60" s="442">
        <f t="shared" si="0"/>
        <v>0</v>
      </c>
      <c r="AJ60" s="441" t="e">
        <f t="shared" si="1"/>
        <v>#REF!</v>
      </c>
      <c r="AK60" s="310"/>
      <c r="AL60" s="310"/>
    </row>
    <row r="61" spans="1:38" ht="15.75" customHeight="1">
      <c r="A61" s="310"/>
      <c r="B61" s="310"/>
      <c r="C61" s="310"/>
      <c r="D61" s="310"/>
      <c r="E61" s="310"/>
      <c r="F61" s="311"/>
      <c r="G61" s="311"/>
      <c r="H61" s="1"/>
      <c r="I61" s="353"/>
      <c r="J61" s="353"/>
      <c r="K61" s="353"/>
      <c r="L61" s="353"/>
      <c r="M61" s="353"/>
      <c r="N61" s="353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  <c r="Z61" s="310"/>
      <c r="AA61" s="310"/>
      <c r="AB61" s="310"/>
      <c r="AC61" s="310"/>
      <c r="AD61" s="310"/>
      <c r="AE61" s="439"/>
      <c r="AF61" s="220">
        <v>204</v>
      </c>
      <c r="AG61" s="441" t="e">
        <f>SUMIF(C$10:C$53,AF61,G$10:G$53)*24+SUMIF(H$10:H$53,AF61,L$10:L$53)*24+SUMIF(N$10:N$53,AF61,R$10:R$53)*24+SUMIF(S$10:S$53,AF61,W$10:W$53)*24+SUMIF(X$10:X$53,AF61,AB$10:AB$53)*24+SUMIF(AC$10:AC$53,AF61,#REF!)*24+SUMIF(#REF!,AF61,#REF!)*24+SUMIF(#REF!,AF61,#REF!)*24</f>
        <v>#REF!</v>
      </c>
      <c r="AH61" s="441"/>
      <c r="AI61" s="442">
        <f t="shared" si="0"/>
        <v>0</v>
      </c>
      <c r="AJ61" s="441" t="e">
        <f t="shared" si="1"/>
        <v>#REF!</v>
      </c>
      <c r="AK61" s="310"/>
      <c r="AL61" s="310"/>
    </row>
    <row r="62" spans="1:38" ht="15.75" customHeight="1">
      <c r="A62" s="310"/>
      <c r="B62" s="310"/>
      <c r="C62" s="310"/>
      <c r="D62" s="310"/>
      <c r="E62" s="310"/>
      <c r="F62" s="311"/>
      <c r="G62" s="311"/>
      <c r="H62" s="1"/>
      <c r="I62" s="353"/>
      <c r="J62" s="353"/>
      <c r="K62" s="353"/>
      <c r="L62" s="353"/>
      <c r="M62" s="353"/>
      <c r="N62" s="353"/>
      <c r="O62" s="310"/>
      <c r="P62" s="310"/>
      <c r="Q62" s="310"/>
      <c r="R62" s="310"/>
      <c r="S62" s="310"/>
      <c r="T62" s="310"/>
      <c r="U62" s="310"/>
      <c r="V62" s="310"/>
      <c r="W62" s="310"/>
      <c r="X62" s="310"/>
      <c r="Y62" s="310"/>
      <c r="Z62" s="310"/>
      <c r="AA62" s="310"/>
      <c r="AB62" s="310"/>
      <c r="AC62" s="310"/>
      <c r="AD62" s="310"/>
      <c r="AE62" s="2"/>
      <c r="AF62" s="222">
        <v>205</v>
      </c>
      <c r="AG62" s="441" t="e">
        <f>SUMIF(C$10:C$53,AF62,G$10:G$53)*24+SUMIF(H$10:H$53,AF62,L$10:L$53)*24+SUMIF(N$10:N$53,AF62,R$10:R$53)*24+SUMIF(S$10:S$53,AF62,W$10:W$53)*24+SUMIF(X$10:X$53,AF62,AB$10:AB$53)*24+SUMIF(AC$10:AC$53,AF62,#REF!)*24+SUMIF(#REF!,AF62,#REF!)*24+SUMIF(#REF!,AF62,#REF!)*24</f>
        <v>#REF!</v>
      </c>
      <c r="AH62" s="441"/>
      <c r="AI62" s="442">
        <f t="shared" si="0"/>
        <v>0</v>
      </c>
      <c r="AJ62" s="441" t="e">
        <f t="shared" si="1"/>
        <v>#REF!</v>
      </c>
      <c r="AK62" s="310"/>
      <c r="AL62" s="310"/>
    </row>
    <row r="63" spans="1:38" ht="15.75" customHeight="1">
      <c r="A63" s="310"/>
      <c r="B63" s="310"/>
      <c r="C63" s="310"/>
      <c r="D63" s="310"/>
      <c r="E63" s="310"/>
      <c r="F63" s="311"/>
      <c r="G63" s="311"/>
      <c r="H63" s="1"/>
      <c r="I63" s="353"/>
      <c r="J63" s="353"/>
      <c r="K63" s="353"/>
      <c r="L63" s="353"/>
      <c r="M63" s="353"/>
      <c r="N63" s="353"/>
      <c r="O63" s="310"/>
      <c r="P63" s="310"/>
      <c r="Q63" s="310"/>
      <c r="R63" s="310"/>
      <c r="S63" s="310"/>
      <c r="T63" s="310"/>
      <c r="U63" s="310"/>
      <c r="V63" s="310"/>
      <c r="W63" s="310"/>
      <c r="X63" s="310"/>
      <c r="Y63" s="310"/>
      <c r="Z63" s="310"/>
      <c r="AA63" s="310"/>
      <c r="AB63" s="310"/>
      <c r="AC63" s="310"/>
      <c r="AD63" s="310"/>
      <c r="AE63" s="5"/>
      <c r="AF63" s="406">
        <v>206</v>
      </c>
      <c r="AG63" s="441" t="e">
        <f>SUMIF(C$10:C$53,AF63,G$10:G$53)*24+SUMIF(H$10:H$53,AF63,L$10:L$53)*24+SUMIF(N$10:N$53,AF63,R$10:R$53)*24+SUMIF(S$10:S$53,AF63,W$10:W$53)*24+SUMIF(X$10:X$53,AF63,AB$10:AB$53)*24+SUMIF(AC$10:AC$53,AF63,#REF!)*24+SUMIF(#REF!,AF63,#REF!)*24+SUMIF(#REF!,AF63,#REF!)*24</f>
        <v>#REF!</v>
      </c>
      <c r="AH63" s="441"/>
      <c r="AI63" s="442">
        <f t="shared" si="0"/>
        <v>0</v>
      </c>
      <c r="AJ63" s="441" t="e">
        <f t="shared" si="1"/>
        <v>#REF!</v>
      </c>
      <c r="AK63" s="310"/>
      <c r="AL63" s="310"/>
    </row>
    <row r="64" spans="1:38" ht="15.75" customHeight="1">
      <c r="A64" s="310"/>
      <c r="B64" s="310"/>
      <c r="C64" s="310"/>
      <c r="D64" s="310"/>
      <c r="E64" s="310"/>
      <c r="F64" s="311"/>
      <c r="G64" s="311"/>
      <c r="H64" s="1"/>
      <c r="I64" s="353"/>
      <c r="J64" s="353"/>
      <c r="K64" s="353"/>
      <c r="L64" s="353"/>
      <c r="M64" s="353"/>
      <c r="N64" s="353"/>
      <c r="O64" s="310"/>
      <c r="P64" s="310"/>
      <c r="Q64" s="310"/>
      <c r="R64" s="310"/>
      <c r="S64" s="310"/>
      <c r="T64" s="310"/>
      <c r="U64" s="310"/>
      <c r="V64" s="310"/>
      <c r="W64" s="310"/>
      <c r="X64" s="310"/>
      <c r="Y64" s="310"/>
      <c r="Z64" s="310"/>
      <c r="AA64" s="310"/>
      <c r="AB64" s="310"/>
      <c r="AC64" s="310"/>
      <c r="AD64" s="310"/>
      <c r="AE64" s="8"/>
      <c r="AF64" s="222">
        <v>207</v>
      </c>
      <c r="AG64" s="441" t="e">
        <f>SUMIF(C$10:C$53,AF64,G$10:G$53)*24+SUMIF(H$10:H$53,AF64,L$10:L$53)*24+SUMIF(N$10:N$53,AF64,R$10:R$53)*24+SUMIF(S$10:S$53,AF64,W$10:W$53)*24+SUMIF(X$10:X$53,AF64,AB$10:AB$53)*24+SUMIF(AC$10:AC$53,AF64,#REF!)*24+SUMIF(#REF!,AF64,#REF!)*24+SUMIF(#REF!,AF64,#REF!)*24</f>
        <v>#REF!</v>
      </c>
      <c r="AH64" s="441"/>
      <c r="AI64" s="442">
        <f t="shared" si="0"/>
        <v>0</v>
      </c>
      <c r="AJ64" s="441" t="e">
        <f t="shared" si="1"/>
        <v>#REF!</v>
      </c>
      <c r="AK64" s="310"/>
      <c r="AL64" s="310"/>
    </row>
    <row r="65" spans="1:38" ht="15.75" customHeight="1">
      <c r="A65" s="310"/>
      <c r="B65" s="310"/>
      <c r="C65" s="310"/>
      <c r="D65" s="310"/>
      <c r="E65" s="310"/>
      <c r="F65" s="311"/>
      <c r="G65" s="311"/>
      <c r="H65" s="1"/>
      <c r="I65" s="353"/>
      <c r="J65" s="353"/>
      <c r="K65" s="353"/>
      <c r="L65" s="353"/>
      <c r="M65" s="353"/>
      <c r="N65" s="353"/>
      <c r="O65" s="310"/>
      <c r="P65" s="310"/>
      <c r="Q65" s="310"/>
      <c r="R65" s="310"/>
      <c r="S65" s="310"/>
      <c r="T65" s="310"/>
      <c r="U65" s="310"/>
      <c r="V65" s="310"/>
      <c r="W65" s="310"/>
      <c r="X65" s="310"/>
      <c r="Y65" s="310"/>
      <c r="Z65" s="310"/>
      <c r="AA65" s="310"/>
      <c r="AB65" s="310"/>
      <c r="AC65" s="310"/>
      <c r="AD65" s="310"/>
      <c r="AE65" s="446"/>
      <c r="AF65" s="447">
        <v>208</v>
      </c>
      <c r="AG65" s="441" t="e">
        <f>SUMIF(C$10:C$53,AF65,G$10:G$53)*24+SUMIF(H$10:H$53,AF65,L$10:L$53)*24+SUMIF(N$10:N$53,AF65,R$10:R$53)*24+SUMIF(S$10:S$53,AF65,W$10:W$53)*24+SUMIF(X$10:X$53,AF65,AB$10:AB$53)*24+SUMIF(AC$10:AC$53,AF65,#REF!)*24+SUMIF(#REF!,AF65,#REF!)*24+SUMIF(#REF!,AF65,#REF!)*24</f>
        <v>#REF!</v>
      </c>
      <c r="AH65" s="441"/>
      <c r="AI65" s="442">
        <f t="shared" si="0"/>
        <v>0</v>
      </c>
      <c r="AJ65" s="441" t="e">
        <f t="shared" si="1"/>
        <v>#REF!</v>
      </c>
      <c r="AK65" s="310"/>
      <c r="AL65" s="310"/>
    </row>
    <row r="66" spans="1:38" ht="15.75" customHeight="1">
      <c r="A66" s="310"/>
      <c r="B66" s="310"/>
      <c r="C66" s="310"/>
      <c r="D66" s="310"/>
      <c r="E66" s="310"/>
      <c r="F66" s="311"/>
      <c r="G66" s="311"/>
      <c r="H66" s="1"/>
      <c r="I66" s="353"/>
      <c r="J66" s="353"/>
      <c r="K66" s="353"/>
      <c r="L66" s="353"/>
      <c r="M66" s="353"/>
      <c r="N66" s="353"/>
      <c r="O66" s="310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  <c r="AB66" s="310"/>
      <c r="AC66" s="310"/>
      <c r="AD66" s="310"/>
      <c r="AE66" s="446"/>
      <c r="AF66" s="448">
        <v>209</v>
      </c>
      <c r="AG66" s="441" t="e">
        <f>SUMIF(C$10:C$53,AF66,G$10:G$53)*24+SUMIF(H$10:H$53,AF66,L$10:L$53)*24+SUMIF(N$10:N$53,AF66,R$10:R$53)*24+SUMIF(S$10:S$53,AF66,W$10:W$53)*24+SUMIF(X$10:X$53,AF66,AB$10:AB$53)*24+SUMIF(AC$10:AC$53,AF66,#REF!)*24+SUMIF(#REF!,AF66,#REF!)*24+SUMIF(#REF!,AF66,#REF!)*24</f>
        <v>#REF!</v>
      </c>
      <c r="AH66" s="441"/>
      <c r="AI66" s="442">
        <f t="shared" si="0"/>
        <v>0</v>
      </c>
      <c r="AJ66" s="441" t="e">
        <f t="shared" si="1"/>
        <v>#REF!</v>
      </c>
      <c r="AK66" s="310"/>
      <c r="AL66" s="310"/>
    </row>
    <row r="67" spans="1:38" ht="15.75" customHeight="1">
      <c r="A67" s="310"/>
      <c r="B67" s="310"/>
      <c r="C67" s="310"/>
      <c r="D67" s="310"/>
      <c r="E67" s="310"/>
      <c r="F67" s="311"/>
      <c r="G67" s="311"/>
      <c r="H67" s="1"/>
      <c r="I67" s="353"/>
      <c r="J67" s="353"/>
      <c r="K67" s="353"/>
      <c r="L67" s="353"/>
      <c r="M67" s="353"/>
      <c r="N67" s="353"/>
      <c r="O67" s="310"/>
      <c r="P67" s="310"/>
      <c r="Q67" s="310"/>
      <c r="R67" s="310"/>
      <c r="S67" s="310"/>
      <c r="T67" s="310"/>
      <c r="U67" s="310"/>
      <c r="V67" s="310"/>
      <c r="W67" s="310"/>
      <c r="X67" s="310"/>
      <c r="Y67" s="310"/>
      <c r="Z67" s="310"/>
      <c r="AA67" s="310"/>
      <c r="AB67" s="310"/>
      <c r="AC67" s="310"/>
      <c r="AD67" s="310"/>
      <c r="AE67" s="449"/>
      <c r="AF67" s="450">
        <v>210</v>
      </c>
      <c r="AG67" s="441" t="e">
        <f>SUMIF(C$10:C$53,AF67,G$10:G$53)*24+SUMIF(H$10:H$53,AF67,L$10:L$53)*24+SUMIF(N$10:N$53,AF67,R$10:R$53)*24+SUMIF(S$10:S$53,AF67,W$10:W$53)*24+SUMIF(X$10:X$53,AF67,AB$10:AB$53)*24+SUMIF(AC$10:AC$53,AF67,#REF!)*24+SUMIF(#REF!,AF67,#REF!)*24+SUMIF(#REF!,AF67,#REF!)*24</f>
        <v>#REF!</v>
      </c>
      <c r="AH67" s="441"/>
      <c r="AI67" s="442">
        <f t="shared" si="0"/>
        <v>0</v>
      </c>
      <c r="AJ67" s="441" t="e">
        <f t="shared" si="1"/>
        <v>#REF!</v>
      </c>
      <c r="AK67" s="310"/>
      <c r="AL67" s="310"/>
    </row>
    <row r="68" spans="1:38" ht="15.75" customHeight="1">
      <c r="A68" s="310"/>
      <c r="B68" s="310"/>
      <c r="C68" s="310"/>
      <c r="D68" s="310"/>
      <c r="E68" s="310"/>
      <c r="F68" s="311"/>
      <c r="G68" s="311"/>
      <c r="H68" s="1"/>
      <c r="I68" s="353"/>
      <c r="J68" s="353"/>
      <c r="K68" s="353"/>
      <c r="L68" s="353"/>
      <c r="M68" s="353"/>
      <c r="N68" s="353"/>
      <c r="O68" s="310"/>
      <c r="P68" s="310"/>
      <c r="Q68" s="310"/>
      <c r="R68" s="310"/>
      <c r="S68" s="310"/>
      <c r="T68" s="310"/>
      <c r="U68" s="310"/>
      <c r="V68" s="310"/>
      <c r="W68" s="310"/>
      <c r="X68" s="310"/>
      <c r="Y68" s="310"/>
      <c r="Z68" s="310"/>
      <c r="AA68" s="310"/>
      <c r="AB68" s="310"/>
      <c r="AC68" s="310"/>
      <c r="AD68" s="310"/>
      <c r="AE68" s="1"/>
      <c r="AF68" s="241">
        <v>211</v>
      </c>
      <c r="AG68" s="441" t="e">
        <f>SUMIF(C$10:C$53,AF68,G$10:G$53)*24+SUMIF(H$10:H$53,AF68,L$10:L$53)*24+SUMIF(N$10:N$53,AF68,R$10:R$53)*24+SUMIF(S$10:S$53,AF68,W$10:W$53)*24+SUMIF(X$10:X$53,AF68,AB$10:AB$53)*24+SUMIF(AC$10:AC$53,AF68,#REF!)*24+SUMIF(#REF!,AF68,#REF!)*24+SUMIF(#REF!,AF68,#REF!)*24</f>
        <v>#REF!</v>
      </c>
      <c r="AH68" s="441"/>
      <c r="AI68" s="442">
        <f t="shared" si="0"/>
        <v>0</v>
      </c>
      <c r="AJ68" s="441" t="e">
        <f t="shared" si="1"/>
        <v>#REF!</v>
      </c>
      <c r="AK68" s="310"/>
      <c r="AL68" s="310"/>
    </row>
    <row r="69" spans="1:38" ht="15.75" customHeight="1">
      <c r="A69" s="310"/>
      <c r="B69" s="310"/>
      <c r="C69" s="310"/>
      <c r="D69" s="310"/>
      <c r="E69" s="310"/>
      <c r="F69" s="311"/>
      <c r="G69" s="311"/>
      <c r="H69" s="1"/>
      <c r="I69" s="353"/>
      <c r="J69" s="353"/>
      <c r="K69" s="353"/>
      <c r="L69" s="353"/>
      <c r="M69" s="353"/>
      <c r="N69" s="353"/>
      <c r="O69" s="310"/>
      <c r="P69" s="310"/>
      <c r="Q69" s="310"/>
      <c r="R69" s="310"/>
      <c r="S69" s="310"/>
      <c r="T69" s="310"/>
      <c r="U69" s="310"/>
      <c r="V69" s="310"/>
      <c r="W69" s="310"/>
      <c r="X69" s="310"/>
      <c r="Y69" s="310"/>
      <c r="Z69" s="310"/>
      <c r="AA69" s="310"/>
      <c r="AB69" s="310"/>
      <c r="AC69" s="310"/>
      <c r="AD69" s="310"/>
      <c r="AE69" s="21"/>
      <c r="AF69" s="245">
        <v>212</v>
      </c>
      <c r="AG69" s="441" t="e">
        <f>SUMIF(C$10:C$53,AF69,G$10:G$53)*24+SUMIF(H$10:H$53,AF69,L$10:L$53)*24+SUMIF(N$10:N$53,AF69,R$10:R$53)*24+SUMIF(S$10:S$53,AF69,W$10:W$53)*24+SUMIF(X$10:X$53,AF69,AB$10:AB$53)*24+SUMIF(AC$10:AC$53,AF69,#REF!)*24+SUMIF(#REF!,AF69,#REF!)*24+SUMIF(#REF!,AF69,#REF!)*24</f>
        <v>#REF!</v>
      </c>
      <c r="AH69" s="441"/>
      <c r="AI69" s="442">
        <f t="shared" si="0"/>
        <v>0</v>
      </c>
      <c r="AJ69" s="441" t="e">
        <f t="shared" si="1"/>
        <v>#REF!</v>
      </c>
      <c r="AK69" s="310"/>
      <c r="AL69" s="310"/>
    </row>
    <row r="70" spans="1:38" ht="15.75" customHeight="1">
      <c r="A70" s="310"/>
      <c r="B70" s="310"/>
      <c r="C70" s="310"/>
      <c r="D70" s="310"/>
      <c r="E70" s="310"/>
      <c r="F70" s="311"/>
      <c r="G70" s="311"/>
      <c r="H70" s="1"/>
      <c r="I70" s="353"/>
      <c r="J70" s="353"/>
      <c r="K70" s="353"/>
      <c r="L70" s="353"/>
      <c r="M70" s="353"/>
      <c r="N70" s="353"/>
      <c r="O70" s="310"/>
      <c r="P70" s="310"/>
      <c r="Q70" s="310"/>
      <c r="R70" s="310"/>
      <c r="S70" s="310"/>
      <c r="T70" s="310"/>
      <c r="U70" s="310"/>
      <c r="V70" s="310"/>
      <c r="W70" s="310"/>
      <c r="X70" s="310"/>
      <c r="Y70" s="310"/>
      <c r="Z70" s="310"/>
      <c r="AA70" s="310"/>
      <c r="AB70" s="310"/>
      <c r="AC70" s="310"/>
      <c r="AD70" s="310"/>
      <c r="AE70" s="451" t="s">
        <v>530</v>
      </c>
      <c r="AF70" s="266">
        <v>213</v>
      </c>
      <c r="AG70" s="441" t="e">
        <f>SUMIF(C$10:C$53,AF70,G$10:G$53)*24+SUMIF(H$10:H$53,AF70,L$10:L$53)*24+SUMIF(N$10:N$53,AF70,R$10:R$53)*24+SUMIF(S$10:S$53,AF70,W$10:W$53)*24+SUMIF(X$10:X$53,AF70,AB$10:AB$53)*24+SUMIF(AC$10:AC$53,AF70,#REF!)*24+SUMIF(#REF!,AF70,#REF!)*24+SUMIF(#REF!,AF70,#REF!)*24</f>
        <v>#REF!</v>
      </c>
      <c r="AH70" s="441"/>
      <c r="AI70" s="442">
        <f t="shared" si="0"/>
        <v>0</v>
      </c>
      <c r="AJ70" s="441" t="e">
        <f t="shared" si="1"/>
        <v>#REF!</v>
      </c>
      <c r="AK70" s="310"/>
      <c r="AL70" s="310"/>
    </row>
    <row r="71" spans="1:38" ht="15.75" customHeight="1">
      <c r="A71" s="310"/>
      <c r="B71" s="310"/>
      <c r="C71" s="310"/>
      <c r="D71" s="310"/>
      <c r="E71" s="310"/>
      <c r="F71" s="311"/>
      <c r="G71" s="311"/>
      <c r="H71" s="1"/>
      <c r="I71" s="353"/>
      <c r="J71" s="353"/>
      <c r="K71" s="353"/>
      <c r="L71" s="353"/>
      <c r="M71" s="353"/>
      <c r="N71" s="353"/>
      <c r="O71" s="310"/>
      <c r="P71" s="310"/>
      <c r="Q71" s="310"/>
      <c r="R71" s="310"/>
      <c r="S71" s="310"/>
      <c r="T71" s="310"/>
      <c r="U71" s="310"/>
      <c r="V71" s="310"/>
      <c r="W71" s="310"/>
      <c r="X71" s="310"/>
      <c r="Y71" s="310"/>
      <c r="Z71" s="310"/>
      <c r="AA71" s="310"/>
      <c r="AB71" s="310"/>
      <c r="AC71" s="310"/>
      <c r="AD71" s="310"/>
      <c r="AE71" s="1"/>
      <c r="AF71" s="406">
        <v>214</v>
      </c>
      <c r="AG71" s="441" t="e">
        <f>SUMIF(C$10:C$53,AF71,G$10:G$53)*24+SUMIF(H$10:H$53,AF71,L$10:L$53)*24+SUMIF(N$10:N$53,AF71,R$10:R$53)*24+SUMIF(S$10:S$53,AF71,W$10:W$53)*24+SUMIF(X$10:X$53,AF71,AB$10:AB$53)*24+SUMIF(AC$10:AC$53,AF71,#REF!)*24+SUMIF(#REF!,AF71,#REF!)*24+SUMIF(#REF!,AF71,#REF!)*24</f>
        <v>#REF!</v>
      </c>
      <c r="AH71" s="441"/>
      <c r="AI71" s="442">
        <f t="shared" si="0"/>
        <v>0</v>
      </c>
      <c r="AJ71" s="441" t="e">
        <f t="shared" si="1"/>
        <v>#REF!</v>
      </c>
      <c r="AK71" s="310"/>
      <c r="AL71" s="310"/>
    </row>
    <row r="72" spans="1:38" ht="15.75" customHeight="1">
      <c r="A72" s="310"/>
      <c r="B72" s="310"/>
      <c r="C72" s="310"/>
      <c r="D72" s="310"/>
      <c r="E72" s="310"/>
      <c r="F72" s="311"/>
      <c r="G72" s="311"/>
      <c r="H72" s="1"/>
      <c r="I72" s="353"/>
      <c r="J72" s="353"/>
      <c r="K72" s="353"/>
      <c r="L72" s="353"/>
      <c r="M72" s="353"/>
      <c r="N72" s="353"/>
      <c r="O72" s="310"/>
      <c r="P72" s="310"/>
      <c r="Q72" s="310"/>
      <c r="R72" s="310"/>
      <c r="S72" s="310"/>
      <c r="T72" s="310"/>
      <c r="U72" s="310"/>
      <c r="V72" s="310"/>
      <c r="W72" s="310"/>
      <c r="X72" s="310"/>
      <c r="Y72" s="310"/>
      <c r="Z72" s="310"/>
      <c r="AA72" s="310"/>
      <c r="AB72" s="310"/>
      <c r="AC72" s="310"/>
      <c r="AD72" s="310"/>
      <c r="AE72" s="21"/>
      <c r="AF72" s="220">
        <v>20</v>
      </c>
      <c r="AG72" s="441" t="e">
        <f>SUMIF(C$10:C$53,AF72,G$10:G$53)*24+SUMIF(H$10:H$53,AF72,L$10:L$53)*24+SUMIF(N$10:N$53,AF72,R$10:R$53)*24+SUMIF(S$10:S$53,AF72,W$10:W$53)*24+SUMIF(X$10:X$53,AF72,AB$10:AB$53)*24+SUMIF(AC$10:AC$53,AF72,#REF!)*24+SUMIF(#REF!,AF72,#REF!)*24+SUMIF(#REF!,AF72,#REF!)*24</f>
        <v>#REF!</v>
      </c>
      <c r="AH72" s="441"/>
      <c r="AI72" s="442">
        <f t="shared" si="0"/>
        <v>0</v>
      </c>
      <c r="AJ72" s="441" t="e">
        <f t="shared" si="1"/>
        <v>#REF!</v>
      </c>
      <c r="AK72" s="310"/>
      <c r="AL72" s="310"/>
    </row>
    <row r="73" spans="1:38" ht="15.75" customHeight="1">
      <c r="A73" s="310"/>
      <c r="B73" s="310"/>
      <c r="C73" s="310"/>
      <c r="D73" s="310"/>
      <c r="E73" s="310"/>
      <c r="F73" s="311"/>
      <c r="G73" s="311"/>
      <c r="H73" s="1"/>
      <c r="I73" s="353"/>
      <c r="J73" s="353"/>
      <c r="K73" s="353"/>
      <c r="L73" s="353"/>
      <c r="M73" s="353"/>
      <c r="N73" s="353"/>
      <c r="O73" s="310"/>
      <c r="P73" s="310"/>
      <c r="Q73" s="310"/>
      <c r="R73" s="310"/>
      <c r="S73" s="310"/>
      <c r="T73" s="310"/>
      <c r="U73" s="310"/>
      <c r="V73" s="310"/>
      <c r="W73" s="310"/>
      <c r="X73" s="310"/>
      <c r="Y73" s="310"/>
      <c r="Z73" s="310"/>
      <c r="AA73" s="310"/>
      <c r="AB73" s="310"/>
      <c r="AC73" s="310"/>
      <c r="AD73" s="310"/>
      <c r="AE73" s="1" t="s">
        <v>533</v>
      </c>
      <c r="AF73" s="220">
        <v>76</v>
      </c>
      <c r="AG73" s="441" t="e">
        <f>SUMIF(C$10:C$53,AF73,G$10:G$53)*24+SUMIF(H$10:H$53,AF73,L$10:L$53)*24+SUMIF(N$10:N$53,AF73,R$10:R$53)*24+SUMIF(S$10:S$53,AF73,W$10:W$53)*24+SUMIF(X$10:X$53,AF73,AB$10:AB$53)*24+SUMIF(AC$10:AC$53,AF73,#REF!)*24+SUMIF(#REF!,AF73,#REF!)*24+SUMIF(#REF!,AF73,#REF!)*24</f>
        <v>#REF!</v>
      </c>
      <c r="AH73" s="441"/>
      <c r="AI73" s="442">
        <f t="shared" si="0"/>
        <v>0</v>
      </c>
      <c r="AJ73" s="441" t="e">
        <f t="shared" si="1"/>
        <v>#REF!</v>
      </c>
      <c r="AK73" s="310"/>
      <c r="AL73" s="310"/>
    </row>
    <row r="74" spans="1:38" ht="15.75" customHeight="1">
      <c r="A74" s="310"/>
      <c r="B74" s="310"/>
      <c r="C74" s="310"/>
      <c r="D74" s="310"/>
      <c r="E74" s="310"/>
      <c r="F74" s="311"/>
      <c r="G74" s="311"/>
      <c r="H74" s="1"/>
      <c r="I74" s="353"/>
      <c r="J74" s="353"/>
      <c r="K74" s="353"/>
      <c r="L74" s="353"/>
      <c r="M74" s="353"/>
      <c r="N74" s="353"/>
      <c r="O74" s="310"/>
      <c r="P74" s="310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  <c r="AB74" s="310"/>
      <c r="AC74" s="310"/>
      <c r="AD74" s="310"/>
      <c r="AE74" s="21" t="s">
        <v>534</v>
      </c>
      <c r="AF74" s="222">
        <v>117</v>
      </c>
      <c r="AG74" s="441" t="e">
        <f>SUMIF(C$10:C$53,AF74,G$10:G$53)*24+SUMIF(H$10:H$53,AF74,L$10:L$53)*24+SUMIF(N$10:N$53,AF74,R$10:R$53)*24+SUMIF(S$10:S$53,AF74,W$10:W$53)*24+SUMIF(X$10:X$53,AF74,AB$10:AB$53)*24+SUMIF(AC$10:AC$53,AF74,#REF!)*24+SUMIF(#REF!,AF74,#REF!)*24+SUMIF(#REF!,AF74,#REF!)*24</f>
        <v>#REF!</v>
      </c>
      <c r="AH74" s="441"/>
      <c r="AI74" s="442">
        <f t="shared" si="0"/>
        <v>0</v>
      </c>
      <c r="AJ74" s="441" t="e">
        <f t="shared" si="1"/>
        <v>#REF!</v>
      </c>
      <c r="AK74" s="310"/>
      <c r="AL74" s="310"/>
    </row>
    <row r="75" spans="1:38" ht="15.75" customHeight="1">
      <c r="A75" s="310"/>
      <c r="B75" s="310"/>
      <c r="C75" s="310"/>
      <c r="D75" s="310"/>
      <c r="E75" s="310"/>
      <c r="F75" s="311"/>
      <c r="G75" s="311"/>
      <c r="H75" s="1"/>
      <c r="I75" s="353"/>
      <c r="J75" s="353"/>
      <c r="K75" s="353"/>
      <c r="L75" s="353"/>
      <c r="M75" s="353"/>
      <c r="N75" s="353"/>
      <c r="O75" s="310"/>
      <c r="P75" s="310"/>
      <c r="Q75" s="310"/>
      <c r="R75" s="310"/>
      <c r="S75" s="310"/>
      <c r="T75" s="310"/>
      <c r="U75" s="310"/>
      <c r="V75" s="310"/>
      <c r="W75" s="310"/>
      <c r="X75" s="310"/>
      <c r="Y75" s="310"/>
      <c r="Z75" s="310"/>
      <c r="AA75" s="310"/>
      <c r="AB75" s="310"/>
      <c r="AC75" s="310"/>
      <c r="AD75" s="310"/>
      <c r="AE75" s="21"/>
      <c r="AF75" s="239" t="s">
        <v>147</v>
      </c>
      <c r="AG75" s="441" t="e">
        <f>SUMIF(C$10:C$53,AF75,G$10:G$53)*24+SUMIF(H$10:H$53,AF75,L$10:L$53)*24+SUMIF(N$10:N$53,AF75,R$10:R$53)*24+SUMIF(S$10:S$53,AF75,W$10:W$53)*24+SUMIF(X$10:X$53,AF75,AB$10:AB$53)*24+SUMIF(AC$10:AC$53,AF75,#REF!)*24+SUMIF(#REF!,AF75,#REF!)*24+SUMIF(#REF!,AF75,#REF!)*24</f>
        <v>#REF!</v>
      </c>
      <c r="AH75" s="441"/>
      <c r="AI75" s="442">
        <f t="shared" si="0"/>
        <v>0</v>
      </c>
      <c r="AJ75" s="441" t="e">
        <f t="shared" si="1"/>
        <v>#REF!</v>
      </c>
      <c r="AK75" s="310"/>
      <c r="AL75" s="310"/>
    </row>
    <row r="76" spans="1:38" ht="15.75" customHeight="1">
      <c r="A76" s="310"/>
      <c r="B76" s="310"/>
      <c r="C76" s="310"/>
      <c r="D76" s="310"/>
      <c r="E76" s="310"/>
      <c r="F76" s="311"/>
      <c r="G76" s="311"/>
      <c r="H76" s="1"/>
      <c r="I76" s="353"/>
      <c r="J76" s="353"/>
      <c r="K76" s="353"/>
      <c r="L76" s="353"/>
      <c r="M76" s="353"/>
      <c r="N76" s="353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21"/>
      <c r="AF76" s="452"/>
      <c r="AG76" s="441" t="e">
        <f>SUMIF(C$10:C$53,AF76,G$10:G$53)*24+SUMIF(H$10:H$53,AF76,L$10:L$53)*24+SUMIF(N$10:N$53,AF76,R$10:R$53)*24+SUMIF(S$10:S$53,AF76,W$10:W$53)*24+SUMIF(X$10:X$53,AF76,AB$10:AB$53)*24+SUMIF(AC$10:AC$53,AF76,#REF!)*24+SUMIF(#REF!,AF76,#REF!)*24+SUMIF(#REF!,AF76,#REF!)*24</f>
        <v>#REF!</v>
      </c>
      <c r="AH76" s="441"/>
      <c r="AI76" s="442">
        <f t="shared" si="0"/>
        <v>1</v>
      </c>
      <c r="AJ76" s="441" t="e">
        <f t="shared" si="1"/>
        <v>#REF!</v>
      </c>
      <c r="AK76" s="310"/>
      <c r="AL76" s="310"/>
    </row>
    <row r="77" spans="1:38" ht="15.75" customHeight="1">
      <c r="A77" s="310"/>
      <c r="B77" s="310"/>
      <c r="C77" s="310"/>
      <c r="D77" s="310"/>
      <c r="E77" s="310"/>
      <c r="F77" s="311"/>
      <c r="G77" s="311"/>
      <c r="H77" s="1"/>
      <c r="I77" s="353"/>
      <c r="J77" s="353"/>
      <c r="K77" s="353"/>
      <c r="L77" s="353"/>
      <c r="M77" s="353"/>
      <c r="N77" s="353"/>
      <c r="O77" s="310"/>
      <c r="P77" s="310"/>
      <c r="Q77" s="310"/>
      <c r="R77" s="310"/>
      <c r="S77" s="310"/>
      <c r="T77" s="310"/>
      <c r="U77" s="310"/>
      <c r="V77" s="310"/>
      <c r="W77" s="310"/>
      <c r="X77" s="310"/>
      <c r="Y77" s="310"/>
      <c r="Z77" s="310"/>
      <c r="AA77" s="310"/>
      <c r="AB77" s="310"/>
      <c r="AC77" s="310"/>
      <c r="AD77" s="310"/>
      <c r="AE77" s="21"/>
      <c r="AF77" s="245" t="s">
        <v>148</v>
      </c>
      <c r="AG77" s="441" t="e">
        <f>SUMIF(C$10:C$53,AF77,G$10:G$53)*24+SUMIF(H$10:H$53,AF77,L$10:L$53)*24+SUMIF(N$10:N$53,AF77,R$10:R$53)*24+SUMIF(S$10:S$53,AF77,W$10:W$53)*24+SUMIF(X$10:X$53,AF77,AB$10:AB$53)*24+SUMIF(AC$10:AC$53,AF77,#REF!)*24+SUMIF(#REF!,AF77,#REF!)*24+SUMIF(#REF!,AF77,#REF!)*24</f>
        <v>#REF!</v>
      </c>
      <c r="AH77" s="441"/>
      <c r="AI77" s="442">
        <f t="shared" si="0"/>
        <v>1</v>
      </c>
      <c r="AJ77" s="441" t="e">
        <f t="shared" si="1"/>
        <v>#REF!</v>
      </c>
      <c r="AK77" s="310"/>
      <c r="AL77" s="310"/>
    </row>
    <row r="78" spans="1:38" ht="15.75" customHeight="1">
      <c r="A78" s="310"/>
      <c r="B78" s="310"/>
      <c r="C78" s="310"/>
      <c r="D78" s="310"/>
      <c r="E78" s="310"/>
      <c r="F78" s="311"/>
      <c r="G78" s="311"/>
      <c r="H78" s="1"/>
      <c r="I78" s="353"/>
      <c r="J78" s="353"/>
      <c r="K78" s="353"/>
      <c r="L78" s="353"/>
      <c r="M78" s="353"/>
      <c r="N78" s="353"/>
      <c r="O78" s="310"/>
      <c r="P78" s="310"/>
      <c r="Q78" s="310"/>
      <c r="R78" s="310"/>
      <c r="S78" s="310"/>
      <c r="T78" s="310"/>
      <c r="U78" s="310"/>
      <c r="V78" s="310"/>
      <c r="W78" s="310"/>
      <c r="X78" s="310"/>
      <c r="Y78" s="310"/>
      <c r="Z78" s="310"/>
      <c r="AA78" s="310"/>
      <c r="AB78" s="310"/>
      <c r="AC78" s="310"/>
      <c r="AD78" s="310"/>
      <c r="AE78" s="21"/>
      <c r="AF78" s="245" t="s">
        <v>50</v>
      </c>
      <c r="AG78" s="441" t="e">
        <f>SUMIF(C$10:C$53,AF78,G$10:G$53)*24+SUMIF(H$10:H$53,AF78,L$10:L$53)*24+SUMIF(N$10:N$53,AF78,R$10:R$53)*24+SUMIF(S$10:S$53,AF78,W$10:W$53)*24+SUMIF(X$10:X$53,AF78,AB$10:AB$53)*24+SUMIF(AC$10:AC$53,AF78,#REF!)*24+SUMIF(#REF!,AF78,#REF!)*24+SUMIF(#REF!,AF78,#REF!)*24</f>
        <v>#REF!</v>
      </c>
      <c r="AH78" s="441"/>
      <c r="AI78" s="442">
        <f t="shared" si="0"/>
        <v>0</v>
      </c>
      <c r="AJ78" s="441" t="e">
        <f t="shared" si="1"/>
        <v>#REF!</v>
      </c>
      <c r="AK78" s="310"/>
      <c r="AL78" s="310"/>
    </row>
    <row r="79" spans="1:38" ht="15.75" customHeight="1">
      <c r="A79" s="310"/>
      <c r="B79" s="310"/>
      <c r="C79" s="310"/>
      <c r="D79" s="310"/>
      <c r="E79" s="310"/>
      <c r="F79" s="311"/>
      <c r="G79" s="311"/>
      <c r="H79" s="1"/>
      <c r="I79" s="353"/>
      <c r="J79" s="353"/>
      <c r="K79" s="353"/>
      <c r="L79" s="353"/>
      <c r="M79" s="353"/>
      <c r="N79" s="353"/>
      <c r="O79" s="310"/>
      <c r="P79" s="310"/>
      <c r="Q79" s="310"/>
      <c r="R79" s="310"/>
      <c r="S79" s="310"/>
      <c r="T79" s="310"/>
      <c r="U79" s="310"/>
      <c r="V79" s="310"/>
      <c r="W79" s="310"/>
      <c r="X79" s="310"/>
      <c r="Y79" s="310"/>
      <c r="Z79" s="310"/>
      <c r="AA79" s="310"/>
      <c r="AB79" s="310"/>
      <c r="AC79" s="310"/>
      <c r="AD79" s="310"/>
      <c r="AE79" s="21"/>
      <c r="AF79" s="245" t="s">
        <v>149</v>
      </c>
      <c r="AG79" s="441" t="e">
        <f>SUMIF(C$10:C$53,AF79,G$10:G$53)*24+SUMIF(H$10:H$53,AF79,L$10:L$53)*24+SUMIF(N$10:N$53,AF79,R$10:R$53)*24+SUMIF(S$10:S$53,AF79,W$10:W$53)*24+SUMIF(X$10:X$53,AF79,AB$10:AB$53)*24+SUMIF(AC$10:AC$53,AF79,#REF!)*24+SUMIF(#REF!,AF79,#REF!)*24+SUMIF(#REF!,AF79,#REF!)*24</f>
        <v>#REF!</v>
      </c>
      <c r="AH79" s="441"/>
      <c r="AI79" s="442">
        <f t="shared" si="0"/>
        <v>1</v>
      </c>
      <c r="AJ79" s="441" t="e">
        <f t="shared" si="1"/>
        <v>#REF!</v>
      </c>
      <c r="AK79" s="310"/>
      <c r="AL79" s="310"/>
    </row>
    <row r="80" spans="1:38" ht="15.75" customHeight="1">
      <c r="A80" s="310"/>
      <c r="B80" s="310"/>
      <c r="C80" s="310"/>
      <c r="D80" s="310"/>
      <c r="E80" s="310"/>
      <c r="F80" s="311"/>
      <c r="G80" s="311"/>
      <c r="H80" s="1"/>
      <c r="I80" s="353"/>
      <c r="J80" s="353"/>
      <c r="K80" s="353"/>
      <c r="L80" s="353"/>
      <c r="M80" s="353"/>
      <c r="N80" s="353"/>
      <c r="O80" s="310"/>
      <c r="P80" s="310"/>
      <c r="Q80" s="310"/>
      <c r="R80" s="310"/>
      <c r="S80" s="310"/>
      <c r="T80" s="310"/>
      <c r="U80" s="310"/>
      <c r="V80" s="310"/>
      <c r="W80" s="310"/>
      <c r="X80" s="310"/>
      <c r="Y80" s="310"/>
      <c r="Z80" s="310"/>
      <c r="AA80" s="310"/>
      <c r="AB80" s="310"/>
      <c r="AC80" s="310"/>
      <c r="AD80" s="310"/>
      <c r="AE80" s="21"/>
      <c r="AF80" s="266"/>
      <c r="AG80" s="441" t="e">
        <f>SUMIF(C$10:C$53,AF80,G$10:G$53)*24+SUMIF(H$10:H$53,AF80,L$10:L$53)*24+SUMIF(N$10:N$53,AF80,R$10:R$53)*24+SUMIF(S$10:S$53,AF80,W$10:W$53)*24+SUMIF(X$10:X$53,AF80,AB$10:AB$53)*24+SUMIF(AC$10:AC$53,AF80,#REF!)*24+SUMIF(#REF!,AF80,#REF!)*24+SUMIF(#REF!,AF80,#REF!)*24</f>
        <v>#REF!</v>
      </c>
      <c r="AH80" s="441"/>
      <c r="AI80" s="442">
        <f t="shared" si="0"/>
        <v>1</v>
      </c>
      <c r="AJ80" s="441" t="e">
        <f t="shared" si="1"/>
        <v>#REF!</v>
      </c>
      <c r="AK80" s="310"/>
      <c r="AL80" s="310"/>
    </row>
    <row r="81" spans="1:38" ht="15.75" customHeight="1">
      <c r="A81" s="310"/>
      <c r="B81" s="310"/>
      <c r="C81" s="310"/>
      <c r="D81" s="310"/>
      <c r="E81" s="310"/>
      <c r="F81" s="311"/>
      <c r="G81" s="311"/>
      <c r="H81" s="1"/>
      <c r="I81" s="353"/>
      <c r="J81" s="353"/>
      <c r="K81" s="353"/>
      <c r="L81" s="353"/>
      <c r="M81" s="353"/>
      <c r="N81" s="353"/>
      <c r="O81" s="310"/>
      <c r="P81" s="310"/>
      <c r="Q81" s="310"/>
      <c r="R81" s="310"/>
      <c r="S81" s="310"/>
      <c r="T81" s="310"/>
      <c r="U81" s="310"/>
      <c r="V81" s="310"/>
      <c r="W81" s="310"/>
      <c r="X81" s="310"/>
      <c r="Y81" s="310"/>
      <c r="Z81" s="310"/>
      <c r="AA81" s="310"/>
      <c r="AB81" s="310"/>
      <c r="AC81" s="310"/>
      <c r="AD81" s="310"/>
      <c r="AE81" s="310"/>
      <c r="AF81" s="391">
        <v>186</v>
      </c>
      <c r="AG81" s="441" t="e">
        <f>SUMIF(C$10:C$53,AF81,G$10:G$53)*24+SUMIF(H$10:H$53,AF81,L$10:L$53)*24+SUMIF(N$10:N$53,AF81,R$10:R$53)*24+SUMIF(S$10:S$53,AF81,W$10:W$53)*24+SUMIF(X$10:X$53,AF81,AB$10:AB$53)*24+SUMIF(AC$10:AC$53,AF81,#REF!)*24+SUMIF(#REF!,AF81,#REF!)*24+SUMIF(#REF!,AF81,#REF!)*24</f>
        <v>#REF!</v>
      </c>
      <c r="AH81" s="441"/>
      <c r="AI81" s="442">
        <f t="shared" si="0"/>
        <v>0</v>
      </c>
      <c r="AJ81" s="441" t="e">
        <f t="shared" si="1"/>
        <v>#REF!</v>
      </c>
      <c r="AK81" s="310"/>
      <c r="AL81" s="310"/>
    </row>
    <row r="82" spans="1:38" ht="15.75" customHeight="1">
      <c r="A82" s="310"/>
      <c r="B82" s="310"/>
      <c r="C82" s="310"/>
      <c r="D82" s="310"/>
      <c r="E82" s="310"/>
      <c r="F82" s="311"/>
      <c r="G82" s="311"/>
      <c r="H82" s="1"/>
      <c r="I82" s="353"/>
      <c r="J82" s="353"/>
      <c r="K82" s="353"/>
      <c r="L82" s="353"/>
      <c r="M82" s="353"/>
      <c r="N82" s="353"/>
      <c r="O82" s="310"/>
      <c r="P82" s="310"/>
      <c r="Q82" s="310"/>
      <c r="R82" s="310"/>
      <c r="S82" s="310"/>
      <c r="T82" s="310"/>
      <c r="U82" s="310"/>
      <c r="V82" s="310"/>
      <c r="W82" s="310"/>
      <c r="X82" s="310"/>
      <c r="Y82" s="310"/>
      <c r="Z82" s="310"/>
      <c r="AA82" s="310"/>
      <c r="AB82" s="310"/>
      <c r="AC82" s="310"/>
      <c r="AD82" s="310"/>
      <c r="AE82" s="310"/>
      <c r="AF82" s="391" t="s">
        <v>147</v>
      </c>
      <c r="AG82" s="441" t="e">
        <f>SUMIF(C$10:C$53,AF82,G$10:G$53)*24+SUMIF(H$10:H$53,AF82,L$10:L$53)*24+SUMIF(N$10:N$53,AF82,R$10:R$53)*24+SUMIF(S$10:S$53,AF82,W$10:W$53)*24+SUMIF(X$10:X$53,AF82,AB$10:AB$53)*24+SUMIF(AC$10:AC$53,AF82,#REF!)*24+SUMIF(#REF!,AF82,#REF!)*24+SUMIF(#REF!,AF82,#REF!)*24</f>
        <v>#REF!</v>
      </c>
      <c r="AH82" s="441"/>
      <c r="AI82" s="442">
        <f t="shared" si="0"/>
        <v>0</v>
      </c>
      <c r="AJ82" s="441" t="e">
        <f t="shared" si="1"/>
        <v>#REF!</v>
      </c>
      <c r="AK82" s="310"/>
      <c r="AL82" s="310"/>
    </row>
    <row r="83" spans="1:38" ht="15.75" customHeight="1">
      <c r="A83" s="310"/>
      <c r="B83" s="310"/>
      <c r="C83" s="310"/>
      <c r="D83" s="310"/>
      <c r="E83" s="310"/>
      <c r="F83" s="311"/>
      <c r="G83" s="311"/>
      <c r="H83" s="1"/>
      <c r="I83" s="353"/>
      <c r="J83" s="353"/>
      <c r="K83" s="353"/>
      <c r="L83" s="353"/>
      <c r="M83" s="353"/>
      <c r="N83" s="353"/>
      <c r="O83" s="310"/>
      <c r="P83" s="310"/>
      <c r="Q83" s="310"/>
      <c r="R83" s="310"/>
      <c r="S83" s="310"/>
      <c r="T83" s="310"/>
      <c r="U83" s="310"/>
      <c r="V83" s="310"/>
      <c r="W83" s="310"/>
      <c r="X83" s="310"/>
      <c r="Y83" s="310"/>
      <c r="Z83" s="310"/>
      <c r="AA83" s="310"/>
      <c r="AB83" s="310"/>
      <c r="AC83" s="310"/>
      <c r="AD83" s="310"/>
      <c r="AE83" s="310"/>
      <c r="AF83" s="391"/>
      <c r="AG83" s="441" t="e">
        <f>SUMIF(C$10:C$53,AF83,G$10:G$53)*24+SUMIF(H$10:H$53,AF83,L$10:L$53)*24+SUMIF(N$10:N$53,AF83,R$10:R$53)*24+SUMIF(S$10:S$53,AF83,W$10:W$53)*24+SUMIF(X$10:X$53,AF83,AB$10:AB$53)*24+SUMIF(AC$10:AC$53,AF83,#REF!)*24+SUMIF(#REF!,AF83,#REF!)*24+SUMIF(#REF!,AF83,#REF!)*24</f>
        <v>#REF!</v>
      </c>
      <c r="AH83" s="441"/>
      <c r="AI83" s="442">
        <f t="shared" si="0"/>
        <v>1</v>
      </c>
      <c r="AJ83" s="441" t="e">
        <f t="shared" si="1"/>
        <v>#REF!</v>
      </c>
      <c r="AK83" s="310"/>
      <c r="AL83" s="310"/>
    </row>
    <row r="84" spans="1:38" ht="15.75" customHeight="1">
      <c r="A84" s="310"/>
      <c r="B84" s="310"/>
      <c r="C84" s="310"/>
      <c r="D84" s="310"/>
      <c r="E84" s="310"/>
      <c r="F84" s="311"/>
      <c r="G84" s="311"/>
      <c r="H84" s="1"/>
      <c r="I84" s="353"/>
      <c r="J84" s="353"/>
      <c r="K84" s="353"/>
      <c r="L84" s="353"/>
      <c r="M84" s="353"/>
      <c r="N84" s="353"/>
      <c r="O84" s="310"/>
      <c r="P84" s="310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310"/>
      <c r="AB84" s="310"/>
      <c r="AC84" s="310"/>
      <c r="AD84" s="310"/>
      <c r="AE84" s="310"/>
      <c r="AF84" s="391">
        <v>184</v>
      </c>
      <c r="AG84" s="441" t="e">
        <f>SUMIF(C$10:C$53,AF84,G$10:G$53)*24+SUMIF(H$10:H$53,AF84,L$10:L$53)*24+SUMIF(N$10:N$53,AF84,R$10:R$53)*24+SUMIF(S$10:S$53,AF84,W$10:W$53)*24+SUMIF(X$10:X$53,AF84,AB$10:AB$53)*24+SUMIF(AC$10:AC$53,AF84,#REF!)*24+SUMIF(#REF!,AF84,#REF!)*24+SUMIF(#REF!,AF84,#REF!)*24</f>
        <v>#REF!</v>
      </c>
      <c r="AH84" s="441"/>
      <c r="AI84" s="442">
        <f t="shared" si="0"/>
        <v>0</v>
      </c>
      <c r="AJ84" s="441" t="e">
        <f t="shared" si="1"/>
        <v>#REF!</v>
      </c>
      <c r="AK84" s="310"/>
      <c r="AL84" s="310"/>
    </row>
    <row r="85" spans="1:38" ht="15.75" customHeight="1">
      <c r="A85" s="310"/>
      <c r="B85" s="310"/>
      <c r="C85" s="310"/>
      <c r="D85" s="310"/>
      <c r="E85" s="310"/>
      <c r="F85" s="311"/>
      <c r="G85" s="311"/>
      <c r="H85" s="1"/>
      <c r="I85" s="353"/>
      <c r="J85" s="353"/>
      <c r="K85" s="353"/>
      <c r="L85" s="353"/>
      <c r="M85" s="353"/>
      <c r="N85" s="353"/>
      <c r="O85" s="310"/>
      <c r="P85" s="310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  <c r="AB85" s="310"/>
      <c r="AC85" s="310"/>
      <c r="AD85" s="310"/>
      <c r="AE85" s="310"/>
      <c r="AF85" s="391" t="s">
        <v>148</v>
      </c>
      <c r="AG85" s="441" t="e">
        <f>SUMIF(C$10:C$53,AF85,G$10:G$53)*24+SUMIF(H$10:H$53,AF85,L$10:L$53)*24+SUMIF(N$10:N$53,AF85,R$10:R$53)*24+SUMIF(S$10:S$53,AF85,W$10:W$53)*24+SUMIF(X$10:X$53,AF85,AB$10:AB$53)*24+SUMIF(AC$10:AC$53,AF85,#REF!)*24+SUMIF(#REF!,AF85,#REF!)*24+SUMIF(#REF!,AF85,#REF!)*24</f>
        <v>#REF!</v>
      </c>
      <c r="AH85" s="441"/>
      <c r="AI85" s="442">
        <f t="shared" si="0"/>
        <v>1</v>
      </c>
      <c r="AJ85" s="441" t="e">
        <f t="shared" si="1"/>
        <v>#REF!</v>
      </c>
      <c r="AK85" s="310"/>
      <c r="AL85" s="310"/>
    </row>
    <row r="86" spans="1:38" ht="15.75" customHeight="1">
      <c r="A86" s="310"/>
      <c r="B86" s="310"/>
      <c r="C86" s="310"/>
      <c r="D86" s="310"/>
      <c r="E86" s="310"/>
      <c r="F86" s="311"/>
      <c r="G86" s="311"/>
      <c r="H86" s="1"/>
      <c r="I86" s="353"/>
      <c r="J86" s="353"/>
      <c r="K86" s="353"/>
      <c r="L86" s="353"/>
      <c r="M86" s="353"/>
      <c r="N86" s="353"/>
      <c r="O86" s="310"/>
      <c r="P86" s="310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  <c r="AB86" s="310"/>
      <c r="AC86" s="310"/>
      <c r="AD86" s="310"/>
      <c r="AE86" s="310"/>
      <c r="AF86" s="391">
        <v>193</v>
      </c>
      <c r="AG86" s="441" t="e">
        <f>SUMIF(C$10:C$53,AF86,G$10:G$53)*24+SUMIF(H$10:H$53,AF86,L$10:L$53)*24+SUMIF(N$10:N$53,AF86,R$10:R$53)*24+SUMIF(S$10:S$53,AF86,W$10:W$53)*24+SUMIF(X$10:X$53,AF86,AB$10:AB$53)*24+SUMIF(AC$10:AC$53,AF86,#REF!)*24+SUMIF(#REF!,AF86,#REF!)*24+SUMIF(#REF!,AF86,#REF!)*24</f>
        <v>#REF!</v>
      </c>
      <c r="AH86" s="441"/>
      <c r="AI86" s="442">
        <f t="shared" si="0"/>
        <v>0</v>
      </c>
      <c r="AJ86" s="441" t="e">
        <f t="shared" si="1"/>
        <v>#REF!</v>
      </c>
      <c r="AK86" s="310"/>
      <c r="AL86" s="310"/>
    </row>
    <row r="87" spans="1:38" ht="15.75" customHeight="1">
      <c r="A87" s="310"/>
      <c r="B87" s="310"/>
      <c r="C87" s="310"/>
      <c r="D87" s="310"/>
      <c r="E87" s="310"/>
      <c r="F87" s="311"/>
      <c r="G87" s="311"/>
      <c r="H87" s="1"/>
      <c r="I87" s="353"/>
      <c r="J87" s="353"/>
      <c r="K87" s="353"/>
      <c r="L87" s="353"/>
      <c r="M87" s="353"/>
      <c r="N87" s="353"/>
      <c r="O87" s="310"/>
      <c r="P87" s="310"/>
      <c r="Q87" s="310"/>
      <c r="R87" s="310"/>
      <c r="S87" s="310"/>
      <c r="T87" s="310"/>
      <c r="U87" s="310"/>
      <c r="V87" s="310"/>
      <c r="W87" s="310"/>
      <c r="X87" s="310"/>
      <c r="Y87" s="310"/>
      <c r="Z87" s="310"/>
      <c r="AA87" s="310"/>
      <c r="AB87" s="310"/>
      <c r="AC87" s="310"/>
      <c r="AD87" s="310"/>
      <c r="AE87" s="310"/>
      <c r="AF87" s="391" t="s">
        <v>50</v>
      </c>
      <c r="AG87" s="441" t="e">
        <f>SUMIF(C$10:C$53,AF87,G$10:G$53)*24+SUMIF(H$10:H$53,AF87,L$10:L$53)*24+SUMIF(N$10:N$53,AF87,R$10:R$53)*24+SUMIF(S$10:S$53,AF87,W$10:W$53)*24+SUMIF(X$10:X$53,AF87,AB$10:AB$53)*24+SUMIF(AC$10:AC$53,AF87,#REF!)*24+SUMIF(#REF!,AF87,#REF!)*24+SUMIF(#REF!,AF87,#REF!)*24</f>
        <v>#REF!</v>
      </c>
      <c r="AH87" s="441"/>
      <c r="AI87" s="442">
        <f t="shared" si="0"/>
        <v>0</v>
      </c>
      <c r="AJ87" s="441" t="e">
        <f t="shared" si="1"/>
        <v>#REF!</v>
      </c>
      <c r="AK87" s="310"/>
      <c r="AL87" s="310"/>
    </row>
    <row r="88" spans="1:38" ht="15.75" customHeight="1">
      <c r="A88" s="310"/>
      <c r="B88" s="310"/>
      <c r="C88" s="310"/>
      <c r="D88" s="310"/>
      <c r="E88" s="310"/>
      <c r="F88" s="311"/>
      <c r="G88" s="311"/>
      <c r="H88" s="1"/>
      <c r="I88" s="353"/>
      <c r="J88" s="353"/>
      <c r="K88" s="353"/>
      <c r="L88" s="353"/>
      <c r="M88" s="353"/>
      <c r="N88" s="353"/>
      <c r="O88" s="310"/>
      <c r="P88" s="310"/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0"/>
      <c r="AB88" s="310"/>
      <c r="AC88" s="310"/>
      <c r="AD88" s="310"/>
      <c r="AE88" s="310"/>
      <c r="AF88" s="391" t="s">
        <v>149</v>
      </c>
      <c r="AG88" s="441" t="e">
        <f>SUMIF(C$10:C$53,AF88,G$10:G$53)*24+SUMIF(H$10:H$53,AF88,L$10:L$53)*24+SUMIF(N$10:N$53,AF88,R$10:R$53)*24+SUMIF(S$10:S$53,AF88,W$10:W$53)*24+SUMIF(X$10:X$53,AF88,AB$10:AB$53)*24+SUMIF(AC$10:AC$53,AF88,#REF!)*24+SUMIF(#REF!,AF88,#REF!)*24+SUMIF(#REF!,AF88,#REF!)*24</f>
        <v>#REF!</v>
      </c>
      <c r="AH88" s="441"/>
      <c r="AI88" s="442">
        <f t="shared" si="0"/>
        <v>1</v>
      </c>
      <c r="AJ88" s="441" t="e">
        <f t="shared" si="1"/>
        <v>#REF!</v>
      </c>
      <c r="AK88" s="310"/>
      <c r="AL88" s="310"/>
    </row>
    <row r="89" spans="1:38" ht="15.75" customHeight="1">
      <c r="A89" s="310"/>
      <c r="B89" s="310"/>
      <c r="C89" s="310"/>
      <c r="D89" s="310"/>
      <c r="E89" s="310"/>
      <c r="F89" s="311"/>
      <c r="G89" s="311"/>
      <c r="H89" s="1"/>
      <c r="I89" s="353"/>
      <c r="J89" s="353"/>
      <c r="K89" s="353"/>
      <c r="L89" s="353"/>
      <c r="M89" s="353"/>
      <c r="N89" s="353"/>
      <c r="O89" s="310"/>
      <c r="P89" s="310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310"/>
      <c r="AB89" s="310"/>
      <c r="AC89" s="310"/>
      <c r="AD89" s="310"/>
      <c r="AE89" s="310"/>
      <c r="AF89" s="391"/>
      <c r="AG89" s="391"/>
      <c r="AH89" s="391"/>
      <c r="AI89" s="391"/>
      <c r="AJ89" s="391"/>
      <c r="AK89" s="310"/>
      <c r="AL89" s="310"/>
    </row>
    <row r="90" spans="1:38" ht="15.75" customHeight="1">
      <c r="A90" s="310"/>
      <c r="B90" s="310"/>
      <c r="C90" s="310"/>
      <c r="D90" s="310"/>
      <c r="E90" s="310"/>
      <c r="F90" s="311"/>
      <c r="G90" s="311"/>
      <c r="H90" s="1"/>
      <c r="I90" s="353"/>
      <c r="J90" s="353"/>
      <c r="K90" s="353"/>
      <c r="L90" s="353"/>
      <c r="M90" s="353"/>
      <c r="N90" s="353"/>
      <c r="O90" s="310"/>
      <c r="P90" s="310"/>
      <c r="Q90" s="310"/>
      <c r="R90" s="310"/>
      <c r="S90" s="310"/>
      <c r="T90" s="310"/>
      <c r="U90" s="310"/>
      <c r="V90" s="310"/>
      <c r="W90" s="310"/>
      <c r="X90" s="310"/>
      <c r="Y90" s="310"/>
      <c r="Z90" s="310"/>
      <c r="AA90" s="310"/>
      <c r="AB90" s="310"/>
      <c r="AC90" s="310"/>
      <c r="AD90" s="310"/>
      <c r="AE90" s="310"/>
      <c r="AF90" s="391"/>
      <c r="AG90" s="391"/>
      <c r="AH90" s="391"/>
      <c r="AI90" s="391"/>
      <c r="AJ90" s="391"/>
      <c r="AK90" s="310"/>
      <c r="AL90" s="310"/>
    </row>
    <row r="91" spans="1:38" ht="15.75" customHeight="1">
      <c r="A91" s="310"/>
      <c r="B91" s="310"/>
      <c r="C91" s="310"/>
      <c r="D91" s="310"/>
      <c r="E91" s="310"/>
      <c r="F91" s="311"/>
      <c r="G91" s="311"/>
      <c r="H91" s="1"/>
      <c r="I91" s="353"/>
      <c r="J91" s="353"/>
      <c r="K91" s="353"/>
      <c r="L91" s="353"/>
      <c r="M91" s="353"/>
      <c r="N91" s="353"/>
      <c r="O91" s="310"/>
      <c r="P91" s="310"/>
      <c r="Q91" s="310"/>
      <c r="R91" s="310"/>
      <c r="S91" s="310"/>
      <c r="T91" s="310"/>
      <c r="U91" s="310"/>
      <c r="V91" s="310"/>
      <c r="W91" s="310"/>
      <c r="X91" s="310"/>
      <c r="Y91" s="310"/>
      <c r="Z91" s="310"/>
      <c r="AA91" s="310"/>
      <c r="AB91" s="310"/>
      <c r="AC91" s="310"/>
      <c r="AD91" s="310"/>
      <c r="AE91" s="310"/>
      <c r="AF91" s="391"/>
      <c r="AG91" s="391"/>
      <c r="AH91" s="391"/>
      <c r="AI91" s="391"/>
      <c r="AJ91" s="391"/>
      <c r="AK91" s="310"/>
      <c r="AL91" s="310"/>
    </row>
    <row r="92" spans="1:38" ht="15.75" customHeight="1">
      <c r="A92" s="310"/>
      <c r="B92" s="310"/>
      <c r="C92" s="310"/>
      <c r="D92" s="310"/>
      <c r="E92" s="310"/>
      <c r="F92" s="311"/>
      <c r="G92" s="311"/>
      <c r="H92" s="1"/>
      <c r="I92" s="353"/>
      <c r="J92" s="353"/>
      <c r="K92" s="353"/>
      <c r="L92" s="353"/>
      <c r="M92" s="353"/>
      <c r="N92" s="353"/>
      <c r="O92" s="310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91"/>
      <c r="AG92" s="391"/>
      <c r="AH92" s="391"/>
      <c r="AI92" s="391"/>
      <c r="AJ92" s="391"/>
      <c r="AK92" s="310"/>
      <c r="AL92" s="310"/>
    </row>
    <row r="93" spans="1:38" ht="15.75" customHeight="1">
      <c r="A93" s="310"/>
      <c r="B93" s="310"/>
      <c r="C93" s="310"/>
      <c r="D93" s="310"/>
      <c r="E93" s="310"/>
      <c r="F93" s="311"/>
      <c r="G93" s="311"/>
      <c r="H93" s="1"/>
      <c r="I93" s="353"/>
      <c r="J93" s="353"/>
      <c r="K93" s="353"/>
      <c r="L93" s="353"/>
      <c r="M93" s="353"/>
      <c r="N93" s="353"/>
      <c r="O93" s="310"/>
      <c r="P93" s="310"/>
      <c r="Q93" s="310"/>
      <c r="R93" s="310"/>
      <c r="S93" s="310"/>
      <c r="T93" s="310"/>
      <c r="U93" s="310"/>
      <c r="V93" s="310"/>
      <c r="W93" s="310"/>
      <c r="X93" s="310"/>
      <c r="Y93" s="310"/>
      <c r="Z93" s="310"/>
      <c r="AA93" s="310"/>
      <c r="AB93" s="310"/>
      <c r="AC93" s="310"/>
      <c r="AD93" s="310"/>
      <c r="AE93" s="310"/>
      <c r="AF93" s="391"/>
      <c r="AG93" s="391"/>
      <c r="AH93" s="391"/>
      <c r="AI93" s="391"/>
      <c r="AJ93" s="391"/>
      <c r="AK93" s="310"/>
      <c r="AL93" s="310"/>
    </row>
    <row r="94" spans="1:38" ht="15.75" customHeight="1">
      <c r="A94" s="310"/>
      <c r="B94" s="310"/>
      <c r="C94" s="310"/>
      <c r="D94" s="310"/>
      <c r="E94" s="310"/>
      <c r="F94" s="311"/>
      <c r="G94" s="311"/>
      <c r="H94" s="1"/>
      <c r="I94" s="353"/>
      <c r="J94" s="353"/>
      <c r="K94" s="353"/>
      <c r="L94" s="353"/>
      <c r="M94" s="353"/>
      <c r="N94" s="353"/>
      <c r="O94" s="310"/>
      <c r="P94" s="310"/>
      <c r="Q94" s="310"/>
      <c r="R94" s="310"/>
      <c r="S94" s="310"/>
      <c r="T94" s="310"/>
      <c r="U94" s="310"/>
      <c r="V94" s="310"/>
      <c r="W94" s="310"/>
      <c r="X94" s="310"/>
      <c r="Y94" s="310"/>
      <c r="Z94" s="310"/>
      <c r="AA94" s="310"/>
      <c r="AB94" s="310"/>
      <c r="AC94" s="310"/>
      <c r="AD94" s="310"/>
      <c r="AE94" s="310"/>
      <c r="AF94" s="391"/>
      <c r="AG94" s="391"/>
      <c r="AH94" s="391"/>
      <c r="AI94" s="391"/>
      <c r="AJ94" s="391"/>
      <c r="AK94" s="310"/>
      <c r="AL94" s="310"/>
    </row>
    <row r="95" spans="1:38" ht="15.75" customHeight="1">
      <c r="A95" s="310"/>
      <c r="B95" s="310"/>
      <c r="C95" s="310"/>
      <c r="D95" s="310"/>
      <c r="E95" s="310"/>
      <c r="F95" s="311"/>
      <c r="G95" s="311"/>
      <c r="H95" s="1"/>
      <c r="I95" s="353"/>
      <c r="J95" s="353"/>
      <c r="K95" s="353"/>
      <c r="L95" s="353"/>
      <c r="M95" s="353"/>
      <c r="N95" s="353"/>
      <c r="O95" s="310"/>
      <c r="P95" s="310"/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310"/>
      <c r="AB95" s="310"/>
      <c r="AC95" s="310"/>
      <c r="AD95" s="310"/>
      <c r="AE95" s="310"/>
      <c r="AF95" s="391"/>
      <c r="AG95" s="391"/>
      <c r="AH95" s="391"/>
      <c r="AI95" s="391"/>
      <c r="AJ95" s="391"/>
      <c r="AK95" s="310"/>
      <c r="AL95" s="310"/>
    </row>
    <row r="96" spans="1:38" ht="15.75" customHeight="1">
      <c r="A96" s="310"/>
      <c r="B96" s="310"/>
      <c r="C96" s="310"/>
      <c r="D96" s="310"/>
      <c r="E96" s="310"/>
      <c r="F96" s="311"/>
      <c r="G96" s="311"/>
      <c r="H96" s="1"/>
      <c r="I96" s="353"/>
      <c r="J96" s="353"/>
      <c r="K96" s="353"/>
      <c r="L96" s="353"/>
      <c r="M96" s="353"/>
      <c r="N96" s="353"/>
      <c r="O96" s="310"/>
      <c r="P96" s="310"/>
      <c r="Q96" s="310"/>
      <c r="R96" s="310"/>
      <c r="S96" s="310"/>
      <c r="T96" s="310"/>
      <c r="U96" s="310"/>
      <c r="V96" s="310"/>
      <c r="W96" s="310"/>
      <c r="X96" s="310"/>
      <c r="Y96" s="310"/>
      <c r="Z96" s="310"/>
      <c r="AA96" s="310"/>
      <c r="AB96" s="310"/>
      <c r="AC96" s="310"/>
      <c r="AD96" s="310"/>
      <c r="AE96" s="310"/>
      <c r="AF96" s="391"/>
      <c r="AG96" s="391"/>
      <c r="AH96" s="391"/>
      <c r="AI96" s="391"/>
      <c r="AJ96" s="391"/>
      <c r="AK96" s="310"/>
      <c r="AL96" s="310"/>
    </row>
    <row r="97" spans="1:38" ht="15.75" customHeight="1">
      <c r="A97" s="310"/>
      <c r="B97" s="310"/>
      <c r="C97" s="310"/>
      <c r="D97" s="310"/>
      <c r="E97" s="310"/>
      <c r="F97" s="311"/>
      <c r="G97" s="311"/>
      <c r="H97" s="1"/>
      <c r="I97" s="353"/>
      <c r="J97" s="353"/>
      <c r="K97" s="353"/>
      <c r="L97" s="353"/>
      <c r="M97" s="353"/>
      <c r="N97" s="353"/>
      <c r="O97" s="310"/>
      <c r="P97" s="310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310"/>
      <c r="AB97" s="310"/>
      <c r="AC97" s="310"/>
      <c r="AD97" s="310"/>
      <c r="AE97" s="310"/>
      <c r="AF97" s="391"/>
      <c r="AG97" s="391"/>
      <c r="AH97" s="391"/>
      <c r="AI97" s="391"/>
      <c r="AJ97" s="391"/>
      <c r="AK97" s="310"/>
      <c r="AL97" s="310"/>
    </row>
    <row r="98" spans="1:38" ht="15.75" customHeight="1">
      <c r="A98" s="310"/>
      <c r="B98" s="310"/>
      <c r="C98" s="310"/>
      <c r="D98" s="310"/>
      <c r="E98" s="310"/>
      <c r="F98" s="311"/>
      <c r="G98" s="311"/>
      <c r="H98" s="1"/>
      <c r="I98" s="353"/>
      <c r="J98" s="353"/>
      <c r="K98" s="353"/>
      <c r="L98" s="353"/>
      <c r="M98" s="353"/>
      <c r="N98" s="353"/>
      <c r="O98" s="310"/>
      <c r="P98" s="310"/>
      <c r="Q98" s="310"/>
      <c r="R98" s="310"/>
      <c r="S98" s="310"/>
      <c r="T98" s="310"/>
      <c r="U98" s="310"/>
      <c r="V98" s="310"/>
      <c r="W98" s="310"/>
      <c r="X98" s="310"/>
      <c r="Y98" s="310"/>
      <c r="Z98" s="310"/>
      <c r="AA98" s="310"/>
      <c r="AB98" s="310"/>
      <c r="AC98" s="310"/>
      <c r="AD98" s="310"/>
      <c r="AE98" s="310"/>
      <c r="AF98" s="391"/>
      <c r="AG98" s="391"/>
      <c r="AH98" s="391"/>
      <c r="AI98" s="391"/>
      <c r="AJ98" s="391"/>
      <c r="AK98" s="310"/>
      <c r="AL98" s="310"/>
    </row>
    <row r="99" spans="1:38" ht="15.75" customHeight="1">
      <c r="A99" s="310"/>
      <c r="B99" s="310"/>
      <c r="C99" s="310"/>
      <c r="D99" s="310"/>
      <c r="E99" s="310"/>
      <c r="F99" s="311"/>
      <c r="G99" s="311"/>
      <c r="H99" s="1"/>
      <c r="I99" s="353"/>
      <c r="J99" s="353"/>
      <c r="K99" s="353"/>
      <c r="L99" s="353"/>
      <c r="M99" s="353"/>
      <c r="N99" s="353"/>
      <c r="O99" s="310"/>
      <c r="P99" s="310"/>
      <c r="Q99" s="310"/>
      <c r="R99" s="310"/>
      <c r="S99" s="310"/>
      <c r="T99" s="310"/>
      <c r="U99" s="310"/>
      <c r="V99" s="310"/>
      <c r="W99" s="310"/>
      <c r="X99" s="310"/>
      <c r="Y99" s="310"/>
      <c r="Z99" s="310"/>
      <c r="AA99" s="310"/>
      <c r="AB99" s="310"/>
      <c r="AC99" s="310"/>
      <c r="AD99" s="310"/>
      <c r="AE99" s="310"/>
      <c r="AF99" s="391"/>
      <c r="AG99" s="391"/>
      <c r="AH99" s="391"/>
      <c r="AI99" s="391"/>
      <c r="AJ99" s="391"/>
      <c r="AK99" s="310"/>
      <c r="AL99" s="310"/>
    </row>
    <row r="100" spans="1:38" ht="15.75" customHeight="1">
      <c r="A100" s="310"/>
      <c r="B100" s="310"/>
      <c r="C100" s="310"/>
      <c r="D100" s="310"/>
      <c r="E100" s="310"/>
      <c r="F100" s="311"/>
      <c r="G100" s="311"/>
      <c r="H100" s="1"/>
      <c r="I100" s="353"/>
      <c r="J100" s="353"/>
      <c r="K100" s="353"/>
      <c r="L100" s="353"/>
      <c r="M100" s="353"/>
      <c r="N100" s="353"/>
      <c r="O100" s="310"/>
      <c r="P100" s="310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  <c r="AA100" s="310"/>
      <c r="AB100" s="310"/>
      <c r="AC100" s="310"/>
      <c r="AD100" s="310"/>
      <c r="AE100" s="310"/>
      <c r="AF100" s="391"/>
      <c r="AG100" s="391"/>
      <c r="AH100" s="391"/>
      <c r="AI100" s="391"/>
      <c r="AJ100" s="391"/>
      <c r="AK100" s="310"/>
      <c r="AL100" s="310"/>
    </row>
    <row r="101" spans="1:38" ht="15.75" customHeight="1">
      <c r="A101" s="310"/>
      <c r="B101" s="310"/>
      <c r="C101" s="310"/>
      <c r="D101" s="310"/>
      <c r="E101" s="310"/>
      <c r="F101" s="311"/>
      <c r="G101" s="311"/>
      <c r="H101" s="1"/>
      <c r="I101" s="353"/>
      <c r="J101" s="353"/>
      <c r="K101" s="353"/>
      <c r="L101" s="353"/>
      <c r="M101" s="353"/>
      <c r="N101" s="353"/>
      <c r="O101" s="310"/>
      <c r="P101" s="310"/>
      <c r="Q101" s="310"/>
      <c r="R101" s="310"/>
      <c r="S101" s="310"/>
      <c r="T101" s="310"/>
      <c r="U101" s="310"/>
      <c r="V101" s="310"/>
      <c r="W101" s="310"/>
      <c r="X101" s="310"/>
      <c r="Y101" s="310"/>
      <c r="Z101" s="310"/>
      <c r="AA101" s="310"/>
      <c r="AB101" s="310"/>
      <c r="AC101" s="310"/>
      <c r="AD101" s="310"/>
      <c r="AE101" s="310"/>
      <c r="AF101" s="391"/>
      <c r="AG101" s="391"/>
      <c r="AH101" s="391"/>
      <c r="AI101" s="391"/>
      <c r="AJ101" s="391"/>
      <c r="AK101" s="310"/>
      <c r="AL101" s="310"/>
    </row>
    <row r="102" spans="1:38" ht="15.75" customHeight="1">
      <c r="A102" s="310"/>
      <c r="B102" s="310"/>
      <c r="C102" s="310"/>
      <c r="D102" s="310"/>
      <c r="E102" s="310"/>
      <c r="F102" s="311"/>
      <c r="G102" s="311"/>
      <c r="H102" s="1"/>
      <c r="I102" s="353"/>
      <c r="J102" s="353"/>
      <c r="K102" s="353"/>
      <c r="L102" s="353"/>
      <c r="M102" s="353"/>
      <c r="N102" s="353"/>
      <c r="O102" s="310"/>
      <c r="P102" s="310"/>
      <c r="Q102" s="310"/>
      <c r="R102" s="310"/>
      <c r="S102" s="310"/>
      <c r="T102" s="310"/>
      <c r="U102" s="310"/>
      <c r="V102" s="310"/>
      <c r="W102" s="310"/>
      <c r="X102" s="310"/>
      <c r="Y102" s="310"/>
      <c r="Z102" s="310"/>
      <c r="AA102" s="310"/>
      <c r="AB102" s="310"/>
      <c r="AC102" s="310"/>
      <c r="AD102" s="310"/>
      <c r="AE102" s="310"/>
      <c r="AF102" s="391"/>
      <c r="AG102" s="391"/>
      <c r="AH102" s="391"/>
      <c r="AI102" s="391"/>
      <c r="AJ102" s="391"/>
      <c r="AK102" s="310"/>
      <c r="AL102" s="310"/>
    </row>
    <row r="103" spans="1:38" ht="15.75" customHeight="1">
      <c r="A103" s="310"/>
      <c r="B103" s="310"/>
      <c r="C103" s="310"/>
      <c r="D103" s="310"/>
      <c r="E103" s="310"/>
      <c r="F103" s="311"/>
      <c r="G103" s="311"/>
      <c r="H103" s="1"/>
      <c r="I103" s="353"/>
      <c r="J103" s="353"/>
      <c r="K103" s="353"/>
      <c r="L103" s="353"/>
      <c r="M103" s="353"/>
      <c r="N103" s="353"/>
      <c r="O103" s="310"/>
      <c r="P103" s="310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  <c r="AB103" s="310"/>
      <c r="AC103" s="310"/>
      <c r="AD103" s="310"/>
      <c r="AE103" s="310"/>
      <c r="AF103" s="391"/>
      <c r="AG103" s="391"/>
      <c r="AH103" s="391"/>
      <c r="AI103" s="391"/>
      <c r="AJ103" s="391"/>
      <c r="AK103" s="310"/>
      <c r="AL103" s="310"/>
    </row>
    <row r="104" spans="1:38" ht="15.75" customHeight="1">
      <c r="A104" s="310"/>
      <c r="B104" s="310"/>
      <c r="C104" s="310"/>
      <c r="D104" s="310"/>
      <c r="E104" s="310"/>
      <c r="F104" s="311"/>
      <c r="G104" s="311"/>
      <c r="H104" s="1"/>
      <c r="I104" s="353"/>
      <c r="J104" s="353"/>
      <c r="K104" s="353"/>
      <c r="L104" s="353"/>
      <c r="M104" s="353"/>
      <c r="N104" s="353"/>
      <c r="O104" s="310"/>
      <c r="P104" s="310"/>
      <c r="Q104" s="310"/>
      <c r="R104" s="310"/>
      <c r="S104" s="310"/>
      <c r="T104" s="310"/>
      <c r="U104" s="310"/>
      <c r="V104" s="310"/>
      <c r="W104" s="310"/>
      <c r="X104" s="310"/>
      <c r="Y104" s="310"/>
      <c r="Z104" s="310"/>
      <c r="AA104" s="310"/>
      <c r="AB104" s="310"/>
      <c r="AC104" s="310"/>
      <c r="AD104" s="310"/>
      <c r="AE104" s="310"/>
      <c r="AF104" s="391"/>
      <c r="AG104" s="391"/>
      <c r="AH104" s="391"/>
      <c r="AI104" s="391"/>
      <c r="AJ104" s="391"/>
      <c r="AK104" s="310"/>
      <c r="AL104" s="310"/>
    </row>
    <row r="105" spans="1:38" ht="15.75" customHeight="1">
      <c r="A105" s="310"/>
      <c r="B105" s="310"/>
      <c r="C105" s="310"/>
      <c r="D105" s="310"/>
      <c r="E105" s="310"/>
      <c r="F105" s="311"/>
      <c r="G105" s="311"/>
      <c r="H105" s="1"/>
      <c r="I105" s="353"/>
      <c r="J105" s="353"/>
      <c r="K105" s="353"/>
      <c r="L105" s="353"/>
      <c r="M105" s="353"/>
      <c r="N105" s="353"/>
      <c r="O105" s="310"/>
      <c r="P105" s="310"/>
      <c r="Q105" s="310"/>
      <c r="R105" s="310"/>
      <c r="S105" s="310"/>
      <c r="T105" s="310"/>
      <c r="U105" s="310"/>
      <c r="V105" s="310"/>
      <c r="W105" s="310"/>
      <c r="X105" s="310"/>
      <c r="Y105" s="310"/>
      <c r="Z105" s="310"/>
      <c r="AA105" s="310"/>
      <c r="AB105" s="310"/>
      <c r="AC105" s="310"/>
      <c r="AD105" s="310"/>
      <c r="AE105" s="310"/>
      <c r="AF105" s="391"/>
      <c r="AG105" s="391"/>
      <c r="AH105" s="391"/>
      <c r="AI105" s="391"/>
      <c r="AJ105" s="391"/>
      <c r="AK105" s="310"/>
      <c r="AL105" s="310"/>
    </row>
    <row r="106" spans="1:38" ht="15.75" customHeight="1">
      <c r="A106" s="310"/>
      <c r="B106" s="310"/>
      <c r="C106" s="310"/>
      <c r="D106" s="310"/>
      <c r="E106" s="310"/>
      <c r="F106" s="311"/>
      <c r="G106" s="311"/>
      <c r="H106" s="1"/>
      <c r="I106" s="353"/>
      <c r="J106" s="353"/>
      <c r="K106" s="353"/>
      <c r="L106" s="353"/>
      <c r="M106" s="353"/>
      <c r="N106" s="353"/>
      <c r="O106" s="310"/>
      <c r="P106" s="310"/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310"/>
      <c r="AB106" s="310"/>
      <c r="AC106" s="310"/>
      <c r="AD106" s="310"/>
      <c r="AE106" s="310"/>
      <c r="AF106" s="391"/>
      <c r="AG106" s="391"/>
      <c r="AH106" s="391"/>
      <c r="AI106" s="391"/>
      <c r="AJ106" s="391"/>
      <c r="AK106" s="310"/>
      <c r="AL106" s="310"/>
    </row>
    <row r="107" spans="1:38" ht="15.75" customHeight="1">
      <c r="A107" s="310"/>
      <c r="B107" s="310"/>
      <c r="C107" s="310"/>
      <c r="D107" s="310"/>
      <c r="E107" s="310"/>
      <c r="F107" s="311"/>
      <c r="G107" s="311"/>
      <c r="H107" s="1"/>
      <c r="I107" s="353"/>
      <c r="J107" s="353"/>
      <c r="K107" s="353"/>
      <c r="L107" s="353"/>
      <c r="M107" s="353"/>
      <c r="N107" s="353"/>
      <c r="O107" s="310"/>
      <c r="P107" s="310"/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  <c r="AA107" s="310"/>
      <c r="AB107" s="310"/>
      <c r="AC107" s="310"/>
      <c r="AD107" s="310"/>
      <c r="AE107" s="310"/>
      <c r="AF107" s="391"/>
      <c r="AG107" s="391"/>
      <c r="AH107" s="391"/>
      <c r="AI107" s="391"/>
      <c r="AJ107" s="391"/>
      <c r="AK107" s="310"/>
      <c r="AL107" s="310"/>
    </row>
    <row r="108" spans="1:38" ht="15.75" customHeight="1">
      <c r="A108" s="310"/>
      <c r="B108" s="310"/>
      <c r="C108" s="310"/>
      <c r="D108" s="310"/>
      <c r="E108" s="310"/>
      <c r="F108" s="311"/>
      <c r="G108" s="311"/>
      <c r="H108" s="1"/>
      <c r="I108" s="353"/>
      <c r="J108" s="353"/>
      <c r="K108" s="353"/>
      <c r="L108" s="353"/>
      <c r="M108" s="353"/>
      <c r="N108" s="353"/>
      <c r="O108" s="310"/>
      <c r="P108" s="310"/>
      <c r="Q108" s="310"/>
      <c r="R108" s="310"/>
      <c r="S108" s="310"/>
      <c r="T108" s="310"/>
      <c r="U108" s="310"/>
      <c r="V108" s="310"/>
      <c r="W108" s="310"/>
      <c r="X108" s="310"/>
      <c r="Y108" s="310"/>
      <c r="Z108" s="310"/>
      <c r="AA108" s="310"/>
      <c r="AB108" s="310"/>
      <c r="AC108" s="310"/>
      <c r="AD108" s="310"/>
      <c r="AE108" s="310"/>
      <c r="AF108" s="391"/>
      <c r="AG108" s="391"/>
      <c r="AH108" s="391"/>
      <c r="AI108" s="391"/>
      <c r="AJ108" s="391"/>
      <c r="AK108" s="310"/>
      <c r="AL108" s="310"/>
    </row>
    <row r="109" spans="1:38" ht="15.75" customHeight="1">
      <c r="A109" s="310"/>
      <c r="B109" s="310"/>
      <c r="C109" s="310"/>
      <c r="D109" s="310"/>
      <c r="E109" s="310"/>
      <c r="F109" s="311"/>
      <c r="G109" s="311"/>
      <c r="H109" s="1"/>
      <c r="I109" s="353"/>
      <c r="J109" s="353"/>
      <c r="K109" s="353"/>
      <c r="L109" s="353"/>
      <c r="M109" s="353"/>
      <c r="N109" s="353"/>
      <c r="O109" s="310"/>
      <c r="P109" s="310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0"/>
      <c r="AE109" s="310"/>
      <c r="AF109" s="391"/>
      <c r="AG109" s="391"/>
      <c r="AH109" s="391"/>
      <c r="AI109" s="391"/>
      <c r="AJ109" s="391"/>
      <c r="AK109" s="310"/>
      <c r="AL109" s="310"/>
    </row>
    <row r="110" spans="1:38" ht="15.75" customHeight="1">
      <c r="A110" s="310"/>
      <c r="B110" s="310"/>
      <c r="C110" s="310"/>
      <c r="D110" s="310"/>
      <c r="E110" s="310"/>
      <c r="F110" s="311"/>
      <c r="G110" s="311"/>
      <c r="H110" s="1"/>
      <c r="I110" s="353"/>
      <c r="J110" s="353"/>
      <c r="K110" s="353"/>
      <c r="L110" s="353"/>
      <c r="M110" s="353"/>
      <c r="N110" s="353"/>
      <c r="O110" s="310"/>
      <c r="P110" s="310"/>
      <c r="Q110" s="310"/>
      <c r="R110" s="310"/>
      <c r="S110" s="310"/>
      <c r="T110" s="310"/>
      <c r="U110" s="310"/>
      <c r="V110" s="310"/>
      <c r="W110" s="310"/>
      <c r="X110" s="310"/>
      <c r="Y110" s="310"/>
      <c r="Z110" s="310"/>
      <c r="AA110" s="310"/>
      <c r="AB110" s="310"/>
      <c r="AC110" s="310"/>
      <c r="AD110" s="310"/>
      <c r="AE110" s="310"/>
      <c r="AF110" s="391"/>
      <c r="AG110" s="391"/>
      <c r="AH110" s="391"/>
      <c r="AI110" s="391"/>
      <c r="AJ110" s="391"/>
      <c r="AK110" s="310"/>
      <c r="AL110" s="310"/>
    </row>
    <row r="111" spans="1:38" ht="15.75" customHeight="1">
      <c r="A111" s="310"/>
      <c r="B111" s="310"/>
      <c r="C111" s="310"/>
      <c r="D111" s="310"/>
      <c r="E111" s="310"/>
      <c r="F111" s="311"/>
      <c r="G111" s="311"/>
      <c r="H111" s="1"/>
      <c r="I111" s="353"/>
      <c r="J111" s="353"/>
      <c r="K111" s="353"/>
      <c r="L111" s="353"/>
      <c r="M111" s="353"/>
      <c r="N111" s="353"/>
      <c r="O111" s="310"/>
      <c r="P111" s="310"/>
      <c r="Q111" s="310"/>
      <c r="R111" s="310"/>
      <c r="S111" s="310"/>
      <c r="T111" s="310"/>
      <c r="U111" s="310"/>
      <c r="V111" s="310"/>
      <c r="W111" s="310"/>
      <c r="X111" s="310"/>
      <c r="Y111" s="310"/>
      <c r="Z111" s="310"/>
      <c r="AA111" s="310"/>
      <c r="AB111" s="310"/>
      <c r="AC111" s="310"/>
      <c r="AD111" s="310"/>
      <c r="AE111" s="310"/>
      <c r="AF111" s="391"/>
      <c r="AG111" s="391"/>
      <c r="AH111" s="391"/>
      <c r="AI111" s="391"/>
      <c r="AJ111" s="391"/>
      <c r="AK111" s="310"/>
      <c r="AL111" s="310"/>
    </row>
    <row r="112" spans="1:38" ht="15.75" customHeight="1">
      <c r="A112" s="310"/>
      <c r="B112" s="310"/>
      <c r="C112" s="310"/>
      <c r="D112" s="310"/>
      <c r="E112" s="310"/>
      <c r="F112" s="311"/>
      <c r="G112" s="311"/>
      <c r="H112" s="1"/>
      <c r="I112" s="353"/>
      <c r="J112" s="353"/>
      <c r="K112" s="353"/>
      <c r="L112" s="353"/>
      <c r="M112" s="353"/>
      <c r="N112" s="353"/>
      <c r="O112" s="310"/>
      <c r="P112" s="310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310"/>
      <c r="AB112" s="310"/>
      <c r="AC112" s="310"/>
      <c r="AD112" s="310"/>
      <c r="AE112" s="310"/>
      <c r="AF112" s="391"/>
      <c r="AG112" s="391"/>
      <c r="AH112" s="391"/>
      <c r="AI112" s="391"/>
      <c r="AJ112" s="391"/>
      <c r="AK112" s="310"/>
      <c r="AL112" s="310"/>
    </row>
    <row r="113" spans="1:38" ht="15.75" customHeight="1">
      <c r="A113" s="310"/>
      <c r="B113" s="310"/>
      <c r="C113" s="310"/>
      <c r="D113" s="310"/>
      <c r="E113" s="310"/>
      <c r="F113" s="311"/>
      <c r="G113" s="311"/>
      <c r="H113" s="1"/>
      <c r="I113" s="353"/>
      <c r="J113" s="353"/>
      <c r="K113" s="353"/>
      <c r="L113" s="353"/>
      <c r="M113" s="353"/>
      <c r="N113" s="353"/>
      <c r="O113" s="310"/>
      <c r="P113" s="310"/>
      <c r="Q113" s="310"/>
      <c r="R113" s="310"/>
      <c r="S113" s="310"/>
      <c r="T113" s="310"/>
      <c r="U113" s="310"/>
      <c r="V113" s="310"/>
      <c r="W113" s="310"/>
      <c r="X113" s="310"/>
      <c r="Y113" s="310"/>
      <c r="Z113" s="310"/>
      <c r="AA113" s="310"/>
      <c r="AB113" s="310"/>
      <c r="AC113" s="310"/>
      <c r="AD113" s="310"/>
      <c r="AE113" s="310"/>
      <c r="AF113" s="391"/>
      <c r="AG113" s="391"/>
      <c r="AH113" s="391"/>
      <c r="AI113" s="391"/>
      <c r="AJ113" s="391"/>
      <c r="AK113" s="310"/>
      <c r="AL113" s="310"/>
    </row>
    <row r="114" spans="1:38" ht="15.75" customHeight="1">
      <c r="A114" s="310"/>
      <c r="B114" s="310"/>
      <c r="C114" s="310"/>
      <c r="D114" s="310"/>
      <c r="E114" s="310"/>
      <c r="F114" s="311"/>
      <c r="G114" s="311"/>
      <c r="H114" s="1"/>
      <c r="I114" s="353"/>
      <c r="J114" s="353"/>
      <c r="K114" s="353"/>
      <c r="L114" s="353"/>
      <c r="M114" s="353"/>
      <c r="N114" s="353"/>
      <c r="O114" s="310"/>
      <c r="P114" s="310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  <c r="AA114" s="310"/>
      <c r="AB114" s="310"/>
      <c r="AC114" s="310"/>
      <c r="AD114" s="310"/>
      <c r="AE114" s="310"/>
      <c r="AF114" s="391"/>
      <c r="AG114" s="391"/>
      <c r="AH114" s="391"/>
      <c r="AI114" s="391"/>
      <c r="AJ114" s="391"/>
      <c r="AK114" s="310"/>
      <c r="AL114" s="310"/>
    </row>
    <row r="115" spans="1:38" ht="15.75" customHeight="1">
      <c r="A115" s="310"/>
      <c r="B115" s="310"/>
      <c r="C115" s="310"/>
      <c r="D115" s="310"/>
      <c r="E115" s="310"/>
      <c r="F115" s="311"/>
      <c r="G115" s="311"/>
      <c r="H115" s="1"/>
      <c r="I115" s="353"/>
      <c r="J115" s="353"/>
      <c r="K115" s="353"/>
      <c r="L115" s="353"/>
      <c r="M115" s="353"/>
      <c r="N115" s="353"/>
      <c r="O115" s="310"/>
      <c r="P115" s="310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  <c r="AA115" s="310"/>
      <c r="AB115" s="310"/>
      <c r="AC115" s="310"/>
      <c r="AD115" s="310"/>
      <c r="AE115" s="310"/>
      <c r="AF115" s="391"/>
      <c r="AG115" s="391"/>
      <c r="AH115" s="391"/>
      <c r="AI115" s="391"/>
      <c r="AJ115" s="391"/>
      <c r="AK115" s="310"/>
      <c r="AL115" s="310"/>
    </row>
    <row r="116" spans="1:38" ht="15.75" customHeight="1">
      <c r="A116" s="310"/>
      <c r="B116" s="310"/>
      <c r="C116" s="310"/>
      <c r="D116" s="310"/>
      <c r="E116" s="310"/>
      <c r="F116" s="311"/>
      <c r="G116" s="311"/>
      <c r="H116" s="1"/>
      <c r="I116" s="353"/>
      <c r="J116" s="353"/>
      <c r="K116" s="353"/>
      <c r="L116" s="353"/>
      <c r="M116" s="353"/>
      <c r="N116" s="353"/>
      <c r="O116" s="310"/>
      <c r="P116" s="310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310"/>
      <c r="AB116" s="310"/>
      <c r="AC116" s="310"/>
      <c r="AD116" s="310"/>
      <c r="AE116" s="310"/>
      <c r="AF116" s="391"/>
      <c r="AG116" s="391"/>
      <c r="AH116" s="391"/>
      <c r="AI116" s="391"/>
      <c r="AJ116" s="391"/>
      <c r="AK116" s="310"/>
      <c r="AL116" s="310"/>
    </row>
    <row r="117" spans="1:38" ht="15.75" customHeight="1">
      <c r="A117" s="310"/>
      <c r="B117" s="310"/>
      <c r="C117" s="310"/>
      <c r="D117" s="310"/>
      <c r="E117" s="310"/>
      <c r="F117" s="311"/>
      <c r="G117" s="311"/>
      <c r="H117" s="1"/>
      <c r="I117" s="353"/>
      <c r="J117" s="353"/>
      <c r="K117" s="353"/>
      <c r="L117" s="353"/>
      <c r="M117" s="353"/>
      <c r="N117" s="353"/>
      <c r="O117" s="310"/>
      <c r="P117" s="310"/>
      <c r="Q117" s="310"/>
      <c r="R117" s="310"/>
      <c r="S117" s="310"/>
      <c r="T117" s="310"/>
      <c r="U117" s="310"/>
      <c r="V117" s="310"/>
      <c r="W117" s="310"/>
      <c r="X117" s="310"/>
      <c r="Y117" s="310"/>
      <c r="Z117" s="310"/>
      <c r="AA117" s="310"/>
      <c r="AB117" s="310"/>
      <c r="AC117" s="310"/>
      <c r="AD117" s="310"/>
      <c r="AE117" s="310"/>
      <c r="AF117" s="391"/>
      <c r="AG117" s="391"/>
      <c r="AH117" s="391"/>
      <c r="AI117" s="391"/>
      <c r="AJ117" s="391"/>
      <c r="AK117" s="310"/>
      <c r="AL117" s="310"/>
    </row>
    <row r="118" spans="1:38" ht="15.75" customHeight="1">
      <c r="A118" s="310"/>
      <c r="B118" s="310"/>
      <c r="C118" s="310"/>
      <c r="D118" s="310"/>
      <c r="E118" s="310"/>
      <c r="F118" s="311"/>
      <c r="G118" s="311"/>
      <c r="H118" s="1"/>
      <c r="I118" s="353"/>
      <c r="J118" s="353"/>
      <c r="K118" s="353"/>
      <c r="L118" s="353"/>
      <c r="M118" s="353"/>
      <c r="N118" s="353"/>
      <c r="O118" s="310"/>
      <c r="P118" s="310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  <c r="AA118" s="310"/>
      <c r="AB118" s="310"/>
      <c r="AC118" s="310"/>
      <c r="AD118" s="310"/>
      <c r="AE118" s="310"/>
      <c r="AF118" s="391"/>
      <c r="AG118" s="391"/>
      <c r="AH118" s="391"/>
      <c r="AI118" s="391"/>
      <c r="AJ118" s="391"/>
      <c r="AK118" s="310"/>
      <c r="AL118" s="310"/>
    </row>
    <row r="119" spans="1:38" ht="15.75" customHeight="1">
      <c r="A119" s="310"/>
      <c r="B119" s="310"/>
      <c r="C119" s="310"/>
      <c r="D119" s="310"/>
      <c r="E119" s="310"/>
      <c r="F119" s="311"/>
      <c r="G119" s="311"/>
      <c r="H119" s="1"/>
      <c r="I119" s="353"/>
      <c r="J119" s="353"/>
      <c r="K119" s="353"/>
      <c r="L119" s="353"/>
      <c r="M119" s="353"/>
      <c r="N119" s="353"/>
      <c r="O119" s="310"/>
      <c r="P119" s="310"/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  <c r="AA119" s="310"/>
      <c r="AB119" s="310"/>
      <c r="AC119" s="310"/>
      <c r="AD119" s="310"/>
      <c r="AE119" s="310"/>
      <c r="AF119" s="391"/>
      <c r="AG119" s="391"/>
      <c r="AH119" s="391"/>
      <c r="AI119" s="391"/>
      <c r="AJ119" s="391"/>
      <c r="AK119" s="310"/>
      <c r="AL119" s="310"/>
    </row>
    <row r="120" spans="1:38" ht="15.75" customHeight="1">
      <c r="A120" s="310"/>
      <c r="B120" s="310"/>
      <c r="C120" s="310"/>
      <c r="D120" s="310"/>
      <c r="E120" s="310"/>
      <c r="F120" s="311"/>
      <c r="G120" s="311"/>
      <c r="H120" s="1"/>
      <c r="I120" s="353"/>
      <c r="J120" s="353"/>
      <c r="K120" s="353"/>
      <c r="L120" s="353"/>
      <c r="M120" s="353"/>
      <c r="N120" s="353"/>
      <c r="O120" s="310"/>
      <c r="P120" s="310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  <c r="AB120" s="310"/>
      <c r="AC120" s="310"/>
      <c r="AD120" s="310"/>
      <c r="AE120" s="310"/>
      <c r="AF120" s="391"/>
      <c r="AG120" s="391"/>
      <c r="AH120" s="391"/>
      <c r="AI120" s="391"/>
      <c r="AJ120" s="391"/>
      <c r="AK120" s="310"/>
      <c r="AL120" s="310"/>
    </row>
    <row r="121" spans="1:38" ht="15.75" customHeight="1">
      <c r="A121" s="310"/>
      <c r="B121" s="310"/>
      <c r="C121" s="310"/>
      <c r="D121" s="310"/>
      <c r="E121" s="310"/>
      <c r="F121" s="311"/>
      <c r="G121" s="311"/>
      <c r="H121" s="1"/>
      <c r="I121" s="353"/>
      <c r="J121" s="353"/>
      <c r="K121" s="353"/>
      <c r="L121" s="353"/>
      <c r="M121" s="353"/>
      <c r="N121" s="353"/>
      <c r="O121" s="310"/>
      <c r="P121" s="310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  <c r="AA121" s="310"/>
      <c r="AB121" s="310"/>
      <c r="AC121" s="310"/>
      <c r="AD121" s="310"/>
      <c r="AE121" s="310"/>
      <c r="AF121" s="391"/>
      <c r="AG121" s="391"/>
      <c r="AH121" s="391"/>
      <c r="AI121" s="391"/>
      <c r="AJ121" s="391"/>
      <c r="AK121" s="310"/>
      <c r="AL121" s="310"/>
    </row>
    <row r="122" spans="1:38" ht="15.75" customHeight="1">
      <c r="A122" s="310"/>
      <c r="B122" s="310"/>
      <c r="C122" s="310"/>
      <c r="D122" s="310"/>
      <c r="E122" s="310"/>
      <c r="F122" s="311"/>
      <c r="G122" s="311"/>
      <c r="H122" s="1"/>
      <c r="I122" s="353"/>
      <c r="J122" s="353"/>
      <c r="K122" s="353"/>
      <c r="L122" s="353"/>
      <c r="M122" s="353"/>
      <c r="N122" s="353"/>
      <c r="O122" s="310"/>
      <c r="P122" s="310"/>
      <c r="Q122" s="310"/>
      <c r="R122" s="310"/>
      <c r="S122" s="310"/>
      <c r="T122" s="310"/>
      <c r="U122" s="310"/>
      <c r="V122" s="310"/>
      <c r="W122" s="310"/>
      <c r="X122" s="310"/>
      <c r="Y122" s="310"/>
      <c r="Z122" s="310"/>
      <c r="AA122" s="310"/>
      <c r="AB122" s="310"/>
      <c r="AC122" s="310"/>
      <c r="AD122" s="310"/>
      <c r="AE122" s="310"/>
      <c r="AF122" s="391"/>
      <c r="AG122" s="391"/>
      <c r="AH122" s="391"/>
      <c r="AI122" s="391"/>
      <c r="AJ122" s="391"/>
      <c r="AK122" s="310"/>
      <c r="AL122" s="310"/>
    </row>
    <row r="123" spans="1:38" ht="15.75" customHeight="1">
      <c r="A123" s="310"/>
      <c r="B123" s="310"/>
      <c r="C123" s="310"/>
      <c r="D123" s="310"/>
      <c r="E123" s="310"/>
      <c r="F123" s="311"/>
      <c r="G123" s="311"/>
      <c r="H123" s="1"/>
      <c r="I123" s="353"/>
      <c r="J123" s="353"/>
      <c r="K123" s="353"/>
      <c r="L123" s="353"/>
      <c r="M123" s="353"/>
      <c r="N123" s="353"/>
      <c r="O123" s="310"/>
      <c r="P123" s="310"/>
      <c r="Q123" s="310"/>
      <c r="R123" s="310"/>
      <c r="S123" s="310"/>
      <c r="T123" s="310"/>
      <c r="U123" s="310"/>
      <c r="V123" s="310"/>
      <c r="W123" s="310"/>
      <c r="X123" s="310"/>
      <c r="Y123" s="310"/>
      <c r="Z123" s="310"/>
      <c r="AA123" s="310"/>
      <c r="AB123" s="310"/>
      <c r="AC123" s="310"/>
      <c r="AD123" s="310"/>
      <c r="AE123" s="310"/>
      <c r="AF123" s="391"/>
      <c r="AG123" s="391"/>
      <c r="AH123" s="391"/>
      <c r="AI123" s="391"/>
      <c r="AJ123" s="391"/>
      <c r="AK123" s="310"/>
      <c r="AL123" s="310"/>
    </row>
    <row r="124" spans="1:38" ht="15.75" customHeight="1">
      <c r="A124" s="310"/>
      <c r="B124" s="310"/>
      <c r="C124" s="310"/>
      <c r="D124" s="310"/>
      <c r="E124" s="310"/>
      <c r="F124" s="311"/>
      <c r="G124" s="311"/>
      <c r="H124" s="1"/>
      <c r="I124" s="353"/>
      <c r="J124" s="353"/>
      <c r="K124" s="353"/>
      <c r="L124" s="353"/>
      <c r="M124" s="353"/>
      <c r="N124" s="353"/>
      <c r="O124" s="310"/>
      <c r="P124" s="310"/>
      <c r="Q124" s="310"/>
      <c r="R124" s="310"/>
      <c r="S124" s="310"/>
      <c r="T124" s="310"/>
      <c r="U124" s="310"/>
      <c r="V124" s="310"/>
      <c r="W124" s="310"/>
      <c r="X124" s="310"/>
      <c r="Y124" s="310"/>
      <c r="Z124" s="310"/>
      <c r="AA124" s="310"/>
      <c r="AB124" s="310"/>
      <c r="AC124" s="310"/>
      <c r="AD124" s="310"/>
      <c r="AE124" s="310"/>
      <c r="AF124" s="391"/>
      <c r="AG124" s="391"/>
      <c r="AH124" s="391"/>
      <c r="AI124" s="391"/>
      <c r="AJ124" s="391"/>
      <c r="AK124" s="310"/>
      <c r="AL124" s="310"/>
    </row>
    <row r="125" spans="1:38" ht="15.75" customHeight="1">
      <c r="A125" s="310"/>
      <c r="B125" s="310"/>
      <c r="C125" s="310"/>
      <c r="D125" s="310"/>
      <c r="E125" s="310"/>
      <c r="F125" s="311"/>
      <c r="G125" s="311"/>
      <c r="H125" s="1"/>
      <c r="I125" s="353"/>
      <c r="J125" s="353"/>
      <c r="K125" s="353"/>
      <c r="L125" s="353"/>
      <c r="M125" s="353"/>
      <c r="N125" s="353"/>
      <c r="O125" s="310"/>
      <c r="P125" s="310"/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  <c r="AA125" s="310"/>
      <c r="AB125" s="310"/>
      <c r="AC125" s="310"/>
      <c r="AD125" s="310"/>
      <c r="AE125" s="310"/>
      <c r="AF125" s="391"/>
      <c r="AG125" s="391"/>
      <c r="AH125" s="391"/>
      <c r="AI125" s="391"/>
      <c r="AJ125" s="391"/>
      <c r="AK125" s="310"/>
      <c r="AL125" s="310"/>
    </row>
    <row r="126" spans="1:38" ht="15.75" customHeight="1">
      <c r="A126" s="310"/>
      <c r="B126" s="310"/>
      <c r="C126" s="310"/>
      <c r="D126" s="310"/>
      <c r="E126" s="310"/>
      <c r="F126" s="311"/>
      <c r="G126" s="311"/>
      <c r="H126" s="1"/>
      <c r="I126" s="353"/>
      <c r="J126" s="353"/>
      <c r="K126" s="353"/>
      <c r="L126" s="353"/>
      <c r="M126" s="353"/>
      <c r="N126" s="353"/>
      <c r="O126" s="310"/>
      <c r="P126" s="310"/>
      <c r="Q126" s="310"/>
      <c r="R126" s="310"/>
      <c r="S126" s="310"/>
      <c r="T126" s="310"/>
      <c r="U126" s="310"/>
      <c r="V126" s="310"/>
      <c r="W126" s="310"/>
      <c r="X126" s="310"/>
      <c r="Y126" s="310"/>
      <c r="Z126" s="310"/>
      <c r="AA126" s="310"/>
      <c r="AB126" s="310"/>
      <c r="AC126" s="310"/>
      <c r="AD126" s="310"/>
      <c r="AE126" s="310"/>
      <c r="AF126" s="391"/>
      <c r="AG126" s="391"/>
      <c r="AH126" s="391"/>
      <c r="AI126" s="391"/>
      <c r="AJ126" s="391"/>
      <c r="AK126" s="310"/>
      <c r="AL126" s="310"/>
    </row>
    <row r="127" spans="1:38" ht="15.75" customHeight="1">
      <c r="A127" s="310"/>
      <c r="B127" s="310"/>
      <c r="C127" s="310"/>
      <c r="D127" s="310"/>
      <c r="E127" s="310"/>
      <c r="F127" s="311"/>
      <c r="G127" s="311"/>
      <c r="H127" s="1"/>
      <c r="I127" s="353"/>
      <c r="J127" s="353"/>
      <c r="K127" s="353"/>
      <c r="L127" s="353"/>
      <c r="M127" s="353"/>
      <c r="N127" s="353"/>
      <c r="O127" s="310"/>
      <c r="P127" s="310"/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  <c r="AA127" s="310"/>
      <c r="AB127" s="310"/>
      <c r="AC127" s="310"/>
      <c r="AD127" s="310"/>
      <c r="AE127" s="310"/>
      <c r="AF127" s="391"/>
      <c r="AG127" s="391"/>
      <c r="AH127" s="391"/>
      <c r="AI127" s="391"/>
      <c r="AJ127" s="391"/>
      <c r="AK127" s="310"/>
      <c r="AL127" s="310"/>
    </row>
    <row r="128" spans="1:38" ht="15.75" customHeight="1">
      <c r="A128" s="310"/>
      <c r="B128" s="310"/>
      <c r="C128" s="310"/>
      <c r="D128" s="310"/>
      <c r="E128" s="310"/>
      <c r="F128" s="311"/>
      <c r="G128" s="311"/>
      <c r="H128" s="1"/>
      <c r="I128" s="353"/>
      <c r="J128" s="353"/>
      <c r="K128" s="353"/>
      <c r="L128" s="353"/>
      <c r="M128" s="353"/>
      <c r="N128" s="353"/>
      <c r="O128" s="310"/>
      <c r="P128" s="310"/>
      <c r="Q128" s="310"/>
      <c r="R128" s="310"/>
      <c r="S128" s="310"/>
      <c r="T128" s="310"/>
      <c r="U128" s="310"/>
      <c r="V128" s="310"/>
      <c r="W128" s="310"/>
      <c r="X128" s="310"/>
      <c r="Y128" s="310"/>
      <c r="Z128" s="310"/>
      <c r="AA128" s="310"/>
      <c r="AB128" s="310"/>
      <c r="AC128" s="310"/>
      <c r="AD128" s="310"/>
      <c r="AE128" s="310"/>
      <c r="AF128" s="391"/>
      <c r="AG128" s="391"/>
      <c r="AH128" s="391"/>
      <c r="AI128" s="391"/>
      <c r="AJ128" s="391"/>
      <c r="AK128" s="310"/>
      <c r="AL128" s="310"/>
    </row>
    <row r="129" spans="1:38" ht="15.75" customHeight="1">
      <c r="A129" s="310"/>
      <c r="B129" s="310"/>
      <c r="C129" s="310"/>
      <c r="D129" s="310"/>
      <c r="E129" s="310"/>
      <c r="F129" s="311"/>
      <c r="G129" s="311"/>
      <c r="H129" s="1"/>
      <c r="I129" s="353"/>
      <c r="J129" s="353"/>
      <c r="K129" s="353"/>
      <c r="L129" s="353"/>
      <c r="M129" s="353"/>
      <c r="N129" s="353"/>
      <c r="O129" s="310"/>
      <c r="P129" s="310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  <c r="AB129" s="310"/>
      <c r="AC129" s="310"/>
      <c r="AD129" s="310"/>
      <c r="AE129" s="310"/>
      <c r="AF129" s="391"/>
      <c r="AG129" s="391"/>
      <c r="AH129" s="391"/>
      <c r="AI129" s="391"/>
      <c r="AJ129" s="391"/>
      <c r="AK129" s="310"/>
      <c r="AL129" s="310"/>
    </row>
    <row r="130" spans="1:38" ht="15.75" customHeight="1">
      <c r="A130" s="310"/>
      <c r="B130" s="310"/>
      <c r="C130" s="310"/>
      <c r="D130" s="310"/>
      <c r="E130" s="310"/>
      <c r="F130" s="311"/>
      <c r="G130" s="311"/>
      <c r="H130" s="1"/>
      <c r="I130" s="353"/>
      <c r="J130" s="353"/>
      <c r="K130" s="353"/>
      <c r="L130" s="353"/>
      <c r="M130" s="353"/>
      <c r="N130" s="353"/>
      <c r="O130" s="310"/>
      <c r="P130" s="310"/>
      <c r="Q130" s="310"/>
      <c r="R130" s="310"/>
      <c r="S130" s="310"/>
      <c r="T130" s="310"/>
      <c r="U130" s="310"/>
      <c r="V130" s="310"/>
      <c r="W130" s="310"/>
      <c r="X130" s="310"/>
      <c r="Y130" s="310"/>
      <c r="Z130" s="310"/>
      <c r="AA130" s="310"/>
      <c r="AB130" s="310"/>
      <c r="AC130" s="310"/>
      <c r="AD130" s="310"/>
      <c r="AE130" s="310"/>
      <c r="AF130" s="391"/>
      <c r="AG130" s="391"/>
      <c r="AH130" s="391"/>
      <c r="AI130" s="391"/>
      <c r="AJ130" s="391"/>
      <c r="AK130" s="310"/>
      <c r="AL130" s="310"/>
    </row>
    <row r="131" spans="1:38" ht="15.75" customHeight="1">
      <c r="A131" s="310"/>
      <c r="B131" s="310"/>
      <c r="C131" s="310"/>
      <c r="D131" s="310"/>
      <c r="E131" s="310"/>
      <c r="F131" s="311"/>
      <c r="G131" s="311"/>
      <c r="H131" s="1"/>
      <c r="I131" s="353"/>
      <c r="J131" s="353"/>
      <c r="K131" s="353"/>
      <c r="L131" s="353"/>
      <c r="M131" s="353"/>
      <c r="N131" s="353"/>
      <c r="O131" s="310"/>
      <c r="P131" s="310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310"/>
      <c r="AB131" s="310"/>
      <c r="AC131" s="310"/>
      <c r="AD131" s="310"/>
      <c r="AE131" s="310"/>
      <c r="AF131" s="391"/>
      <c r="AG131" s="391"/>
      <c r="AH131" s="391"/>
      <c r="AI131" s="391"/>
      <c r="AJ131" s="391"/>
      <c r="AK131" s="310"/>
      <c r="AL131" s="310"/>
    </row>
    <row r="132" spans="1:38" ht="15.75" customHeight="1">
      <c r="A132" s="310"/>
      <c r="B132" s="310"/>
      <c r="C132" s="310"/>
      <c r="D132" s="310"/>
      <c r="E132" s="310"/>
      <c r="F132" s="311"/>
      <c r="G132" s="311"/>
      <c r="H132" s="1"/>
      <c r="I132" s="353"/>
      <c r="J132" s="353"/>
      <c r="K132" s="353"/>
      <c r="L132" s="353"/>
      <c r="M132" s="353"/>
      <c r="N132" s="353"/>
      <c r="O132" s="310"/>
      <c r="P132" s="310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  <c r="AA132" s="310"/>
      <c r="AB132" s="310"/>
      <c r="AC132" s="310"/>
      <c r="AD132" s="310"/>
      <c r="AE132" s="310"/>
      <c r="AF132" s="391"/>
      <c r="AG132" s="391"/>
      <c r="AH132" s="391"/>
      <c r="AI132" s="391"/>
      <c r="AJ132" s="391"/>
      <c r="AK132" s="310"/>
      <c r="AL132" s="310"/>
    </row>
    <row r="133" spans="1:38" ht="15.75" customHeight="1">
      <c r="A133" s="310"/>
      <c r="B133" s="310"/>
      <c r="C133" s="310"/>
      <c r="D133" s="310"/>
      <c r="E133" s="310"/>
      <c r="F133" s="311"/>
      <c r="G133" s="311"/>
      <c r="H133" s="1"/>
      <c r="I133" s="353"/>
      <c r="J133" s="353"/>
      <c r="K133" s="353"/>
      <c r="L133" s="353"/>
      <c r="M133" s="353"/>
      <c r="N133" s="353"/>
      <c r="O133" s="310"/>
      <c r="P133" s="310"/>
      <c r="Q133" s="310"/>
      <c r="R133" s="310"/>
      <c r="S133" s="310"/>
      <c r="T133" s="310"/>
      <c r="U133" s="310"/>
      <c r="V133" s="310"/>
      <c r="W133" s="310"/>
      <c r="X133" s="310"/>
      <c r="Y133" s="310"/>
      <c r="Z133" s="310"/>
      <c r="AA133" s="310"/>
      <c r="AB133" s="310"/>
      <c r="AC133" s="310"/>
      <c r="AD133" s="310"/>
      <c r="AE133" s="310"/>
      <c r="AF133" s="391"/>
      <c r="AG133" s="391"/>
      <c r="AH133" s="391"/>
      <c r="AI133" s="391"/>
      <c r="AJ133" s="391"/>
      <c r="AK133" s="310"/>
      <c r="AL133" s="310"/>
    </row>
    <row r="134" spans="1:38" ht="15.75" customHeight="1">
      <c r="A134" s="310"/>
      <c r="B134" s="310"/>
      <c r="C134" s="310"/>
      <c r="D134" s="310"/>
      <c r="E134" s="310"/>
      <c r="F134" s="311"/>
      <c r="G134" s="311"/>
      <c r="H134" s="1"/>
      <c r="I134" s="353"/>
      <c r="J134" s="353"/>
      <c r="K134" s="353"/>
      <c r="L134" s="353"/>
      <c r="M134" s="353"/>
      <c r="N134" s="353"/>
      <c r="O134" s="310"/>
      <c r="P134" s="310"/>
      <c r="Q134" s="310"/>
      <c r="R134" s="310"/>
      <c r="S134" s="310"/>
      <c r="T134" s="310"/>
      <c r="U134" s="310"/>
      <c r="V134" s="310"/>
      <c r="W134" s="310"/>
      <c r="X134" s="310"/>
      <c r="Y134" s="310"/>
      <c r="Z134" s="310"/>
      <c r="AA134" s="310"/>
      <c r="AB134" s="310"/>
      <c r="AC134" s="310"/>
      <c r="AD134" s="310"/>
      <c r="AE134" s="310"/>
      <c r="AF134" s="391"/>
      <c r="AG134" s="391"/>
      <c r="AH134" s="391"/>
      <c r="AI134" s="391"/>
      <c r="AJ134" s="391"/>
      <c r="AK134" s="310"/>
      <c r="AL134" s="310"/>
    </row>
    <row r="135" spans="1:38" ht="15.75" customHeight="1">
      <c r="A135" s="310"/>
      <c r="B135" s="310"/>
      <c r="C135" s="310"/>
      <c r="D135" s="310"/>
      <c r="E135" s="310"/>
      <c r="F135" s="311"/>
      <c r="G135" s="311"/>
      <c r="H135" s="1"/>
      <c r="I135" s="353"/>
      <c r="J135" s="353"/>
      <c r="K135" s="353"/>
      <c r="L135" s="353"/>
      <c r="M135" s="353"/>
      <c r="N135" s="353"/>
      <c r="O135" s="310"/>
      <c r="P135" s="310"/>
      <c r="Q135" s="310"/>
      <c r="R135" s="310"/>
      <c r="S135" s="310"/>
      <c r="T135" s="310"/>
      <c r="U135" s="310"/>
      <c r="V135" s="310"/>
      <c r="W135" s="310"/>
      <c r="X135" s="310"/>
      <c r="Y135" s="310"/>
      <c r="Z135" s="310"/>
      <c r="AA135" s="310"/>
      <c r="AB135" s="310"/>
      <c r="AC135" s="310"/>
      <c r="AD135" s="310"/>
      <c r="AE135" s="310"/>
      <c r="AF135" s="391"/>
      <c r="AG135" s="391"/>
      <c r="AH135" s="391"/>
      <c r="AI135" s="391"/>
      <c r="AJ135" s="391"/>
      <c r="AK135" s="310"/>
      <c r="AL135" s="310"/>
    </row>
    <row r="136" spans="1:38" ht="15.75" customHeight="1">
      <c r="A136" s="310"/>
      <c r="B136" s="310"/>
      <c r="C136" s="310"/>
      <c r="D136" s="310"/>
      <c r="E136" s="310"/>
      <c r="F136" s="311"/>
      <c r="G136" s="311"/>
      <c r="H136" s="1"/>
      <c r="I136" s="353"/>
      <c r="J136" s="353"/>
      <c r="K136" s="353"/>
      <c r="L136" s="353"/>
      <c r="M136" s="353"/>
      <c r="N136" s="353"/>
      <c r="O136" s="310"/>
      <c r="P136" s="310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  <c r="AA136" s="310"/>
      <c r="AB136" s="310"/>
      <c r="AC136" s="310"/>
      <c r="AD136" s="310"/>
      <c r="AE136" s="310"/>
      <c r="AF136" s="391"/>
      <c r="AG136" s="391"/>
      <c r="AH136" s="391"/>
      <c r="AI136" s="391"/>
      <c r="AJ136" s="391"/>
      <c r="AK136" s="310"/>
      <c r="AL136" s="310"/>
    </row>
    <row r="137" spans="1:38" ht="15.75" customHeight="1">
      <c r="A137" s="310"/>
      <c r="B137" s="310"/>
      <c r="C137" s="310"/>
      <c r="D137" s="310"/>
      <c r="E137" s="310"/>
      <c r="F137" s="311"/>
      <c r="G137" s="311"/>
      <c r="H137" s="1"/>
      <c r="I137" s="353"/>
      <c r="J137" s="353"/>
      <c r="K137" s="353"/>
      <c r="L137" s="353"/>
      <c r="M137" s="353"/>
      <c r="N137" s="353"/>
      <c r="O137" s="310"/>
      <c r="P137" s="310"/>
      <c r="Q137" s="310"/>
      <c r="R137" s="310"/>
      <c r="S137" s="310"/>
      <c r="T137" s="310"/>
      <c r="U137" s="310"/>
      <c r="V137" s="310"/>
      <c r="W137" s="310"/>
      <c r="X137" s="310"/>
      <c r="Y137" s="310"/>
      <c r="Z137" s="310"/>
      <c r="AA137" s="310"/>
      <c r="AB137" s="310"/>
      <c r="AC137" s="310"/>
      <c r="AD137" s="310"/>
      <c r="AE137" s="310"/>
      <c r="AF137" s="391"/>
      <c r="AG137" s="391"/>
      <c r="AH137" s="391"/>
      <c r="AI137" s="391"/>
      <c r="AJ137" s="391"/>
      <c r="AK137" s="310"/>
      <c r="AL137" s="310"/>
    </row>
    <row r="138" spans="1:38" ht="15.75" customHeight="1">
      <c r="A138" s="310"/>
      <c r="B138" s="310"/>
      <c r="C138" s="310"/>
      <c r="D138" s="310"/>
      <c r="E138" s="310"/>
      <c r="F138" s="311"/>
      <c r="G138" s="311"/>
      <c r="H138" s="1"/>
      <c r="I138" s="353"/>
      <c r="J138" s="353"/>
      <c r="K138" s="353"/>
      <c r="L138" s="353"/>
      <c r="M138" s="353"/>
      <c r="N138" s="353"/>
      <c r="O138" s="310"/>
      <c r="P138" s="310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310"/>
      <c r="AB138" s="310"/>
      <c r="AC138" s="310"/>
      <c r="AD138" s="310"/>
      <c r="AE138" s="310"/>
      <c r="AF138" s="391"/>
      <c r="AG138" s="391"/>
      <c r="AH138" s="391"/>
      <c r="AI138" s="391"/>
      <c r="AJ138" s="391"/>
      <c r="AK138" s="310"/>
      <c r="AL138" s="310"/>
    </row>
    <row r="139" spans="1:38" ht="15.75" customHeight="1">
      <c r="A139" s="310"/>
      <c r="B139" s="310"/>
      <c r="C139" s="310"/>
      <c r="D139" s="310"/>
      <c r="E139" s="310"/>
      <c r="F139" s="311"/>
      <c r="G139" s="311"/>
      <c r="H139" s="1"/>
      <c r="I139" s="353"/>
      <c r="J139" s="353"/>
      <c r="K139" s="353"/>
      <c r="L139" s="353"/>
      <c r="M139" s="353"/>
      <c r="N139" s="353"/>
      <c r="O139" s="310"/>
      <c r="P139" s="310"/>
      <c r="Q139" s="310"/>
      <c r="R139" s="310"/>
      <c r="S139" s="310"/>
      <c r="T139" s="310"/>
      <c r="U139" s="310"/>
      <c r="V139" s="310"/>
      <c r="W139" s="310"/>
      <c r="X139" s="310"/>
      <c r="Y139" s="310"/>
      <c r="Z139" s="310"/>
      <c r="AA139" s="310"/>
      <c r="AB139" s="310"/>
      <c r="AC139" s="310"/>
      <c r="AD139" s="310"/>
      <c r="AE139" s="310"/>
      <c r="AF139" s="391"/>
      <c r="AG139" s="391"/>
      <c r="AH139" s="391"/>
      <c r="AI139" s="391"/>
      <c r="AJ139" s="391"/>
      <c r="AK139" s="310"/>
      <c r="AL139" s="310"/>
    </row>
    <row r="140" spans="1:38" ht="15.75" customHeight="1">
      <c r="A140" s="310"/>
      <c r="B140" s="310"/>
      <c r="C140" s="310"/>
      <c r="D140" s="310"/>
      <c r="E140" s="310"/>
      <c r="F140" s="311"/>
      <c r="G140" s="311"/>
      <c r="H140" s="1"/>
      <c r="I140" s="353"/>
      <c r="J140" s="353"/>
      <c r="K140" s="353"/>
      <c r="L140" s="353"/>
      <c r="M140" s="353"/>
      <c r="N140" s="353"/>
      <c r="O140" s="310"/>
      <c r="P140" s="310"/>
      <c r="Q140" s="310"/>
      <c r="R140" s="310"/>
      <c r="S140" s="310"/>
      <c r="T140" s="310"/>
      <c r="U140" s="310"/>
      <c r="V140" s="310"/>
      <c r="W140" s="310"/>
      <c r="X140" s="310"/>
      <c r="Y140" s="310"/>
      <c r="Z140" s="310"/>
      <c r="AA140" s="310"/>
      <c r="AB140" s="310"/>
      <c r="AC140" s="310"/>
      <c r="AD140" s="310"/>
      <c r="AE140" s="310"/>
      <c r="AF140" s="391"/>
      <c r="AG140" s="391"/>
      <c r="AH140" s="391"/>
      <c r="AI140" s="391"/>
      <c r="AJ140" s="391"/>
      <c r="AK140" s="310"/>
      <c r="AL140" s="310"/>
    </row>
    <row r="141" spans="1:38" ht="15.75" customHeight="1">
      <c r="A141" s="310"/>
      <c r="B141" s="310"/>
      <c r="C141" s="310"/>
      <c r="D141" s="310"/>
      <c r="E141" s="310"/>
      <c r="F141" s="311"/>
      <c r="G141" s="311"/>
      <c r="H141" s="1"/>
      <c r="I141" s="353"/>
      <c r="J141" s="353"/>
      <c r="K141" s="353"/>
      <c r="L141" s="353"/>
      <c r="M141" s="353"/>
      <c r="N141" s="353"/>
      <c r="O141" s="310"/>
      <c r="P141" s="310"/>
      <c r="Q141" s="310"/>
      <c r="R141" s="310"/>
      <c r="S141" s="310"/>
      <c r="T141" s="310"/>
      <c r="U141" s="310"/>
      <c r="V141" s="310"/>
      <c r="W141" s="310"/>
      <c r="X141" s="310"/>
      <c r="Y141" s="310"/>
      <c r="Z141" s="310"/>
      <c r="AA141" s="310"/>
      <c r="AB141" s="310"/>
      <c r="AC141" s="310"/>
      <c r="AD141" s="310"/>
      <c r="AE141" s="310"/>
      <c r="AF141" s="391"/>
      <c r="AG141" s="391"/>
      <c r="AH141" s="391"/>
      <c r="AI141" s="391"/>
      <c r="AJ141" s="391"/>
      <c r="AK141" s="310"/>
      <c r="AL141" s="310"/>
    </row>
    <row r="142" spans="1:38" ht="15.75" customHeight="1">
      <c r="A142" s="310"/>
      <c r="B142" s="310"/>
      <c r="C142" s="310"/>
      <c r="D142" s="310"/>
      <c r="E142" s="310"/>
      <c r="F142" s="311"/>
      <c r="G142" s="311"/>
      <c r="H142" s="1"/>
      <c r="I142" s="353"/>
      <c r="J142" s="353"/>
      <c r="K142" s="353"/>
      <c r="L142" s="353"/>
      <c r="M142" s="353"/>
      <c r="N142" s="353"/>
      <c r="O142" s="310"/>
      <c r="P142" s="310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  <c r="AA142" s="310"/>
      <c r="AB142" s="310"/>
      <c r="AC142" s="310"/>
      <c r="AD142" s="310"/>
      <c r="AE142" s="310"/>
      <c r="AF142" s="391"/>
      <c r="AG142" s="391"/>
      <c r="AH142" s="391"/>
      <c r="AI142" s="391"/>
      <c r="AJ142" s="391"/>
      <c r="AK142" s="310"/>
      <c r="AL142" s="310"/>
    </row>
    <row r="143" spans="1:38" ht="15.75" customHeight="1">
      <c r="A143" s="310"/>
      <c r="B143" s="310"/>
      <c r="C143" s="310"/>
      <c r="D143" s="310"/>
      <c r="E143" s="310"/>
      <c r="F143" s="311"/>
      <c r="G143" s="311"/>
      <c r="H143" s="1"/>
      <c r="I143" s="353"/>
      <c r="J143" s="353"/>
      <c r="K143" s="353"/>
      <c r="L143" s="353"/>
      <c r="M143" s="353"/>
      <c r="N143" s="353"/>
      <c r="O143" s="310"/>
      <c r="P143" s="310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  <c r="AA143" s="310"/>
      <c r="AB143" s="310"/>
      <c r="AC143" s="310"/>
      <c r="AD143" s="310"/>
      <c r="AE143" s="310"/>
      <c r="AF143" s="391"/>
      <c r="AG143" s="391"/>
      <c r="AH143" s="391"/>
      <c r="AI143" s="391"/>
      <c r="AJ143" s="391"/>
      <c r="AK143" s="310"/>
      <c r="AL143" s="310"/>
    </row>
    <row r="144" spans="1:38" ht="15.75" customHeight="1">
      <c r="A144" s="310"/>
      <c r="B144" s="310"/>
      <c r="C144" s="310"/>
      <c r="D144" s="310"/>
      <c r="E144" s="310"/>
      <c r="F144" s="311"/>
      <c r="G144" s="311"/>
      <c r="H144" s="1"/>
      <c r="I144" s="353"/>
      <c r="J144" s="353"/>
      <c r="K144" s="353"/>
      <c r="L144" s="353"/>
      <c r="M144" s="353"/>
      <c r="N144" s="353"/>
      <c r="O144" s="310"/>
      <c r="P144" s="310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  <c r="AA144" s="310"/>
      <c r="AB144" s="310"/>
      <c r="AC144" s="310"/>
      <c r="AD144" s="310"/>
      <c r="AE144" s="310"/>
      <c r="AF144" s="391"/>
      <c r="AG144" s="391"/>
      <c r="AH144" s="391"/>
      <c r="AI144" s="391"/>
      <c r="AJ144" s="391"/>
      <c r="AK144" s="310"/>
      <c r="AL144" s="310"/>
    </row>
    <row r="145" spans="1:38" ht="15.75" customHeight="1">
      <c r="A145" s="310"/>
      <c r="B145" s="310"/>
      <c r="C145" s="310"/>
      <c r="D145" s="310"/>
      <c r="E145" s="310"/>
      <c r="F145" s="311"/>
      <c r="G145" s="311"/>
      <c r="H145" s="1"/>
      <c r="I145" s="353"/>
      <c r="J145" s="353"/>
      <c r="K145" s="353"/>
      <c r="L145" s="353"/>
      <c r="M145" s="353"/>
      <c r="N145" s="353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310"/>
      <c r="AB145" s="310"/>
      <c r="AC145" s="310"/>
      <c r="AD145" s="310"/>
      <c r="AE145" s="310"/>
      <c r="AF145" s="391"/>
      <c r="AG145" s="391"/>
      <c r="AH145" s="391"/>
      <c r="AI145" s="391"/>
      <c r="AJ145" s="391"/>
      <c r="AK145" s="310"/>
      <c r="AL145" s="310"/>
    </row>
    <row r="146" spans="1:38" ht="15.75" customHeight="1">
      <c r="A146" s="310"/>
      <c r="B146" s="310"/>
      <c r="C146" s="310"/>
      <c r="D146" s="310"/>
      <c r="E146" s="310"/>
      <c r="F146" s="311"/>
      <c r="G146" s="311"/>
      <c r="H146" s="1"/>
      <c r="I146" s="353"/>
      <c r="J146" s="353"/>
      <c r="K146" s="353"/>
      <c r="L146" s="353"/>
      <c r="M146" s="353"/>
      <c r="N146" s="353"/>
      <c r="O146" s="310"/>
      <c r="P146" s="310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  <c r="AA146" s="310"/>
      <c r="AB146" s="310"/>
      <c r="AC146" s="310"/>
      <c r="AD146" s="310"/>
      <c r="AE146" s="310"/>
      <c r="AF146" s="391"/>
      <c r="AG146" s="391"/>
      <c r="AH146" s="391"/>
      <c r="AI146" s="391"/>
      <c r="AJ146" s="391"/>
      <c r="AK146" s="310"/>
      <c r="AL146" s="310"/>
    </row>
    <row r="147" spans="1:38" ht="15.75" customHeight="1">
      <c r="A147" s="310"/>
      <c r="B147" s="310"/>
      <c r="C147" s="310"/>
      <c r="D147" s="310"/>
      <c r="E147" s="310"/>
      <c r="F147" s="311"/>
      <c r="G147" s="311"/>
      <c r="H147" s="1"/>
      <c r="I147" s="353"/>
      <c r="J147" s="353"/>
      <c r="K147" s="353"/>
      <c r="L147" s="353"/>
      <c r="M147" s="353"/>
      <c r="N147" s="353"/>
      <c r="O147" s="310"/>
      <c r="P147" s="310"/>
      <c r="Q147" s="310"/>
      <c r="R147" s="310"/>
      <c r="S147" s="310"/>
      <c r="T147" s="310"/>
      <c r="U147" s="310"/>
      <c r="V147" s="310"/>
      <c r="W147" s="310"/>
      <c r="X147" s="310"/>
      <c r="Y147" s="310"/>
      <c r="Z147" s="310"/>
      <c r="AA147" s="310"/>
      <c r="AB147" s="310"/>
      <c r="AC147" s="310"/>
      <c r="AD147" s="310"/>
      <c r="AE147" s="310"/>
      <c r="AF147" s="391"/>
      <c r="AG147" s="391"/>
      <c r="AH147" s="391"/>
      <c r="AI147" s="391"/>
      <c r="AJ147" s="391"/>
      <c r="AK147" s="310"/>
      <c r="AL147" s="310"/>
    </row>
    <row r="148" spans="1:38" ht="15.75" customHeight="1">
      <c r="A148" s="310"/>
      <c r="B148" s="310"/>
      <c r="C148" s="310"/>
      <c r="D148" s="310"/>
      <c r="E148" s="310"/>
      <c r="F148" s="311"/>
      <c r="G148" s="311"/>
      <c r="H148" s="1"/>
      <c r="I148" s="353"/>
      <c r="J148" s="353"/>
      <c r="K148" s="353"/>
      <c r="L148" s="353"/>
      <c r="M148" s="353"/>
      <c r="N148" s="353"/>
      <c r="O148" s="310"/>
      <c r="P148" s="310"/>
      <c r="Q148" s="310"/>
      <c r="R148" s="310"/>
      <c r="S148" s="310"/>
      <c r="T148" s="310"/>
      <c r="U148" s="310"/>
      <c r="V148" s="310"/>
      <c r="W148" s="310"/>
      <c r="X148" s="310"/>
      <c r="Y148" s="310"/>
      <c r="Z148" s="310"/>
      <c r="AA148" s="310"/>
      <c r="AB148" s="310"/>
      <c r="AC148" s="310"/>
      <c r="AD148" s="310"/>
      <c r="AE148" s="310"/>
      <c r="AF148" s="391"/>
      <c r="AG148" s="391"/>
      <c r="AH148" s="391"/>
      <c r="AI148" s="391"/>
      <c r="AJ148" s="391"/>
      <c r="AK148" s="310"/>
      <c r="AL148" s="310"/>
    </row>
    <row r="149" spans="1:38" ht="15.75" customHeight="1">
      <c r="A149" s="310"/>
      <c r="B149" s="310"/>
      <c r="C149" s="310"/>
      <c r="D149" s="310"/>
      <c r="E149" s="310"/>
      <c r="F149" s="311"/>
      <c r="G149" s="311"/>
      <c r="H149" s="1"/>
      <c r="I149" s="353"/>
      <c r="J149" s="353"/>
      <c r="K149" s="353"/>
      <c r="L149" s="353"/>
      <c r="M149" s="353"/>
      <c r="N149" s="353"/>
      <c r="O149" s="310"/>
      <c r="P149" s="310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  <c r="AA149" s="310"/>
      <c r="AB149" s="310"/>
      <c r="AC149" s="310"/>
      <c r="AD149" s="310"/>
      <c r="AE149" s="310"/>
      <c r="AF149" s="391"/>
      <c r="AG149" s="391"/>
      <c r="AH149" s="391"/>
      <c r="AI149" s="391"/>
      <c r="AJ149" s="391"/>
      <c r="AK149" s="310"/>
      <c r="AL149" s="310"/>
    </row>
    <row r="150" spans="1:38" ht="15.75" customHeight="1">
      <c r="A150" s="310"/>
      <c r="B150" s="310"/>
      <c r="C150" s="310"/>
      <c r="D150" s="310"/>
      <c r="E150" s="310"/>
      <c r="F150" s="311"/>
      <c r="G150" s="311"/>
      <c r="H150" s="1"/>
      <c r="I150" s="353"/>
      <c r="J150" s="353"/>
      <c r="K150" s="353"/>
      <c r="L150" s="353"/>
      <c r="M150" s="353"/>
      <c r="N150" s="353"/>
      <c r="O150" s="310"/>
      <c r="P150" s="310"/>
      <c r="Q150" s="310"/>
      <c r="R150" s="310"/>
      <c r="S150" s="310"/>
      <c r="T150" s="310"/>
      <c r="U150" s="310"/>
      <c r="V150" s="310"/>
      <c r="W150" s="310"/>
      <c r="X150" s="310"/>
      <c r="Y150" s="310"/>
      <c r="Z150" s="310"/>
      <c r="AA150" s="310"/>
      <c r="AB150" s="310"/>
      <c r="AC150" s="310"/>
      <c r="AD150" s="310"/>
      <c r="AE150" s="310"/>
      <c r="AF150" s="391"/>
      <c r="AG150" s="391"/>
      <c r="AH150" s="391"/>
      <c r="AI150" s="391"/>
      <c r="AJ150" s="391"/>
      <c r="AK150" s="310"/>
      <c r="AL150" s="310"/>
    </row>
    <row r="151" spans="1:38" ht="15.75" customHeight="1">
      <c r="A151" s="310"/>
      <c r="B151" s="310"/>
      <c r="C151" s="310"/>
      <c r="D151" s="310"/>
      <c r="E151" s="310"/>
      <c r="F151" s="311"/>
      <c r="G151" s="311"/>
      <c r="H151" s="1"/>
      <c r="I151" s="353"/>
      <c r="J151" s="353"/>
      <c r="K151" s="353"/>
      <c r="L151" s="353"/>
      <c r="M151" s="353"/>
      <c r="N151" s="353"/>
      <c r="O151" s="310"/>
      <c r="P151" s="310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  <c r="AA151" s="310"/>
      <c r="AB151" s="310"/>
      <c r="AC151" s="310"/>
      <c r="AD151" s="310"/>
      <c r="AE151" s="310"/>
      <c r="AF151" s="391"/>
      <c r="AG151" s="391"/>
      <c r="AH151" s="391"/>
      <c r="AI151" s="391"/>
      <c r="AJ151" s="391"/>
      <c r="AK151" s="310"/>
      <c r="AL151" s="310"/>
    </row>
    <row r="152" spans="1:38" ht="15.75" customHeight="1">
      <c r="A152" s="310"/>
      <c r="B152" s="310"/>
      <c r="C152" s="310"/>
      <c r="D152" s="310"/>
      <c r="E152" s="310"/>
      <c r="F152" s="311"/>
      <c r="G152" s="311"/>
      <c r="H152" s="1"/>
      <c r="I152" s="353"/>
      <c r="J152" s="353"/>
      <c r="K152" s="353"/>
      <c r="L152" s="353"/>
      <c r="M152" s="353"/>
      <c r="N152" s="353"/>
      <c r="O152" s="310"/>
      <c r="P152" s="310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310"/>
      <c r="AB152" s="310"/>
      <c r="AC152" s="310"/>
      <c r="AD152" s="310"/>
      <c r="AE152" s="310"/>
      <c r="AF152" s="391"/>
      <c r="AG152" s="391"/>
      <c r="AH152" s="391"/>
      <c r="AI152" s="391"/>
      <c r="AJ152" s="391"/>
      <c r="AK152" s="310"/>
      <c r="AL152" s="310"/>
    </row>
    <row r="153" spans="1:38" ht="15.75" customHeight="1">
      <c r="A153" s="310"/>
      <c r="B153" s="310"/>
      <c r="C153" s="310"/>
      <c r="D153" s="310"/>
      <c r="E153" s="310"/>
      <c r="F153" s="311"/>
      <c r="G153" s="311"/>
      <c r="H153" s="1"/>
      <c r="I153" s="353"/>
      <c r="J153" s="353"/>
      <c r="K153" s="353"/>
      <c r="L153" s="353"/>
      <c r="M153" s="353"/>
      <c r="N153" s="353"/>
      <c r="O153" s="310"/>
      <c r="P153" s="310"/>
      <c r="Q153" s="310"/>
      <c r="R153" s="310"/>
      <c r="S153" s="310"/>
      <c r="T153" s="310"/>
      <c r="U153" s="310"/>
      <c r="V153" s="310"/>
      <c r="W153" s="310"/>
      <c r="X153" s="310"/>
      <c r="Y153" s="310"/>
      <c r="Z153" s="310"/>
      <c r="AA153" s="310"/>
      <c r="AB153" s="310"/>
      <c r="AC153" s="310"/>
      <c r="AD153" s="310"/>
      <c r="AE153" s="310"/>
      <c r="AF153" s="391"/>
      <c r="AG153" s="391"/>
      <c r="AH153" s="391"/>
      <c r="AI153" s="391"/>
      <c r="AJ153" s="391"/>
      <c r="AK153" s="310"/>
      <c r="AL153" s="310"/>
    </row>
    <row r="154" spans="1:38" ht="15.75" customHeight="1">
      <c r="A154" s="310"/>
      <c r="B154" s="310"/>
      <c r="C154" s="310"/>
      <c r="D154" s="310"/>
      <c r="E154" s="310"/>
      <c r="F154" s="311"/>
      <c r="G154" s="311"/>
      <c r="H154" s="1"/>
      <c r="I154" s="353"/>
      <c r="J154" s="353"/>
      <c r="K154" s="353"/>
      <c r="L154" s="353"/>
      <c r="M154" s="353"/>
      <c r="N154" s="353"/>
      <c r="O154" s="310"/>
      <c r="P154" s="310"/>
      <c r="Q154" s="310"/>
      <c r="R154" s="310"/>
      <c r="S154" s="310"/>
      <c r="T154" s="310"/>
      <c r="U154" s="310"/>
      <c r="V154" s="310"/>
      <c r="W154" s="310"/>
      <c r="X154" s="310"/>
      <c r="Y154" s="310"/>
      <c r="Z154" s="310"/>
      <c r="AA154" s="310"/>
      <c r="AB154" s="310"/>
      <c r="AC154" s="310"/>
      <c r="AD154" s="310"/>
      <c r="AE154" s="310"/>
      <c r="AF154" s="391"/>
      <c r="AG154" s="391"/>
      <c r="AH154" s="391"/>
      <c r="AI154" s="391"/>
      <c r="AJ154" s="391"/>
      <c r="AK154" s="310"/>
      <c r="AL154" s="310"/>
    </row>
    <row r="155" spans="1:38" ht="15.75" customHeight="1">
      <c r="A155" s="310"/>
      <c r="B155" s="310"/>
      <c r="C155" s="310"/>
      <c r="D155" s="310"/>
      <c r="E155" s="310"/>
      <c r="F155" s="311"/>
      <c r="G155" s="311"/>
      <c r="H155" s="1"/>
      <c r="I155" s="353"/>
      <c r="J155" s="353"/>
      <c r="K155" s="353"/>
      <c r="L155" s="353"/>
      <c r="M155" s="353"/>
      <c r="N155" s="353"/>
      <c r="O155" s="310"/>
      <c r="P155" s="310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  <c r="AA155" s="310"/>
      <c r="AB155" s="310"/>
      <c r="AC155" s="310"/>
      <c r="AD155" s="310"/>
      <c r="AE155" s="310"/>
      <c r="AF155" s="391"/>
      <c r="AG155" s="391"/>
      <c r="AH155" s="391"/>
      <c r="AI155" s="391"/>
      <c r="AJ155" s="391"/>
      <c r="AK155" s="310"/>
      <c r="AL155" s="310"/>
    </row>
    <row r="156" spans="1:38" ht="15.75" customHeight="1">
      <c r="A156" s="310"/>
      <c r="B156" s="310"/>
      <c r="C156" s="310"/>
      <c r="D156" s="310"/>
      <c r="E156" s="310"/>
      <c r="F156" s="311"/>
      <c r="G156" s="311"/>
      <c r="H156" s="1"/>
      <c r="I156" s="353"/>
      <c r="J156" s="353"/>
      <c r="K156" s="353"/>
      <c r="L156" s="353"/>
      <c r="M156" s="353"/>
      <c r="N156" s="353"/>
      <c r="O156" s="310"/>
      <c r="P156" s="310"/>
      <c r="Q156" s="310"/>
      <c r="R156" s="310"/>
      <c r="S156" s="310"/>
      <c r="T156" s="310"/>
      <c r="U156" s="310"/>
      <c r="V156" s="310"/>
      <c r="W156" s="310"/>
      <c r="X156" s="310"/>
      <c r="Y156" s="310"/>
      <c r="Z156" s="310"/>
      <c r="AA156" s="310"/>
      <c r="AB156" s="310"/>
      <c r="AC156" s="310"/>
      <c r="AD156" s="310"/>
      <c r="AE156" s="310"/>
      <c r="AF156" s="391"/>
      <c r="AG156" s="391"/>
      <c r="AH156" s="391"/>
      <c r="AI156" s="391"/>
      <c r="AJ156" s="391"/>
      <c r="AK156" s="310"/>
      <c r="AL156" s="310"/>
    </row>
    <row r="157" spans="1:38" ht="15.75" customHeight="1">
      <c r="A157" s="310"/>
      <c r="B157" s="310"/>
      <c r="C157" s="310"/>
      <c r="D157" s="310"/>
      <c r="E157" s="310"/>
      <c r="F157" s="311"/>
      <c r="G157" s="311"/>
      <c r="H157" s="1"/>
      <c r="I157" s="353"/>
      <c r="J157" s="353"/>
      <c r="K157" s="353"/>
      <c r="L157" s="353"/>
      <c r="M157" s="353"/>
      <c r="N157" s="353"/>
      <c r="O157" s="310"/>
      <c r="P157" s="310"/>
      <c r="Q157" s="310"/>
      <c r="R157" s="310"/>
      <c r="S157" s="310"/>
      <c r="T157" s="310"/>
      <c r="U157" s="310"/>
      <c r="V157" s="310"/>
      <c r="W157" s="310"/>
      <c r="X157" s="310"/>
      <c r="Y157" s="310"/>
      <c r="Z157" s="310"/>
      <c r="AA157" s="310"/>
      <c r="AB157" s="310"/>
      <c r="AC157" s="310"/>
      <c r="AD157" s="310"/>
      <c r="AE157" s="310"/>
      <c r="AF157" s="391"/>
      <c r="AG157" s="391"/>
      <c r="AH157" s="391"/>
      <c r="AI157" s="391"/>
      <c r="AJ157" s="391"/>
      <c r="AK157" s="310"/>
      <c r="AL157" s="310"/>
    </row>
    <row r="158" spans="1:38" ht="15.75" customHeight="1">
      <c r="A158" s="310"/>
      <c r="B158" s="310"/>
      <c r="C158" s="310"/>
      <c r="D158" s="310"/>
      <c r="E158" s="310"/>
      <c r="F158" s="311"/>
      <c r="G158" s="311"/>
      <c r="H158" s="1"/>
      <c r="I158" s="353"/>
      <c r="J158" s="353"/>
      <c r="K158" s="353"/>
      <c r="L158" s="353"/>
      <c r="M158" s="353"/>
      <c r="N158" s="353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310"/>
      <c r="AB158" s="310"/>
      <c r="AC158" s="310"/>
      <c r="AD158" s="310"/>
      <c r="AE158" s="310"/>
      <c r="AF158" s="391"/>
      <c r="AG158" s="391"/>
      <c r="AH158" s="391"/>
      <c r="AI158" s="391"/>
      <c r="AJ158" s="391"/>
      <c r="AK158" s="310"/>
      <c r="AL158" s="310"/>
    </row>
    <row r="159" spans="1:38" ht="15.75" customHeight="1">
      <c r="A159" s="310"/>
      <c r="B159" s="310"/>
      <c r="C159" s="310"/>
      <c r="D159" s="310"/>
      <c r="E159" s="310"/>
      <c r="F159" s="311"/>
      <c r="G159" s="311"/>
      <c r="H159" s="1"/>
      <c r="I159" s="353"/>
      <c r="J159" s="353"/>
      <c r="K159" s="353"/>
      <c r="L159" s="353"/>
      <c r="M159" s="353"/>
      <c r="N159" s="353"/>
      <c r="O159" s="310"/>
      <c r="P159" s="310"/>
      <c r="Q159" s="310"/>
      <c r="R159" s="310"/>
      <c r="S159" s="310"/>
      <c r="T159" s="310"/>
      <c r="U159" s="310"/>
      <c r="V159" s="310"/>
      <c r="W159" s="310"/>
      <c r="X159" s="310"/>
      <c r="Y159" s="310"/>
      <c r="Z159" s="310"/>
      <c r="AA159" s="310"/>
      <c r="AB159" s="310"/>
      <c r="AC159" s="310"/>
      <c r="AD159" s="310"/>
      <c r="AE159" s="310"/>
      <c r="AF159" s="391"/>
      <c r="AG159" s="391"/>
      <c r="AH159" s="391"/>
      <c r="AI159" s="391"/>
      <c r="AJ159" s="391"/>
      <c r="AK159" s="310"/>
      <c r="AL159" s="310"/>
    </row>
    <row r="160" spans="1:38" ht="15.75" customHeight="1">
      <c r="A160" s="310"/>
      <c r="B160" s="310"/>
      <c r="C160" s="310"/>
      <c r="D160" s="310"/>
      <c r="E160" s="310"/>
      <c r="F160" s="311"/>
      <c r="G160" s="311"/>
      <c r="H160" s="1"/>
      <c r="I160" s="353"/>
      <c r="J160" s="353"/>
      <c r="K160" s="353"/>
      <c r="L160" s="353"/>
      <c r="M160" s="353"/>
      <c r="N160" s="353"/>
      <c r="O160" s="310"/>
      <c r="P160" s="310"/>
      <c r="Q160" s="310"/>
      <c r="R160" s="310"/>
      <c r="S160" s="310"/>
      <c r="T160" s="310"/>
      <c r="U160" s="310"/>
      <c r="V160" s="310"/>
      <c r="W160" s="310"/>
      <c r="X160" s="310"/>
      <c r="Y160" s="310"/>
      <c r="Z160" s="310"/>
      <c r="AA160" s="310"/>
      <c r="AB160" s="310"/>
      <c r="AC160" s="310"/>
      <c r="AD160" s="310"/>
      <c r="AE160" s="310"/>
      <c r="AF160" s="391"/>
      <c r="AG160" s="391"/>
      <c r="AH160" s="391"/>
      <c r="AI160" s="391"/>
      <c r="AJ160" s="391"/>
      <c r="AK160" s="310"/>
      <c r="AL160" s="310"/>
    </row>
    <row r="161" spans="1:38" ht="15.75" customHeight="1">
      <c r="A161" s="310"/>
      <c r="B161" s="310"/>
      <c r="C161" s="310"/>
      <c r="D161" s="310"/>
      <c r="E161" s="310"/>
      <c r="F161" s="311"/>
      <c r="G161" s="311"/>
      <c r="H161" s="1"/>
      <c r="I161" s="353"/>
      <c r="J161" s="353"/>
      <c r="K161" s="353"/>
      <c r="L161" s="353"/>
      <c r="M161" s="353"/>
      <c r="N161" s="353"/>
      <c r="O161" s="310"/>
      <c r="P161" s="310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310"/>
      <c r="AB161" s="310"/>
      <c r="AC161" s="310"/>
      <c r="AD161" s="310"/>
      <c r="AE161" s="310"/>
      <c r="AF161" s="391"/>
      <c r="AG161" s="391"/>
      <c r="AH161" s="391"/>
      <c r="AI161" s="391"/>
      <c r="AJ161" s="391"/>
      <c r="AK161" s="310"/>
      <c r="AL161" s="310"/>
    </row>
    <row r="162" spans="1:38" ht="15.75" customHeight="1">
      <c r="A162" s="310"/>
      <c r="B162" s="310"/>
      <c r="C162" s="310"/>
      <c r="D162" s="310"/>
      <c r="E162" s="310"/>
      <c r="F162" s="311"/>
      <c r="G162" s="311"/>
      <c r="H162" s="1"/>
      <c r="I162" s="353"/>
      <c r="J162" s="353"/>
      <c r="K162" s="353"/>
      <c r="L162" s="353"/>
      <c r="M162" s="353"/>
      <c r="N162" s="353"/>
      <c r="O162" s="310"/>
      <c r="P162" s="310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  <c r="AA162" s="310"/>
      <c r="AB162" s="310"/>
      <c r="AC162" s="310"/>
      <c r="AD162" s="310"/>
      <c r="AE162" s="310"/>
      <c r="AF162" s="391"/>
      <c r="AG162" s="391"/>
      <c r="AH162" s="391"/>
      <c r="AI162" s="391"/>
      <c r="AJ162" s="391"/>
      <c r="AK162" s="310"/>
      <c r="AL162" s="310"/>
    </row>
    <row r="163" spans="1:38" ht="15.75" customHeight="1">
      <c r="A163" s="310"/>
      <c r="B163" s="310"/>
      <c r="C163" s="310"/>
      <c r="D163" s="310"/>
      <c r="E163" s="310"/>
      <c r="F163" s="311"/>
      <c r="G163" s="311"/>
      <c r="H163" s="1"/>
      <c r="I163" s="353"/>
      <c r="J163" s="353"/>
      <c r="K163" s="353"/>
      <c r="L163" s="353"/>
      <c r="M163" s="353"/>
      <c r="N163" s="353"/>
      <c r="O163" s="310"/>
      <c r="P163" s="310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310"/>
      <c r="AB163" s="310"/>
      <c r="AC163" s="310"/>
      <c r="AD163" s="310"/>
      <c r="AE163" s="310"/>
      <c r="AF163" s="391"/>
      <c r="AG163" s="391"/>
      <c r="AH163" s="391"/>
      <c r="AI163" s="391"/>
      <c r="AJ163" s="391"/>
      <c r="AK163" s="310"/>
      <c r="AL163" s="310"/>
    </row>
    <row r="164" spans="1:38" ht="15.75" customHeight="1">
      <c r="A164" s="310"/>
      <c r="B164" s="310"/>
      <c r="C164" s="310"/>
      <c r="D164" s="310"/>
      <c r="E164" s="310"/>
      <c r="F164" s="311"/>
      <c r="G164" s="311"/>
      <c r="H164" s="1"/>
      <c r="I164" s="353"/>
      <c r="J164" s="353"/>
      <c r="K164" s="353"/>
      <c r="L164" s="353"/>
      <c r="M164" s="353"/>
      <c r="N164" s="353"/>
      <c r="O164" s="310"/>
      <c r="P164" s="310"/>
      <c r="Q164" s="310"/>
      <c r="R164" s="310"/>
      <c r="S164" s="310"/>
      <c r="T164" s="310"/>
      <c r="U164" s="310"/>
      <c r="V164" s="310"/>
      <c r="W164" s="310"/>
      <c r="X164" s="310"/>
      <c r="Y164" s="310"/>
      <c r="Z164" s="310"/>
      <c r="AA164" s="310"/>
      <c r="AB164" s="310"/>
      <c r="AC164" s="310"/>
      <c r="AD164" s="310"/>
      <c r="AE164" s="310"/>
      <c r="AF164" s="391"/>
      <c r="AG164" s="391"/>
      <c r="AH164" s="391"/>
      <c r="AI164" s="391"/>
      <c r="AJ164" s="391"/>
      <c r="AK164" s="310"/>
      <c r="AL164" s="310"/>
    </row>
    <row r="165" spans="1:38" ht="15.75" customHeight="1">
      <c r="A165" s="310"/>
      <c r="B165" s="310"/>
      <c r="C165" s="310"/>
      <c r="D165" s="310"/>
      <c r="E165" s="310"/>
      <c r="F165" s="311"/>
      <c r="G165" s="311"/>
      <c r="H165" s="1"/>
      <c r="I165" s="353"/>
      <c r="J165" s="353"/>
      <c r="K165" s="353"/>
      <c r="L165" s="353"/>
      <c r="M165" s="353"/>
      <c r="N165" s="353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310"/>
      <c r="AB165" s="310"/>
      <c r="AC165" s="310"/>
      <c r="AD165" s="310"/>
      <c r="AE165" s="310"/>
      <c r="AF165" s="391"/>
      <c r="AG165" s="391"/>
      <c r="AH165" s="391"/>
      <c r="AI165" s="391"/>
      <c r="AJ165" s="391"/>
      <c r="AK165" s="310"/>
      <c r="AL165" s="310"/>
    </row>
    <row r="166" spans="1:38" ht="15.75" customHeight="1">
      <c r="A166" s="310"/>
      <c r="B166" s="310"/>
      <c r="C166" s="310"/>
      <c r="D166" s="310"/>
      <c r="E166" s="310"/>
      <c r="F166" s="311"/>
      <c r="G166" s="311"/>
      <c r="H166" s="1"/>
      <c r="I166" s="353"/>
      <c r="J166" s="353"/>
      <c r="K166" s="353"/>
      <c r="L166" s="353"/>
      <c r="M166" s="353"/>
      <c r="N166" s="353"/>
      <c r="O166" s="310"/>
      <c r="P166" s="310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310"/>
      <c r="AB166" s="310"/>
      <c r="AC166" s="310"/>
      <c r="AD166" s="310"/>
      <c r="AE166" s="310"/>
      <c r="AF166" s="391"/>
      <c r="AG166" s="391"/>
      <c r="AH166" s="391"/>
      <c r="AI166" s="391"/>
      <c r="AJ166" s="391"/>
      <c r="AK166" s="310"/>
      <c r="AL166" s="310"/>
    </row>
    <row r="167" spans="1:38" ht="15.75" customHeight="1">
      <c r="A167" s="310"/>
      <c r="B167" s="310"/>
      <c r="C167" s="310"/>
      <c r="D167" s="310"/>
      <c r="E167" s="310"/>
      <c r="F167" s="311"/>
      <c r="G167" s="311"/>
      <c r="H167" s="1"/>
      <c r="I167" s="353"/>
      <c r="J167" s="353"/>
      <c r="K167" s="353"/>
      <c r="L167" s="353"/>
      <c r="M167" s="353"/>
      <c r="N167" s="353"/>
      <c r="O167" s="310"/>
      <c r="P167" s="310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  <c r="AA167" s="310"/>
      <c r="AB167" s="310"/>
      <c r="AC167" s="310"/>
      <c r="AD167" s="310"/>
      <c r="AE167" s="310"/>
      <c r="AF167" s="391"/>
      <c r="AG167" s="391"/>
      <c r="AH167" s="391"/>
      <c r="AI167" s="391"/>
      <c r="AJ167" s="391"/>
      <c r="AK167" s="310"/>
      <c r="AL167" s="310"/>
    </row>
    <row r="168" spans="1:38" ht="15.75" customHeight="1">
      <c r="A168" s="310"/>
      <c r="B168" s="310"/>
      <c r="C168" s="310"/>
      <c r="D168" s="310"/>
      <c r="E168" s="310"/>
      <c r="F168" s="311"/>
      <c r="G168" s="311"/>
      <c r="H168" s="1"/>
      <c r="I168" s="353"/>
      <c r="J168" s="353"/>
      <c r="K168" s="353"/>
      <c r="L168" s="353"/>
      <c r="M168" s="353"/>
      <c r="N168" s="353"/>
      <c r="O168" s="310"/>
      <c r="P168" s="310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310"/>
      <c r="AB168" s="310"/>
      <c r="AC168" s="310"/>
      <c r="AD168" s="310"/>
      <c r="AE168" s="310"/>
      <c r="AF168" s="391"/>
      <c r="AG168" s="391"/>
      <c r="AH168" s="391"/>
      <c r="AI168" s="391"/>
      <c r="AJ168" s="391"/>
      <c r="AK168" s="310"/>
      <c r="AL168" s="310"/>
    </row>
    <row r="169" spans="1:38" ht="15.75" customHeight="1">
      <c r="A169" s="310"/>
      <c r="B169" s="310"/>
      <c r="C169" s="310"/>
      <c r="D169" s="310"/>
      <c r="E169" s="310"/>
      <c r="F169" s="311"/>
      <c r="G169" s="311"/>
      <c r="H169" s="1"/>
      <c r="I169" s="353"/>
      <c r="J169" s="353"/>
      <c r="K169" s="353"/>
      <c r="L169" s="353"/>
      <c r="M169" s="353"/>
      <c r="N169" s="353"/>
      <c r="O169" s="310"/>
      <c r="P169" s="310"/>
      <c r="Q169" s="310"/>
      <c r="R169" s="310"/>
      <c r="S169" s="310"/>
      <c r="T169" s="310"/>
      <c r="U169" s="310"/>
      <c r="V169" s="310"/>
      <c r="W169" s="310"/>
      <c r="X169" s="310"/>
      <c r="Y169" s="310"/>
      <c r="Z169" s="310"/>
      <c r="AA169" s="310"/>
      <c r="AB169" s="310"/>
      <c r="AC169" s="310"/>
      <c r="AD169" s="310"/>
      <c r="AE169" s="310"/>
      <c r="AF169" s="391"/>
      <c r="AG169" s="391"/>
      <c r="AH169" s="391"/>
      <c r="AI169" s="391"/>
      <c r="AJ169" s="391"/>
      <c r="AK169" s="310"/>
      <c r="AL169" s="310"/>
    </row>
    <row r="170" spans="1:38" ht="15.75" customHeight="1">
      <c r="A170" s="310"/>
      <c r="B170" s="310"/>
      <c r="C170" s="310"/>
      <c r="D170" s="310"/>
      <c r="E170" s="310"/>
      <c r="F170" s="311"/>
      <c r="G170" s="311"/>
      <c r="H170" s="1"/>
      <c r="I170" s="353"/>
      <c r="J170" s="353"/>
      <c r="K170" s="353"/>
      <c r="L170" s="353"/>
      <c r="M170" s="353"/>
      <c r="N170" s="353"/>
      <c r="O170" s="310"/>
      <c r="P170" s="310"/>
      <c r="Q170" s="310"/>
      <c r="R170" s="310"/>
      <c r="S170" s="310"/>
      <c r="T170" s="310"/>
      <c r="U170" s="310"/>
      <c r="V170" s="310"/>
      <c r="W170" s="310"/>
      <c r="X170" s="310"/>
      <c r="Y170" s="310"/>
      <c r="Z170" s="310"/>
      <c r="AA170" s="310"/>
      <c r="AB170" s="310"/>
      <c r="AC170" s="310"/>
      <c r="AD170" s="310"/>
      <c r="AE170" s="310"/>
      <c r="AF170" s="391"/>
      <c r="AG170" s="391"/>
      <c r="AH170" s="391"/>
      <c r="AI170" s="391"/>
      <c r="AJ170" s="391"/>
      <c r="AK170" s="310"/>
      <c r="AL170" s="310"/>
    </row>
    <row r="171" spans="1:38" ht="15.75" customHeight="1">
      <c r="A171" s="310"/>
      <c r="B171" s="310"/>
      <c r="C171" s="310"/>
      <c r="D171" s="310"/>
      <c r="E171" s="310"/>
      <c r="F171" s="311"/>
      <c r="G171" s="311"/>
      <c r="H171" s="1"/>
      <c r="I171" s="353"/>
      <c r="J171" s="353"/>
      <c r="K171" s="353"/>
      <c r="L171" s="353"/>
      <c r="M171" s="353"/>
      <c r="N171" s="353"/>
      <c r="O171" s="310"/>
      <c r="P171" s="310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  <c r="AA171" s="310"/>
      <c r="AB171" s="310"/>
      <c r="AC171" s="310"/>
      <c r="AD171" s="310"/>
      <c r="AE171" s="310"/>
      <c r="AF171" s="391"/>
      <c r="AG171" s="391"/>
      <c r="AH171" s="391"/>
      <c r="AI171" s="391"/>
      <c r="AJ171" s="391"/>
      <c r="AK171" s="310"/>
      <c r="AL171" s="310"/>
    </row>
    <row r="172" spans="1:38" ht="15.75" customHeight="1">
      <c r="A172" s="310"/>
      <c r="B172" s="310"/>
      <c r="C172" s="310"/>
      <c r="D172" s="310"/>
      <c r="E172" s="310"/>
      <c r="F172" s="311"/>
      <c r="G172" s="311"/>
      <c r="H172" s="1"/>
      <c r="I172" s="353"/>
      <c r="J172" s="353"/>
      <c r="K172" s="353"/>
      <c r="L172" s="353"/>
      <c r="M172" s="353"/>
      <c r="N172" s="353"/>
      <c r="O172" s="310"/>
      <c r="P172" s="310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  <c r="AA172" s="310"/>
      <c r="AB172" s="310"/>
      <c r="AC172" s="310"/>
      <c r="AD172" s="310"/>
      <c r="AE172" s="310"/>
      <c r="AF172" s="391"/>
      <c r="AG172" s="391"/>
      <c r="AH172" s="391"/>
      <c r="AI172" s="391"/>
      <c r="AJ172" s="391"/>
      <c r="AK172" s="310"/>
      <c r="AL172" s="310"/>
    </row>
    <row r="173" spans="1:38" ht="15.75" customHeight="1">
      <c r="A173" s="310"/>
      <c r="B173" s="310"/>
      <c r="C173" s="310"/>
      <c r="D173" s="310"/>
      <c r="E173" s="310"/>
      <c r="F173" s="311"/>
      <c r="G173" s="311"/>
      <c r="H173" s="1"/>
      <c r="I173" s="353"/>
      <c r="J173" s="353"/>
      <c r="K173" s="353"/>
      <c r="L173" s="353"/>
      <c r="M173" s="353"/>
      <c r="N173" s="353"/>
      <c r="O173" s="310"/>
      <c r="P173" s="310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/>
      <c r="AA173" s="310"/>
      <c r="AB173" s="310"/>
      <c r="AC173" s="310"/>
      <c r="AD173" s="310"/>
      <c r="AE173" s="310"/>
      <c r="AF173" s="391"/>
      <c r="AG173" s="391"/>
      <c r="AH173" s="391"/>
      <c r="AI173" s="391"/>
      <c r="AJ173" s="391"/>
      <c r="AK173" s="310"/>
      <c r="AL173" s="310"/>
    </row>
    <row r="174" spans="1:38" ht="15.75" customHeight="1">
      <c r="A174" s="310"/>
      <c r="B174" s="310"/>
      <c r="C174" s="310"/>
      <c r="D174" s="310"/>
      <c r="E174" s="310"/>
      <c r="F174" s="311"/>
      <c r="G174" s="311"/>
      <c r="H174" s="1"/>
      <c r="I174" s="353"/>
      <c r="J174" s="353"/>
      <c r="K174" s="353"/>
      <c r="L174" s="353"/>
      <c r="M174" s="353"/>
      <c r="N174" s="353"/>
      <c r="O174" s="310"/>
      <c r="P174" s="310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310"/>
      <c r="AB174" s="310"/>
      <c r="AC174" s="310"/>
      <c r="AD174" s="310"/>
      <c r="AE174" s="310"/>
      <c r="AF174" s="391"/>
      <c r="AG174" s="391"/>
      <c r="AH174" s="391"/>
      <c r="AI174" s="391"/>
      <c r="AJ174" s="391"/>
      <c r="AK174" s="310"/>
      <c r="AL174" s="310"/>
    </row>
    <row r="175" spans="1:38" ht="15.75" customHeight="1">
      <c r="A175" s="310"/>
      <c r="B175" s="310"/>
      <c r="C175" s="310"/>
      <c r="D175" s="310"/>
      <c r="E175" s="310"/>
      <c r="F175" s="311"/>
      <c r="G175" s="311"/>
      <c r="H175" s="1"/>
      <c r="I175" s="353"/>
      <c r="J175" s="353"/>
      <c r="K175" s="353"/>
      <c r="L175" s="353"/>
      <c r="M175" s="353"/>
      <c r="N175" s="353"/>
      <c r="O175" s="310"/>
      <c r="P175" s="310"/>
      <c r="Q175" s="310"/>
      <c r="R175" s="310"/>
      <c r="S175" s="310"/>
      <c r="T175" s="310"/>
      <c r="U175" s="310"/>
      <c r="V175" s="310"/>
      <c r="W175" s="310"/>
      <c r="X175" s="310"/>
      <c r="Y175" s="310"/>
      <c r="Z175" s="310"/>
      <c r="AA175" s="310"/>
      <c r="AB175" s="310"/>
      <c r="AC175" s="310"/>
      <c r="AD175" s="310"/>
      <c r="AE175" s="310"/>
      <c r="AF175" s="391"/>
      <c r="AG175" s="391"/>
      <c r="AH175" s="391"/>
      <c r="AI175" s="391"/>
      <c r="AJ175" s="391"/>
      <c r="AK175" s="310"/>
      <c r="AL175" s="310"/>
    </row>
    <row r="176" spans="1:38" ht="15.75" customHeight="1">
      <c r="A176" s="310"/>
      <c r="B176" s="310"/>
      <c r="C176" s="310"/>
      <c r="D176" s="310"/>
      <c r="E176" s="310"/>
      <c r="F176" s="311"/>
      <c r="G176" s="311"/>
      <c r="H176" s="1"/>
      <c r="I176" s="353"/>
      <c r="J176" s="353"/>
      <c r="K176" s="353"/>
      <c r="L176" s="353"/>
      <c r="M176" s="353"/>
      <c r="N176" s="353"/>
      <c r="O176" s="310"/>
      <c r="P176" s="310"/>
      <c r="Q176" s="310"/>
      <c r="R176" s="310"/>
      <c r="S176" s="310"/>
      <c r="T176" s="310"/>
      <c r="U176" s="310"/>
      <c r="V176" s="310"/>
      <c r="W176" s="310"/>
      <c r="X176" s="310"/>
      <c r="Y176" s="310"/>
      <c r="Z176" s="310"/>
      <c r="AA176" s="310"/>
      <c r="AB176" s="310"/>
      <c r="AC176" s="310"/>
      <c r="AD176" s="310"/>
      <c r="AE176" s="310"/>
      <c r="AF176" s="391"/>
      <c r="AG176" s="391"/>
      <c r="AH176" s="391"/>
      <c r="AI176" s="391"/>
      <c r="AJ176" s="391"/>
      <c r="AK176" s="310"/>
      <c r="AL176" s="310"/>
    </row>
    <row r="177" spans="1:38" ht="15.75" customHeight="1">
      <c r="A177" s="310"/>
      <c r="B177" s="310"/>
      <c r="C177" s="310"/>
      <c r="D177" s="310"/>
      <c r="E177" s="310"/>
      <c r="F177" s="311"/>
      <c r="G177" s="311"/>
      <c r="H177" s="1"/>
      <c r="I177" s="353"/>
      <c r="J177" s="353"/>
      <c r="K177" s="353"/>
      <c r="L177" s="353"/>
      <c r="M177" s="353"/>
      <c r="N177" s="353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310"/>
      <c r="AB177" s="310"/>
      <c r="AC177" s="310"/>
      <c r="AD177" s="310"/>
      <c r="AE177" s="310"/>
      <c r="AF177" s="391"/>
      <c r="AG177" s="391"/>
      <c r="AH177" s="391"/>
      <c r="AI177" s="391"/>
      <c r="AJ177" s="391"/>
      <c r="AK177" s="310"/>
      <c r="AL177" s="310"/>
    </row>
    <row r="178" spans="1:38" ht="15.75" customHeight="1">
      <c r="A178" s="310"/>
      <c r="B178" s="310"/>
      <c r="C178" s="310"/>
      <c r="D178" s="310"/>
      <c r="E178" s="310"/>
      <c r="F178" s="311"/>
      <c r="G178" s="311"/>
      <c r="H178" s="1"/>
      <c r="I178" s="353"/>
      <c r="J178" s="353"/>
      <c r="K178" s="353"/>
      <c r="L178" s="353"/>
      <c r="M178" s="353"/>
      <c r="N178" s="353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310"/>
      <c r="AB178" s="310"/>
      <c r="AC178" s="310"/>
      <c r="AD178" s="310"/>
      <c r="AE178" s="310"/>
      <c r="AF178" s="391"/>
      <c r="AG178" s="391"/>
      <c r="AH178" s="391"/>
      <c r="AI178" s="391"/>
      <c r="AJ178" s="391"/>
      <c r="AK178" s="310"/>
      <c r="AL178" s="310"/>
    </row>
    <row r="179" spans="1:38" ht="15.75" customHeight="1">
      <c r="A179" s="310"/>
      <c r="B179" s="310"/>
      <c r="C179" s="310"/>
      <c r="D179" s="310"/>
      <c r="E179" s="310"/>
      <c r="F179" s="311"/>
      <c r="G179" s="311"/>
      <c r="H179" s="1"/>
      <c r="I179" s="353"/>
      <c r="J179" s="353"/>
      <c r="K179" s="353"/>
      <c r="L179" s="353"/>
      <c r="M179" s="353"/>
      <c r="N179" s="353"/>
      <c r="O179" s="310"/>
      <c r="P179" s="310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  <c r="AA179" s="310"/>
      <c r="AB179" s="310"/>
      <c r="AC179" s="310"/>
      <c r="AD179" s="310"/>
      <c r="AE179" s="310"/>
      <c r="AF179" s="391"/>
      <c r="AG179" s="391"/>
      <c r="AH179" s="391"/>
      <c r="AI179" s="391"/>
      <c r="AJ179" s="391"/>
      <c r="AK179" s="310"/>
      <c r="AL179" s="310"/>
    </row>
    <row r="180" spans="1:38" ht="15.75" customHeight="1">
      <c r="A180" s="310"/>
      <c r="B180" s="310"/>
      <c r="C180" s="310"/>
      <c r="D180" s="310"/>
      <c r="E180" s="310"/>
      <c r="F180" s="311"/>
      <c r="G180" s="311"/>
      <c r="H180" s="1"/>
      <c r="I180" s="353"/>
      <c r="J180" s="353"/>
      <c r="K180" s="353"/>
      <c r="L180" s="353"/>
      <c r="M180" s="353"/>
      <c r="N180" s="353"/>
      <c r="O180" s="310"/>
      <c r="P180" s="310"/>
      <c r="Q180" s="310"/>
      <c r="R180" s="310"/>
      <c r="S180" s="310"/>
      <c r="T180" s="310"/>
      <c r="U180" s="310"/>
      <c r="V180" s="310"/>
      <c r="W180" s="310"/>
      <c r="X180" s="310"/>
      <c r="Y180" s="310"/>
      <c r="Z180" s="310"/>
      <c r="AA180" s="310"/>
      <c r="AB180" s="310"/>
      <c r="AC180" s="310"/>
      <c r="AD180" s="310"/>
      <c r="AE180" s="310"/>
      <c r="AF180" s="391"/>
      <c r="AG180" s="391"/>
      <c r="AH180" s="391"/>
      <c r="AI180" s="391"/>
      <c r="AJ180" s="391"/>
      <c r="AK180" s="310"/>
      <c r="AL180" s="310"/>
    </row>
    <row r="181" spans="1:38" ht="15.75" customHeight="1">
      <c r="A181" s="310"/>
      <c r="B181" s="310"/>
      <c r="C181" s="310"/>
      <c r="D181" s="310"/>
      <c r="E181" s="310"/>
      <c r="F181" s="311"/>
      <c r="G181" s="311"/>
      <c r="H181" s="1"/>
      <c r="I181" s="353"/>
      <c r="J181" s="353"/>
      <c r="K181" s="353"/>
      <c r="L181" s="353"/>
      <c r="M181" s="353"/>
      <c r="N181" s="353"/>
      <c r="O181" s="310"/>
      <c r="P181" s="310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310"/>
      <c r="AB181" s="310"/>
      <c r="AC181" s="310"/>
      <c r="AD181" s="310"/>
      <c r="AE181" s="310"/>
      <c r="AF181" s="391"/>
      <c r="AG181" s="391"/>
      <c r="AH181" s="391"/>
      <c r="AI181" s="391"/>
      <c r="AJ181" s="391"/>
      <c r="AK181" s="310"/>
      <c r="AL181" s="310"/>
    </row>
    <row r="182" spans="1:38" ht="15.75" customHeight="1">
      <c r="A182" s="310"/>
      <c r="B182" s="310"/>
      <c r="C182" s="310"/>
      <c r="D182" s="310"/>
      <c r="E182" s="310"/>
      <c r="F182" s="311"/>
      <c r="G182" s="311"/>
      <c r="H182" s="1"/>
      <c r="I182" s="353"/>
      <c r="J182" s="353"/>
      <c r="K182" s="353"/>
      <c r="L182" s="353"/>
      <c r="M182" s="353"/>
      <c r="N182" s="353"/>
      <c r="O182" s="310"/>
      <c r="P182" s="310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  <c r="AA182" s="310"/>
      <c r="AB182" s="310"/>
      <c r="AC182" s="310"/>
      <c r="AD182" s="310"/>
      <c r="AE182" s="310"/>
      <c r="AF182" s="391"/>
      <c r="AG182" s="391"/>
      <c r="AH182" s="391"/>
      <c r="AI182" s="391"/>
      <c r="AJ182" s="391"/>
      <c r="AK182" s="310"/>
      <c r="AL182" s="310"/>
    </row>
    <row r="183" spans="1:38" ht="15.75" customHeight="1">
      <c r="A183" s="310"/>
      <c r="B183" s="310"/>
      <c r="C183" s="310"/>
      <c r="D183" s="310"/>
      <c r="E183" s="310"/>
      <c r="F183" s="311"/>
      <c r="G183" s="311"/>
      <c r="H183" s="1"/>
      <c r="I183" s="353"/>
      <c r="J183" s="353"/>
      <c r="K183" s="353"/>
      <c r="L183" s="353"/>
      <c r="M183" s="353"/>
      <c r="N183" s="353"/>
      <c r="O183" s="310"/>
      <c r="P183" s="310"/>
      <c r="Q183" s="310"/>
      <c r="R183" s="310"/>
      <c r="S183" s="310"/>
      <c r="T183" s="310"/>
      <c r="U183" s="310"/>
      <c r="V183" s="310"/>
      <c r="W183" s="310"/>
      <c r="X183" s="310"/>
      <c r="Y183" s="310"/>
      <c r="Z183" s="310"/>
      <c r="AA183" s="310"/>
      <c r="AB183" s="310"/>
      <c r="AC183" s="310"/>
      <c r="AD183" s="310"/>
      <c r="AE183" s="310"/>
      <c r="AF183" s="391"/>
      <c r="AG183" s="391"/>
      <c r="AH183" s="391"/>
      <c r="AI183" s="391"/>
      <c r="AJ183" s="391"/>
      <c r="AK183" s="310"/>
      <c r="AL183" s="310"/>
    </row>
    <row r="184" spans="1:38" ht="15.75" customHeight="1">
      <c r="A184" s="310"/>
      <c r="B184" s="310"/>
      <c r="C184" s="310"/>
      <c r="D184" s="310"/>
      <c r="E184" s="310"/>
      <c r="F184" s="311"/>
      <c r="G184" s="311"/>
      <c r="H184" s="1"/>
      <c r="I184" s="353"/>
      <c r="J184" s="353"/>
      <c r="K184" s="353"/>
      <c r="L184" s="353"/>
      <c r="M184" s="353"/>
      <c r="N184" s="353"/>
      <c r="O184" s="310"/>
      <c r="P184" s="310"/>
      <c r="Q184" s="310"/>
      <c r="R184" s="310"/>
      <c r="S184" s="310"/>
      <c r="T184" s="310"/>
      <c r="U184" s="310"/>
      <c r="V184" s="310"/>
      <c r="W184" s="310"/>
      <c r="X184" s="310"/>
      <c r="Y184" s="310"/>
      <c r="Z184" s="310"/>
      <c r="AA184" s="310"/>
      <c r="AB184" s="310"/>
      <c r="AC184" s="310"/>
      <c r="AD184" s="310"/>
      <c r="AE184" s="310"/>
      <c r="AF184" s="391"/>
      <c r="AG184" s="391"/>
      <c r="AH184" s="391"/>
      <c r="AI184" s="391"/>
      <c r="AJ184" s="391"/>
      <c r="AK184" s="310"/>
      <c r="AL184" s="310"/>
    </row>
    <row r="185" spans="1:38" ht="15.75" customHeight="1">
      <c r="A185" s="310"/>
      <c r="B185" s="310"/>
      <c r="C185" s="310"/>
      <c r="D185" s="310"/>
      <c r="E185" s="310"/>
      <c r="F185" s="311"/>
      <c r="G185" s="311"/>
      <c r="H185" s="1"/>
      <c r="I185" s="353"/>
      <c r="J185" s="353"/>
      <c r="K185" s="353"/>
      <c r="L185" s="353"/>
      <c r="M185" s="353"/>
      <c r="N185" s="353"/>
      <c r="O185" s="310"/>
      <c r="P185" s="310"/>
      <c r="Q185" s="310"/>
      <c r="R185" s="310"/>
      <c r="S185" s="310"/>
      <c r="T185" s="310"/>
      <c r="U185" s="310"/>
      <c r="V185" s="310"/>
      <c r="W185" s="310"/>
      <c r="X185" s="310"/>
      <c r="Y185" s="310"/>
      <c r="Z185" s="310"/>
      <c r="AA185" s="310"/>
      <c r="AB185" s="310"/>
      <c r="AC185" s="310"/>
      <c r="AD185" s="310"/>
      <c r="AE185" s="310"/>
      <c r="AF185" s="391"/>
      <c r="AG185" s="391"/>
      <c r="AH185" s="391"/>
      <c r="AI185" s="391"/>
      <c r="AJ185" s="391"/>
      <c r="AK185" s="310"/>
      <c r="AL185" s="310"/>
    </row>
    <row r="186" spans="1:38" ht="15.75" customHeight="1">
      <c r="A186" s="310"/>
      <c r="B186" s="310"/>
      <c r="C186" s="310"/>
      <c r="D186" s="310"/>
      <c r="E186" s="310"/>
      <c r="F186" s="311"/>
      <c r="G186" s="311"/>
      <c r="H186" s="1"/>
      <c r="I186" s="353"/>
      <c r="J186" s="353"/>
      <c r="K186" s="353"/>
      <c r="L186" s="353"/>
      <c r="M186" s="353"/>
      <c r="N186" s="353"/>
      <c r="O186" s="310"/>
      <c r="P186" s="310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310"/>
      <c r="AB186" s="310"/>
      <c r="AC186" s="310"/>
      <c r="AD186" s="310"/>
      <c r="AE186" s="310"/>
      <c r="AF186" s="391"/>
      <c r="AG186" s="391"/>
      <c r="AH186" s="391"/>
      <c r="AI186" s="391"/>
      <c r="AJ186" s="391"/>
      <c r="AK186" s="310"/>
      <c r="AL186" s="310"/>
    </row>
    <row r="187" spans="1:38" ht="15.75" customHeight="1">
      <c r="A187" s="310"/>
      <c r="B187" s="310"/>
      <c r="C187" s="310"/>
      <c r="D187" s="310"/>
      <c r="E187" s="310"/>
      <c r="F187" s="311"/>
      <c r="G187" s="311"/>
      <c r="H187" s="1"/>
      <c r="I187" s="353"/>
      <c r="J187" s="353"/>
      <c r="K187" s="353"/>
      <c r="L187" s="353"/>
      <c r="M187" s="353"/>
      <c r="N187" s="353"/>
      <c r="O187" s="310"/>
      <c r="P187" s="310"/>
      <c r="Q187" s="310"/>
      <c r="R187" s="310"/>
      <c r="S187" s="310"/>
      <c r="T187" s="310"/>
      <c r="U187" s="310"/>
      <c r="V187" s="310"/>
      <c r="W187" s="310"/>
      <c r="X187" s="310"/>
      <c r="Y187" s="310"/>
      <c r="Z187" s="310"/>
      <c r="AA187" s="310"/>
      <c r="AB187" s="310"/>
      <c r="AC187" s="310"/>
      <c r="AD187" s="310"/>
      <c r="AE187" s="310"/>
      <c r="AF187" s="391"/>
      <c r="AG187" s="391"/>
      <c r="AH187" s="391"/>
      <c r="AI187" s="391"/>
      <c r="AJ187" s="391"/>
      <c r="AK187" s="310"/>
      <c r="AL187" s="310"/>
    </row>
    <row r="188" spans="1:38" ht="15.75" customHeight="1">
      <c r="A188" s="310"/>
      <c r="B188" s="310"/>
      <c r="C188" s="310"/>
      <c r="D188" s="310"/>
      <c r="E188" s="310"/>
      <c r="F188" s="311"/>
      <c r="G188" s="311"/>
      <c r="H188" s="1"/>
      <c r="I188" s="353"/>
      <c r="J188" s="353"/>
      <c r="K188" s="353"/>
      <c r="L188" s="353"/>
      <c r="M188" s="353"/>
      <c r="N188" s="353"/>
      <c r="O188" s="310"/>
      <c r="P188" s="310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  <c r="AA188" s="310"/>
      <c r="AB188" s="310"/>
      <c r="AC188" s="310"/>
      <c r="AD188" s="310"/>
      <c r="AE188" s="310"/>
      <c r="AF188" s="391"/>
      <c r="AG188" s="391"/>
      <c r="AH188" s="391"/>
      <c r="AI188" s="391"/>
      <c r="AJ188" s="391"/>
      <c r="AK188" s="310"/>
      <c r="AL188" s="310"/>
    </row>
    <row r="189" spans="1:38" ht="15.75" customHeight="1">
      <c r="A189" s="310"/>
      <c r="B189" s="310"/>
      <c r="C189" s="310"/>
      <c r="D189" s="310"/>
      <c r="E189" s="310"/>
      <c r="F189" s="311"/>
      <c r="G189" s="311"/>
      <c r="H189" s="1"/>
      <c r="I189" s="353"/>
      <c r="J189" s="353"/>
      <c r="K189" s="353"/>
      <c r="L189" s="353"/>
      <c r="M189" s="353"/>
      <c r="N189" s="353"/>
      <c r="O189" s="310"/>
      <c r="P189" s="310"/>
      <c r="Q189" s="310"/>
      <c r="R189" s="310"/>
      <c r="S189" s="310"/>
      <c r="T189" s="310"/>
      <c r="U189" s="310"/>
      <c r="V189" s="310"/>
      <c r="W189" s="310"/>
      <c r="X189" s="310"/>
      <c r="Y189" s="310"/>
      <c r="Z189" s="310"/>
      <c r="AA189" s="310"/>
      <c r="AB189" s="310"/>
      <c r="AC189" s="310"/>
      <c r="AD189" s="310"/>
      <c r="AE189" s="310"/>
      <c r="AF189" s="391"/>
      <c r="AG189" s="391"/>
      <c r="AH189" s="391"/>
      <c r="AI189" s="391"/>
      <c r="AJ189" s="391"/>
      <c r="AK189" s="310"/>
      <c r="AL189" s="310"/>
    </row>
    <row r="190" spans="1:38" ht="15.75" customHeight="1">
      <c r="A190" s="310"/>
      <c r="B190" s="310"/>
      <c r="C190" s="310"/>
      <c r="D190" s="310"/>
      <c r="E190" s="310"/>
      <c r="F190" s="311"/>
      <c r="G190" s="311"/>
      <c r="H190" s="1"/>
      <c r="I190" s="353"/>
      <c r="J190" s="353"/>
      <c r="K190" s="353"/>
      <c r="L190" s="353"/>
      <c r="M190" s="353"/>
      <c r="N190" s="353"/>
      <c r="O190" s="310"/>
      <c r="P190" s="310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310"/>
      <c r="AB190" s="310"/>
      <c r="AC190" s="310"/>
      <c r="AD190" s="310"/>
      <c r="AE190" s="310"/>
      <c r="AF190" s="391"/>
      <c r="AG190" s="391"/>
      <c r="AH190" s="391"/>
      <c r="AI190" s="391"/>
      <c r="AJ190" s="391"/>
      <c r="AK190" s="310"/>
      <c r="AL190" s="310"/>
    </row>
    <row r="191" spans="1:38" ht="15.75" customHeight="1">
      <c r="A191" s="310"/>
      <c r="B191" s="310"/>
      <c r="C191" s="310"/>
      <c r="D191" s="310"/>
      <c r="E191" s="310"/>
      <c r="F191" s="311"/>
      <c r="G191" s="311"/>
      <c r="H191" s="1"/>
      <c r="I191" s="353"/>
      <c r="J191" s="353"/>
      <c r="K191" s="353"/>
      <c r="L191" s="353"/>
      <c r="M191" s="353"/>
      <c r="N191" s="353"/>
      <c r="O191" s="310"/>
      <c r="P191" s="310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  <c r="AA191" s="310"/>
      <c r="AB191" s="310"/>
      <c r="AC191" s="310"/>
      <c r="AD191" s="310"/>
      <c r="AE191" s="310"/>
      <c r="AF191" s="391"/>
      <c r="AG191" s="391"/>
      <c r="AH191" s="391"/>
      <c r="AI191" s="391"/>
      <c r="AJ191" s="391"/>
      <c r="AK191" s="310"/>
      <c r="AL191" s="310"/>
    </row>
    <row r="192" spans="1:38" ht="15.75" customHeight="1">
      <c r="A192" s="310"/>
      <c r="B192" s="310"/>
      <c r="C192" s="310"/>
      <c r="D192" s="310"/>
      <c r="E192" s="310"/>
      <c r="F192" s="311"/>
      <c r="G192" s="311"/>
      <c r="H192" s="1"/>
      <c r="I192" s="353"/>
      <c r="J192" s="353"/>
      <c r="K192" s="353"/>
      <c r="L192" s="353"/>
      <c r="M192" s="353"/>
      <c r="N192" s="353"/>
      <c r="O192" s="310"/>
      <c r="P192" s="310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310"/>
      <c r="AB192" s="310"/>
      <c r="AC192" s="310"/>
      <c r="AD192" s="310"/>
      <c r="AE192" s="310"/>
      <c r="AF192" s="391"/>
      <c r="AG192" s="391"/>
      <c r="AH192" s="391"/>
      <c r="AI192" s="391"/>
      <c r="AJ192" s="391"/>
      <c r="AK192" s="310"/>
      <c r="AL192" s="310"/>
    </row>
    <row r="193" spans="1:38" ht="15.75" customHeight="1">
      <c r="A193" s="310"/>
      <c r="B193" s="310"/>
      <c r="C193" s="310"/>
      <c r="D193" s="310"/>
      <c r="E193" s="310"/>
      <c r="F193" s="311"/>
      <c r="G193" s="311"/>
      <c r="H193" s="1"/>
      <c r="I193" s="353"/>
      <c r="J193" s="353"/>
      <c r="K193" s="353"/>
      <c r="L193" s="353"/>
      <c r="M193" s="353"/>
      <c r="N193" s="353"/>
      <c r="O193" s="310"/>
      <c r="P193" s="310"/>
      <c r="Q193" s="310"/>
      <c r="R193" s="310"/>
      <c r="S193" s="310"/>
      <c r="T193" s="310"/>
      <c r="U193" s="310"/>
      <c r="V193" s="310"/>
      <c r="W193" s="310"/>
      <c r="X193" s="310"/>
      <c r="Y193" s="310"/>
      <c r="Z193" s="310"/>
      <c r="AA193" s="310"/>
      <c r="AB193" s="310"/>
      <c r="AC193" s="310"/>
      <c r="AD193" s="310"/>
      <c r="AE193" s="310"/>
      <c r="AF193" s="391"/>
      <c r="AG193" s="391"/>
      <c r="AH193" s="391"/>
      <c r="AI193" s="391"/>
      <c r="AJ193" s="391"/>
      <c r="AK193" s="310"/>
      <c r="AL193" s="310"/>
    </row>
    <row r="194" spans="1:38" ht="15.75" customHeight="1">
      <c r="A194" s="310"/>
      <c r="B194" s="310"/>
      <c r="C194" s="310"/>
      <c r="D194" s="310"/>
      <c r="E194" s="310"/>
      <c r="F194" s="311"/>
      <c r="G194" s="311"/>
      <c r="H194" s="1"/>
      <c r="I194" s="353"/>
      <c r="J194" s="353"/>
      <c r="K194" s="353"/>
      <c r="L194" s="353"/>
      <c r="M194" s="353"/>
      <c r="N194" s="353"/>
      <c r="O194" s="310"/>
      <c r="P194" s="310"/>
      <c r="Q194" s="310"/>
      <c r="R194" s="310"/>
      <c r="S194" s="310"/>
      <c r="T194" s="310"/>
      <c r="U194" s="310"/>
      <c r="V194" s="310"/>
      <c r="W194" s="310"/>
      <c r="X194" s="310"/>
      <c r="Y194" s="310"/>
      <c r="Z194" s="310"/>
      <c r="AA194" s="310"/>
      <c r="AB194" s="310"/>
      <c r="AC194" s="310"/>
      <c r="AD194" s="310"/>
      <c r="AE194" s="310"/>
      <c r="AF194" s="391"/>
      <c r="AG194" s="391"/>
      <c r="AH194" s="391"/>
      <c r="AI194" s="391"/>
      <c r="AJ194" s="391"/>
      <c r="AK194" s="310"/>
      <c r="AL194" s="310"/>
    </row>
    <row r="195" spans="1:38" ht="15.75" customHeight="1">
      <c r="A195" s="310"/>
      <c r="B195" s="310"/>
      <c r="C195" s="310"/>
      <c r="D195" s="310"/>
      <c r="E195" s="310"/>
      <c r="F195" s="311"/>
      <c r="G195" s="311"/>
      <c r="H195" s="1"/>
      <c r="I195" s="353"/>
      <c r="J195" s="353"/>
      <c r="K195" s="353"/>
      <c r="L195" s="353"/>
      <c r="M195" s="353"/>
      <c r="N195" s="353"/>
      <c r="O195" s="310"/>
      <c r="P195" s="310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310"/>
      <c r="AB195" s="310"/>
      <c r="AC195" s="310"/>
      <c r="AD195" s="310"/>
      <c r="AE195" s="310"/>
      <c r="AF195" s="391"/>
      <c r="AG195" s="391"/>
      <c r="AH195" s="391"/>
      <c r="AI195" s="391"/>
      <c r="AJ195" s="391"/>
      <c r="AK195" s="310"/>
      <c r="AL195" s="310"/>
    </row>
    <row r="196" spans="1:38" ht="15.75" customHeight="1">
      <c r="A196" s="310"/>
      <c r="B196" s="310"/>
      <c r="C196" s="310"/>
      <c r="D196" s="310"/>
      <c r="E196" s="310"/>
      <c r="F196" s="311"/>
      <c r="G196" s="311"/>
      <c r="H196" s="1"/>
      <c r="I196" s="353"/>
      <c r="J196" s="353"/>
      <c r="K196" s="353"/>
      <c r="L196" s="353"/>
      <c r="M196" s="353"/>
      <c r="N196" s="353"/>
      <c r="O196" s="310"/>
      <c r="P196" s="310"/>
      <c r="Q196" s="310"/>
      <c r="R196" s="310"/>
      <c r="S196" s="310"/>
      <c r="T196" s="310"/>
      <c r="U196" s="310"/>
      <c r="V196" s="310"/>
      <c r="W196" s="310"/>
      <c r="X196" s="310"/>
      <c r="Y196" s="310"/>
      <c r="Z196" s="310"/>
      <c r="AA196" s="310"/>
      <c r="AB196" s="310"/>
      <c r="AC196" s="310"/>
      <c r="AD196" s="310"/>
      <c r="AE196" s="310"/>
      <c r="AF196" s="391"/>
      <c r="AG196" s="391"/>
      <c r="AH196" s="391"/>
      <c r="AI196" s="391"/>
      <c r="AJ196" s="391"/>
      <c r="AK196" s="310"/>
      <c r="AL196" s="310"/>
    </row>
    <row r="197" spans="1:38" ht="15.75" customHeight="1">
      <c r="A197" s="310"/>
      <c r="B197" s="310"/>
      <c r="C197" s="310"/>
      <c r="D197" s="310"/>
      <c r="E197" s="310"/>
      <c r="F197" s="311"/>
      <c r="G197" s="311"/>
      <c r="H197" s="1"/>
      <c r="I197" s="353"/>
      <c r="J197" s="353"/>
      <c r="K197" s="353"/>
      <c r="L197" s="353"/>
      <c r="M197" s="353"/>
      <c r="N197" s="353"/>
      <c r="O197" s="310"/>
      <c r="P197" s="310"/>
      <c r="Q197" s="310"/>
      <c r="R197" s="310"/>
      <c r="S197" s="310"/>
      <c r="T197" s="310"/>
      <c r="U197" s="310"/>
      <c r="V197" s="310"/>
      <c r="W197" s="310"/>
      <c r="X197" s="310"/>
      <c r="Y197" s="310"/>
      <c r="Z197" s="310"/>
      <c r="AA197" s="310"/>
      <c r="AB197" s="310"/>
      <c r="AC197" s="310"/>
      <c r="AD197" s="310"/>
      <c r="AE197" s="310"/>
      <c r="AF197" s="391"/>
      <c r="AG197" s="391"/>
      <c r="AH197" s="391"/>
      <c r="AI197" s="391"/>
      <c r="AJ197" s="391"/>
      <c r="AK197" s="310"/>
      <c r="AL197" s="310"/>
    </row>
    <row r="198" spans="1:38" ht="15.75" customHeight="1">
      <c r="A198" s="310"/>
      <c r="B198" s="310"/>
      <c r="C198" s="310"/>
      <c r="D198" s="310"/>
      <c r="E198" s="310"/>
      <c r="F198" s="311"/>
      <c r="G198" s="311"/>
      <c r="H198" s="1"/>
      <c r="I198" s="353"/>
      <c r="J198" s="353"/>
      <c r="K198" s="353"/>
      <c r="L198" s="353"/>
      <c r="M198" s="353"/>
      <c r="N198" s="353"/>
      <c r="O198" s="310"/>
      <c r="P198" s="310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  <c r="AA198" s="310"/>
      <c r="AB198" s="310"/>
      <c r="AC198" s="310"/>
      <c r="AD198" s="310"/>
      <c r="AE198" s="310"/>
      <c r="AF198" s="391"/>
      <c r="AG198" s="391"/>
      <c r="AH198" s="391"/>
      <c r="AI198" s="391"/>
      <c r="AJ198" s="391"/>
      <c r="AK198" s="310"/>
      <c r="AL198" s="310"/>
    </row>
    <row r="199" spans="1:38" ht="15.75" customHeight="1">
      <c r="A199" s="310"/>
      <c r="B199" s="310"/>
      <c r="C199" s="310"/>
      <c r="D199" s="310"/>
      <c r="E199" s="310"/>
      <c r="F199" s="311"/>
      <c r="G199" s="311"/>
      <c r="H199" s="1"/>
      <c r="I199" s="353"/>
      <c r="J199" s="353"/>
      <c r="K199" s="353"/>
      <c r="L199" s="353"/>
      <c r="M199" s="353"/>
      <c r="N199" s="353"/>
      <c r="O199" s="310"/>
      <c r="P199" s="310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  <c r="AA199" s="310"/>
      <c r="AB199" s="310"/>
      <c r="AC199" s="310"/>
      <c r="AD199" s="310"/>
      <c r="AE199" s="310"/>
      <c r="AF199" s="391"/>
      <c r="AG199" s="391"/>
      <c r="AH199" s="391"/>
      <c r="AI199" s="391"/>
      <c r="AJ199" s="391"/>
      <c r="AK199" s="310"/>
      <c r="AL199" s="310"/>
    </row>
    <row r="200" spans="1:38" ht="15.75" customHeight="1">
      <c r="A200" s="310"/>
      <c r="B200" s="310"/>
      <c r="C200" s="310"/>
      <c r="D200" s="310"/>
      <c r="E200" s="310"/>
      <c r="F200" s="311"/>
      <c r="G200" s="311"/>
      <c r="H200" s="1"/>
      <c r="I200" s="353"/>
      <c r="J200" s="353"/>
      <c r="K200" s="353"/>
      <c r="L200" s="353"/>
      <c r="M200" s="353"/>
      <c r="N200" s="353"/>
      <c r="O200" s="310"/>
      <c r="P200" s="310"/>
      <c r="Q200" s="310"/>
      <c r="R200" s="310"/>
      <c r="S200" s="310"/>
      <c r="T200" s="310"/>
      <c r="U200" s="310"/>
      <c r="V200" s="310"/>
      <c r="W200" s="310"/>
      <c r="X200" s="310"/>
      <c r="Y200" s="310"/>
      <c r="Z200" s="310"/>
      <c r="AA200" s="310"/>
      <c r="AB200" s="310"/>
      <c r="AC200" s="310"/>
      <c r="AD200" s="310"/>
      <c r="AE200" s="310"/>
      <c r="AF200" s="391"/>
      <c r="AG200" s="391"/>
      <c r="AH200" s="391"/>
      <c r="AI200" s="391"/>
      <c r="AJ200" s="391"/>
      <c r="AK200" s="310"/>
      <c r="AL200" s="310"/>
    </row>
    <row r="201" spans="1:38" ht="15.75" customHeight="1">
      <c r="A201" s="310"/>
      <c r="B201" s="310"/>
      <c r="C201" s="310"/>
      <c r="D201" s="310"/>
      <c r="E201" s="310"/>
      <c r="F201" s="311"/>
      <c r="G201" s="311"/>
      <c r="H201" s="1"/>
      <c r="I201" s="353"/>
      <c r="J201" s="353"/>
      <c r="K201" s="353"/>
      <c r="L201" s="353"/>
      <c r="M201" s="353"/>
      <c r="N201" s="353"/>
      <c r="O201" s="310"/>
      <c r="P201" s="310"/>
      <c r="Q201" s="310"/>
      <c r="R201" s="310"/>
      <c r="S201" s="310"/>
      <c r="T201" s="310"/>
      <c r="U201" s="310"/>
      <c r="V201" s="310"/>
      <c r="W201" s="310"/>
      <c r="X201" s="310"/>
      <c r="Y201" s="310"/>
      <c r="Z201" s="310"/>
      <c r="AA201" s="310"/>
      <c r="AB201" s="310"/>
      <c r="AC201" s="310"/>
      <c r="AD201" s="310"/>
      <c r="AE201" s="310"/>
      <c r="AF201" s="391"/>
      <c r="AG201" s="391"/>
      <c r="AH201" s="391"/>
      <c r="AI201" s="391"/>
      <c r="AJ201" s="391"/>
      <c r="AK201" s="310"/>
      <c r="AL201" s="310"/>
    </row>
    <row r="202" spans="1:38" ht="15.75" customHeight="1">
      <c r="A202" s="310"/>
      <c r="B202" s="310"/>
      <c r="C202" s="310"/>
      <c r="D202" s="310"/>
      <c r="E202" s="310"/>
      <c r="F202" s="311"/>
      <c r="G202" s="311"/>
      <c r="H202" s="1"/>
      <c r="I202" s="353"/>
      <c r="J202" s="353"/>
      <c r="K202" s="353"/>
      <c r="L202" s="353"/>
      <c r="M202" s="353"/>
      <c r="N202" s="353"/>
      <c r="O202" s="310"/>
      <c r="P202" s="310"/>
      <c r="Q202" s="310"/>
      <c r="R202" s="310"/>
      <c r="S202" s="310"/>
      <c r="T202" s="310"/>
      <c r="U202" s="310"/>
      <c r="V202" s="310"/>
      <c r="W202" s="310"/>
      <c r="X202" s="310"/>
      <c r="Y202" s="310"/>
      <c r="Z202" s="310"/>
      <c r="AA202" s="310"/>
      <c r="AB202" s="310"/>
      <c r="AC202" s="310"/>
      <c r="AD202" s="310"/>
      <c r="AE202" s="310"/>
      <c r="AF202" s="391"/>
      <c r="AG202" s="391"/>
      <c r="AH202" s="391"/>
      <c r="AI202" s="391"/>
      <c r="AJ202" s="391"/>
      <c r="AK202" s="310"/>
      <c r="AL202" s="310"/>
    </row>
    <row r="203" spans="1:38" ht="15.75" customHeight="1">
      <c r="A203" s="310"/>
      <c r="B203" s="310"/>
      <c r="C203" s="310"/>
      <c r="D203" s="310"/>
      <c r="E203" s="310"/>
      <c r="F203" s="311"/>
      <c r="G203" s="311"/>
      <c r="H203" s="1"/>
      <c r="I203" s="353"/>
      <c r="J203" s="353"/>
      <c r="K203" s="353"/>
      <c r="L203" s="353"/>
      <c r="M203" s="353"/>
      <c r="N203" s="353"/>
      <c r="O203" s="310"/>
      <c r="P203" s="310"/>
      <c r="Q203" s="310"/>
      <c r="R203" s="310"/>
      <c r="S203" s="310"/>
      <c r="T203" s="310"/>
      <c r="U203" s="310"/>
      <c r="V203" s="310"/>
      <c r="W203" s="310"/>
      <c r="X203" s="310"/>
      <c r="Y203" s="310"/>
      <c r="Z203" s="310"/>
      <c r="AA203" s="310"/>
      <c r="AB203" s="310"/>
      <c r="AC203" s="310"/>
      <c r="AD203" s="310"/>
      <c r="AE203" s="310"/>
      <c r="AF203" s="391"/>
      <c r="AG203" s="391"/>
      <c r="AH203" s="391"/>
      <c r="AI203" s="391"/>
      <c r="AJ203" s="391"/>
      <c r="AK203" s="310"/>
      <c r="AL203" s="310"/>
    </row>
    <row r="204" spans="1:38" ht="15.75" customHeight="1">
      <c r="A204" s="310"/>
      <c r="B204" s="310"/>
      <c r="C204" s="310"/>
      <c r="D204" s="310"/>
      <c r="E204" s="310"/>
      <c r="F204" s="311"/>
      <c r="G204" s="311"/>
      <c r="H204" s="1"/>
      <c r="I204" s="353"/>
      <c r="J204" s="353"/>
      <c r="K204" s="353"/>
      <c r="L204" s="353"/>
      <c r="M204" s="353"/>
      <c r="N204" s="353"/>
      <c r="O204" s="310"/>
      <c r="P204" s="310"/>
      <c r="Q204" s="310"/>
      <c r="R204" s="310"/>
      <c r="S204" s="310"/>
      <c r="T204" s="310"/>
      <c r="U204" s="310"/>
      <c r="V204" s="310"/>
      <c r="W204" s="310"/>
      <c r="X204" s="310"/>
      <c r="Y204" s="310"/>
      <c r="Z204" s="310"/>
      <c r="AA204" s="310"/>
      <c r="AB204" s="310"/>
      <c r="AC204" s="310"/>
      <c r="AD204" s="310"/>
      <c r="AE204" s="310"/>
      <c r="AF204" s="391"/>
      <c r="AG204" s="391"/>
      <c r="AH204" s="391"/>
      <c r="AI204" s="391"/>
      <c r="AJ204" s="391"/>
      <c r="AK204" s="310"/>
      <c r="AL204" s="310"/>
    </row>
    <row r="205" spans="1:38" ht="15.75" customHeight="1">
      <c r="A205" s="310"/>
      <c r="B205" s="310"/>
      <c r="C205" s="310"/>
      <c r="D205" s="310"/>
      <c r="E205" s="310"/>
      <c r="F205" s="311"/>
      <c r="G205" s="311"/>
      <c r="H205" s="1"/>
      <c r="I205" s="353"/>
      <c r="J205" s="353"/>
      <c r="K205" s="353"/>
      <c r="L205" s="353"/>
      <c r="M205" s="353"/>
      <c r="N205" s="353"/>
      <c r="O205" s="310"/>
      <c r="P205" s="310"/>
      <c r="Q205" s="310"/>
      <c r="R205" s="310"/>
      <c r="S205" s="310"/>
      <c r="T205" s="310"/>
      <c r="U205" s="310"/>
      <c r="V205" s="310"/>
      <c r="W205" s="310"/>
      <c r="X205" s="310"/>
      <c r="Y205" s="310"/>
      <c r="Z205" s="310"/>
      <c r="AA205" s="310"/>
      <c r="AB205" s="310"/>
      <c r="AC205" s="310"/>
      <c r="AD205" s="310"/>
      <c r="AE205" s="310"/>
      <c r="AF205" s="391"/>
      <c r="AG205" s="391"/>
      <c r="AH205" s="391"/>
      <c r="AI205" s="391"/>
      <c r="AJ205" s="391"/>
      <c r="AK205" s="310"/>
      <c r="AL205" s="310"/>
    </row>
    <row r="206" spans="1:38" ht="15.75" customHeight="1">
      <c r="A206" s="310"/>
      <c r="B206" s="310"/>
      <c r="C206" s="310"/>
      <c r="D206" s="310"/>
      <c r="E206" s="310"/>
      <c r="F206" s="311"/>
      <c r="G206" s="311"/>
      <c r="H206" s="1"/>
      <c r="I206" s="353"/>
      <c r="J206" s="353"/>
      <c r="K206" s="353"/>
      <c r="L206" s="353"/>
      <c r="M206" s="353"/>
      <c r="N206" s="353"/>
      <c r="O206" s="310"/>
      <c r="P206" s="310"/>
      <c r="Q206" s="310"/>
      <c r="R206" s="310"/>
      <c r="S206" s="310"/>
      <c r="T206" s="310"/>
      <c r="U206" s="310"/>
      <c r="V206" s="310"/>
      <c r="W206" s="310"/>
      <c r="X206" s="310"/>
      <c r="Y206" s="310"/>
      <c r="Z206" s="310"/>
      <c r="AA206" s="310"/>
      <c r="AB206" s="310"/>
      <c r="AC206" s="310"/>
      <c r="AD206" s="310"/>
      <c r="AE206" s="310"/>
      <c r="AF206" s="391"/>
      <c r="AG206" s="391"/>
      <c r="AH206" s="391"/>
      <c r="AI206" s="391"/>
      <c r="AJ206" s="391"/>
      <c r="AK206" s="310"/>
      <c r="AL206" s="310"/>
    </row>
    <row r="207" spans="1:38" ht="15.75" customHeight="1">
      <c r="A207" s="310"/>
      <c r="B207" s="310"/>
      <c r="C207" s="310"/>
      <c r="D207" s="310"/>
      <c r="E207" s="310"/>
      <c r="F207" s="311"/>
      <c r="G207" s="311"/>
      <c r="H207" s="1"/>
      <c r="I207" s="353"/>
      <c r="J207" s="353"/>
      <c r="K207" s="353"/>
      <c r="L207" s="353"/>
      <c r="M207" s="353"/>
      <c r="N207" s="353"/>
      <c r="O207" s="310"/>
      <c r="P207" s="310"/>
      <c r="Q207" s="310"/>
      <c r="R207" s="310"/>
      <c r="S207" s="310"/>
      <c r="T207" s="310"/>
      <c r="U207" s="310"/>
      <c r="V207" s="310"/>
      <c r="W207" s="310"/>
      <c r="X207" s="310"/>
      <c r="Y207" s="310"/>
      <c r="Z207" s="310"/>
      <c r="AA207" s="310"/>
      <c r="AB207" s="310"/>
      <c r="AC207" s="310"/>
      <c r="AD207" s="310"/>
      <c r="AE207" s="310"/>
      <c r="AF207" s="391"/>
      <c r="AG207" s="391"/>
      <c r="AH207" s="391"/>
      <c r="AI207" s="391"/>
      <c r="AJ207" s="391"/>
      <c r="AK207" s="310"/>
      <c r="AL207" s="310"/>
    </row>
    <row r="208" spans="1:38" ht="15.75" customHeight="1">
      <c r="A208" s="310"/>
      <c r="B208" s="310"/>
      <c r="C208" s="310"/>
      <c r="D208" s="310"/>
      <c r="E208" s="310"/>
      <c r="F208" s="311"/>
      <c r="G208" s="311"/>
      <c r="H208" s="1"/>
      <c r="I208" s="353"/>
      <c r="J208" s="353"/>
      <c r="K208" s="353"/>
      <c r="L208" s="353"/>
      <c r="M208" s="353"/>
      <c r="N208" s="353"/>
      <c r="O208" s="310"/>
      <c r="P208" s="310"/>
      <c r="Q208" s="310"/>
      <c r="R208" s="310"/>
      <c r="S208" s="310"/>
      <c r="T208" s="310"/>
      <c r="U208" s="310"/>
      <c r="V208" s="310"/>
      <c r="W208" s="310"/>
      <c r="X208" s="310"/>
      <c r="Y208" s="310"/>
      <c r="Z208" s="310"/>
      <c r="AA208" s="310"/>
      <c r="AB208" s="310"/>
      <c r="AC208" s="310"/>
      <c r="AD208" s="310"/>
      <c r="AE208" s="310"/>
      <c r="AF208" s="391"/>
      <c r="AG208" s="391"/>
      <c r="AH208" s="391"/>
      <c r="AI208" s="391"/>
      <c r="AJ208" s="391"/>
      <c r="AK208" s="310"/>
      <c r="AL208" s="310"/>
    </row>
    <row r="209" spans="1:38" ht="15.75" customHeight="1">
      <c r="A209" s="310"/>
      <c r="B209" s="310"/>
      <c r="C209" s="310"/>
      <c r="D209" s="310"/>
      <c r="E209" s="310"/>
      <c r="F209" s="311"/>
      <c r="G209" s="311"/>
      <c r="H209" s="1"/>
      <c r="I209" s="353"/>
      <c r="J209" s="353"/>
      <c r="K209" s="353"/>
      <c r="L209" s="353"/>
      <c r="M209" s="353"/>
      <c r="N209" s="353"/>
      <c r="O209" s="310"/>
      <c r="P209" s="310"/>
      <c r="Q209" s="310"/>
      <c r="R209" s="310"/>
      <c r="S209" s="310"/>
      <c r="T209" s="310"/>
      <c r="U209" s="310"/>
      <c r="V209" s="310"/>
      <c r="W209" s="310"/>
      <c r="X209" s="310"/>
      <c r="Y209" s="310"/>
      <c r="Z209" s="310"/>
      <c r="AA209" s="310"/>
      <c r="AB209" s="310"/>
      <c r="AC209" s="310"/>
      <c r="AD209" s="310"/>
      <c r="AE209" s="310"/>
      <c r="AF209" s="391"/>
      <c r="AG209" s="391"/>
      <c r="AH209" s="391"/>
      <c r="AI209" s="391"/>
      <c r="AJ209" s="391"/>
      <c r="AK209" s="310"/>
      <c r="AL209" s="310"/>
    </row>
    <row r="210" spans="1:38" ht="15.75" customHeight="1">
      <c r="A210" s="310"/>
      <c r="B210" s="310"/>
      <c r="C210" s="310"/>
      <c r="D210" s="310"/>
      <c r="E210" s="310"/>
      <c r="F210" s="311"/>
      <c r="G210" s="311"/>
      <c r="H210" s="1"/>
      <c r="I210" s="353"/>
      <c r="J210" s="353"/>
      <c r="K210" s="353"/>
      <c r="L210" s="353"/>
      <c r="M210" s="353"/>
      <c r="N210" s="353"/>
      <c r="O210" s="310"/>
      <c r="P210" s="310"/>
      <c r="Q210" s="310"/>
      <c r="R210" s="310"/>
      <c r="S210" s="310"/>
      <c r="T210" s="310"/>
      <c r="U210" s="310"/>
      <c r="V210" s="310"/>
      <c r="W210" s="310"/>
      <c r="X210" s="310"/>
      <c r="Y210" s="310"/>
      <c r="Z210" s="310"/>
      <c r="AA210" s="310"/>
      <c r="AB210" s="310"/>
      <c r="AC210" s="310"/>
      <c r="AD210" s="310"/>
      <c r="AE210" s="310"/>
      <c r="AF210" s="391"/>
      <c r="AG210" s="391"/>
      <c r="AH210" s="391"/>
      <c r="AI210" s="391"/>
      <c r="AJ210" s="391"/>
      <c r="AK210" s="310"/>
      <c r="AL210" s="310"/>
    </row>
    <row r="211" spans="1:38" ht="15.75" customHeight="1">
      <c r="A211" s="310"/>
      <c r="B211" s="310"/>
      <c r="C211" s="310"/>
      <c r="D211" s="310"/>
      <c r="E211" s="310"/>
      <c r="F211" s="311"/>
      <c r="G211" s="311"/>
      <c r="H211" s="1"/>
      <c r="I211" s="353"/>
      <c r="J211" s="353"/>
      <c r="K211" s="353"/>
      <c r="L211" s="353"/>
      <c r="M211" s="353"/>
      <c r="N211" s="353"/>
      <c r="O211" s="310"/>
      <c r="P211" s="310"/>
      <c r="Q211" s="310"/>
      <c r="R211" s="310"/>
      <c r="S211" s="310"/>
      <c r="T211" s="310"/>
      <c r="U211" s="310"/>
      <c r="V211" s="310"/>
      <c r="W211" s="310"/>
      <c r="X211" s="310"/>
      <c r="Y211" s="310"/>
      <c r="Z211" s="310"/>
      <c r="AA211" s="310"/>
      <c r="AB211" s="310"/>
      <c r="AC211" s="310"/>
      <c r="AD211" s="310"/>
      <c r="AE211" s="310"/>
      <c r="AF211" s="391"/>
      <c r="AG211" s="391"/>
      <c r="AH211" s="391"/>
      <c r="AI211" s="391"/>
      <c r="AJ211" s="391"/>
      <c r="AK211" s="310"/>
      <c r="AL211" s="310"/>
    </row>
    <row r="212" spans="1:38" ht="15.75" customHeight="1">
      <c r="A212" s="310"/>
      <c r="B212" s="310"/>
      <c r="C212" s="310"/>
      <c r="D212" s="310"/>
      <c r="E212" s="310"/>
      <c r="F212" s="311"/>
      <c r="G212" s="311"/>
      <c r="H212" s="1"/>
      <c r="I212" s="353"/>
      <c r="J212" s="353"/>
      <c r="K212" s="353"/>
      <c r="L212" s="353"/>
      <c r="M212" s="353"/>
      <c r="N212" s="353"/>
      <c r="O212" s="310"/>
      <c r="P212" s="310"/>
      <c r="Q212" s="310"/>
      <c r="R212" s="310"/>
      <c r="S212" s="310"/>
      <c r="T212" s="310"/>
      <c r="U212" s="310"/>
      <c r="V212" s="310"/>
      <c r="W212" s="310"/>
      <c r="X212" s="310"/>
      <c r="Y212" s="310"/>
      <c r="Z212" s="310"/>
      <c r="AA212" s="310"/>
      <c r="AB212" s="310"/>
      <c r="AC212" s="310"/>
      <c r="AD212" s="310"/>
      <c r="AE212" s="310"/>
      <c r="AF212" s="391"/>
      <c r="AG212" s="391"/>
      <c r="AH212" s="391"/>
      <c r="AI212" s="391"/>
      <c r="AJ212" s="391"/>
      <c r="AK212" s="310"/>
      <c r="AL212" s="310"/>
    </row>
    <row r="213" spans="1:38" ht="15.75" customHeight="1">
      <c r="A213" s="310"/>
      <c r="B213" s="310"/>
      <c r="C213" s="310"/>
      <c r="D213" s="310"/>
      <c r="E213" s="310"/>
      <c r="F213" s="311"/>
      <c r="G213" s="311"/>
      <c r="H213" s="1"/>
      <c r="I213" s="353"/>
      <c r="J213" s="353"/>
      <c r="K213" s="353"/>
      <c r="L213" s="353"/>
      <c r="M213" s="353"/>
      <c r="N213" s="353"/>
      <c r="O213" s="310"/>
      <c r="P213" s="310"/>
      <c r="Q213" s="310"/>
      <c r="R213" s="310"/>
      <c r="S213" s="310"/>
      <c r="T213" s="310"/>
      <c r="U213" s="310"/>
      <c r="V213" s="310"/>
      <c r="W213" s="310"/>
      <c r="X213" s="310"/>
      <c r="Y213" s="310"/>
      <c r="Z213" s="310"/>
      <c r="AA213" s="310"/>
      <c r="AB213" s="310"/>
      <c r="AC213" s="310"/>
      <c r="AD213" s="310"/>
      <c r="AE213" s="310"/>
      <c r="AF213" s="391"/>
      <c r="AG213" s="391"/>
      <c r="AH213" s="391"/>
      <c r="AI213" s="391"/>
      <c r="AJ213" s="391"/>
      <c r="AK213" s="310"/>
      <c r="AL213" s="310"/>
    </row>
    <row r="214" spans="1:38" ht="15.75" customHeight="1">
      <c r="A214" s="310"/>
      <c r="B214" s="310"/>
      <c r="C214" s="310"/>
      <c r="D214" s="310"/>
      <c r="E214" s="310"/>
      <c r="F214" s="311"/>
      <c r="G214" s="311"/>
      <c r="H214" s="1"/>
      <c r="I214" s="353"/>
      <c r="J214" s="353"/>
      <c r="K214" s="353"/>
      <c r="L214" s="353"/>
      <c r="M214" s="353"/>
      <c r="N214" s="353"/>
      <c r="O214" s="310"/>
      <c r="P214" s="310"/>
      <c r="Q214" s="310"/>
      <c r="R214" s="310"/>
      <c r="S214" s="310"/>
      <c r="T214" s="310"/>
      <c r="U214" s="310"/>
      <c r="V214" s="310"/>
      <c r="W214" s="310"/>
      <c r="X214" s="310"/>
      <c r="Y214" s="310"/>
      <c r="Z214" s="310"/>
      <c r="AA214" s="310"/>
      <c r="AB214" s="310"/>
      <c r="AC214" s="310"/>
      <c r="AD214" s="310"/>
      <c r="AE214" s="310"/>
      <c r="AF214" s="391"/>
      <c r="AG214" s="391"/>
      <c r="AH214" s="391"/>
      <c r="AI214" s="391"/>
      <c r="AJ214" s="391"/>
      <c r="AK214" s="310"/>
      <c r="AL214" s="310"/>
    </row>
    <row r="215" spans="1:38" ht="15.75" customHeight="1">
      <c r="A215" s="310"/>
      <c r="B215" s="310"/>
      <c r="C215" s="310"/>
      <c r="D215" s="310"/>
      <c r="E215" s="310"/>
      <c r="F215" s="311"/>
      <c r="G215" s="311"/>
      <c r="H215" s="1"/>
      <c r="I215" s="353"/>
      <c r="J215" s="353"/>
      <c r="K215" s="353"/>
      <c r="L215" s="353"/>
      <c r="M215" s="353"/>
      <c r="N215" s="353"/>
      <c r="O215" s="310"/>
      <c r="P215" s="310"/>
      <c r="Q215" s="310"/>
      <c r="R215" s="310"/>
      <c r="S215" s="310"/>
      <c r="T215" s="310"/>
      <c r="U215" s="310"/>
      <c r="V215" s="310"/>
      <c r="W215" s="310"/>
      <c r="X215" s="310"/>
      <c r="Y215" s="310"/>
      <c r="Z215" s="310"/>
      <c r="AA215" s="310"/>
      <c r="AB215" s="310"/>
      <c r="AC215" s="310"/>
      <c r="AD215" s="310"/>
      <c r="AE215" s="310"/>
      <c r="AF215" s="391"/>
      <c r="AG215" s="391"/>
      <c r="AH215" s="391"/>
      <c r="AI215" s="391"/>
      <c r="AJ215" s="391"/>
      <c r="AK215" s="310"/>
      <c r="AL215" s="310"/>
    </row>
    <row r="216" spans="1:38" ht="15.75" customHeight="1">
      <c r="A216" s="310"/>
      <c r="B216" s="310"/>
      <c r="C216" s="310"/>
      <c r="D216" s="310"/>
      <c r="E216" s="310"/>
      <c r="F216" s="311"/>
      <c r="G216" s="311"/>
      <c r="H216" s="1"/>
      <c r="I216" s="353"/>
      <c r="J216" s="353"/>
      <c r="K216" s="353"/>
      <c r="L216" s="353"/>
      <c r="M216" s="353"/>
      <c r="N216" s="353"/>
      <c r="O216" s="310"/>
      <c r="P216" s="310"/>
      <c r="Q216" s="310"/>
      <c r="R216" s="310"/>
      <c r="S216" s="310"/>
      <c r="T216" s="310"/>
      <c r="U216" s="310"/>
      <c r="V216" s="310"/>
      <c r="W216" s="310"/>
      <c r="X216" s="310"/>
      <c r="Y216" s="310"/>
      <c r="Z216" s="310"/>
      <c r="AA216" s="310"/>
      <c r="AB216" s="310"/>
      <c r="AC216" s="310"/>
      <c r="AD216" s="310"/>
      <c r="AE216" s="310"/>
      <c r="AF216" s="391"/>
      <c r="AG216" s="391"/>
      <c r="AH216" s="391"/>
      <c r="AI216" s="391"/>
      <c r="AJ216" s="391"/>
      <c r="AK216" s="310"/>
      <c r="AL216" s="310"/>
    </row>
    <row r="217" spans="1:38" ht="15.75" customHeight="1">
      <c r="A217" s="310"/>
      <c r="B217" s="310"/>
      <c r="C217" s="310"/>
      <c r="D217" s="310"/>
      <c r="E217" s="310"/>
      <c r="F217" s="311"/>
      <c r="G217" s="311"/>
      <c r="H217" s="1"/>
      <c r="I217" s="353"/>
      <c r="J217" s="353"/>
      <c r="K217" s="353"/>
      <c r="L217" s="353"/>
      <c r="M217" s="353"/>
      <c r="N217" s="353"/>
      <c r="O217" s="310"/>
      <c r="P217" s="310"/>
      <c r="Q217" s="310"/>
      <c r="R217" s="310"/>
      <c r="S217" s="310"/>
      <c r="T217" s="310"/>
      <c r="U217" s="310"/>
      <c r="V217" s="310"/>
      <c r="W217" s="310"/>
      <c r="X217" s="310"/>
      <c r="Y217" s="310"/>
      <c r="Z217" s="310"/>
      <c r="AA217" s="310"/>
      <c r="AB217" s="310"/>
      <c r="AC217" s="310"/>
      <c r="AD217" s="310"/>
      <c r="AE217" s="310"/>
      <c r="AF217" s="391"/>
      <c r="AG217" s="391"/>
      <c r="AH217" s="391"/>
      <c r="AI217" s="391"/>
      <c r="AJ217" s="391"/>
      <c r="AK217" s="310"/>
      <c r="AL217" s="310"/>
    </row>
    <row r="218" spans="1:38" ht="15.75" customHeight="1">
      <c r="A218" s="310"/>
      <c r="B218" s="310"/>
      <c r="C218" s="310"/>
      <c r="D218" s="310"/>
      <c r="E218" s="310"/>
      <c r="F218" s="311"/>
      <c r="G218" s="311"/>
      <c r="H218" s="1"/>
      <c r="I218" s="353"/>
      <c r="J218" s="353"/>
      <c r="K218" s="353"/>
      <c r="L218" s="353"/>
      <c r="M218" s="353"/>
      <c r="N218" s="353"/>
      <c r="O218" s="310"/>
      <c r="P218" s="310"/>
      <c r="Q218" s="310"/>
      <c r="R218" s="310"/>
      <c r="S218" s="310"/>
      <c r="T218" s="310"/>
      <c r="U218" s="310"/>
      <c r="V218" s="310"/>
      <c r="W218" s="310"/>
      <c r="X218" s="310"/>
      <c r="Y218" s="310"/>
      <c r="Z218" s="310"/>
      <c r="AA218" s="310"/>
      <c r="AB218" s="310"/>
      <c r="AC218" s="310"/>
      <c r="AD218" s="310"/>
      <c r="AE218" s="310"/>
      <c r="AF218" s="391"/>
      <c r="AG218" s="391"/>
      <c r="AH218" s="391"/>
      <c r="AI218" s="391"/>
      <c r="AJ218" s="391"/>
      <c r="AK218" s="310"/>
      <c r="AL218" s="310"/>
    </row>
    <row r="219" spans="1:38" ht="15.75" customHeight="1">
      <c r="A219" s="310"/>
      <c r="B219" s="310"/>
      <c r="C219" s="310"/>
      <c r="D219" s="310"/>
      <c r="E219" s="310"/>
      <c r="F219" s="311"/>
      <c r="G219" s="311"/>
      <c r="H219" s="1"/>
      <c r="I219" s="353"/>
      <c r="J219" s="353"/>
      <c r="K219" s="353"/>
      <c r="L219" s="353"/>
      <c r="M219" s="353"/>
      <c r="N219" s="353"/>
      <c r="O219" s="310"/>
      <c r="P219" s="310"/>
      <c r="Q219" s="310"/>
      <c r="R219" s="310"/>
      <c r="S219" s="310"/>
      <c r="T219" s="310"/>
      <c r="U219" s="310"/>
      <c r="V219" s="310"/>
      <c r="W219" s="310"/>
      <c r="X219" s="310"/>
      <c r="Y219" s="310"/>
      <c r="Z219" s="310"/>
      <c r="AA219" s="310"/>
      <c r="AB219" s="310"/>
      <c r="AC219" s="310"/>
      <c r="AD219" s="310"/>
      <c r="AE219" s="310"/>
      <c r="AF219" s="391"/>
      <c r="AG219" s="391"/>
      <c r="AH219" s="391"/>
      <c r="AI219" s="391"/>
      <c r="AJ219" s="391"/>
      <c r="AK219" s="310"/>
      <c r="AL219" s="310"/>
    </row>
    <row r="220" spans="1:38" ht="15.75" customHeight="1">
      <c r="A220" s="310"/>
      <c r="B220" s="310"/>
      <c r="C220" s="310"/>
      <c r="D220" s="310"/>
      <c r="E220" s="310"/>
      <c r="F220" s="311"/>
      <c r="G220" s="311"/>
      <c r="H220" s="1"/>
      <c r="I220" s="353"/>
      <c r="J220" s="353"/>
      <c r="K220" s="353"/>
      <c r="L220" s="353"/>
      <c r="M220" s="353"/>
      <c r="N220" s="353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  <c r="AA220" s="310"/>
      <c r="AB220" s="310"/>
      <c r="AC220" s="310"/>
      <c r="AD220" s="310"/>
      <c r="AE220" s="310"/>
      <c r="AF220" s="391"/>
      <c r="AG220" s="391"/>
      <c r="AH220" s="391"/>
      <c r="AI220" s="391"/>
      <c r="AJ220" s="391"/>
      <c r="AK220" s="310"/>
      <c r="AL220" s="310"/>
    </row>
    <row r="221" spans="1:38" ht="15.75" customHeight="1">
      <c r="A221" s="310"/>
      <c r="B221" s="310"/>
      <c r="C221" s="310"/>
      <c r="D221" s="310"/>
      <c r="E221" s="310"/>
      <c r="F221" s="311"/>
      <c r="G221" s="311"/>
      <c r="H221" s="1"/>
      <c r="I221" s="353"/>
      <c r="J221" s="353"/>
      <c r="K221" s="353"/>
      <c r="L221" s="353"/>
      <c r="M221" s="353"/>
      <c r="N221" s="353"/>
      <c r="O221" s="310"/>
      <c r="P221" s="310"/>
      <c r="Q221" s="310"/>
      <c r="R221" s="310"/>
      <c r="S221" s="310"/>
      <c r="T221" s="310"/>
      <c r="U221" s="310"/>
      <c r="V221" s="310"/>
      <c r="W221" s="310"/>
      <c r="X221" s="310"/>
      <c r="Y221" s="310"/>
      <c r="Z221" s="310"/>
      <c r="AA221" s="310"/>
      <c r="AB221" s="310"/>
      <c r="AC221" s="310"/>
      <c r="AD221" s="310"/>
      <c r="AE221" s="310"/>
      <c r="AF221" s="391"/>
      <c r="AG221" s="391"/>
      <c r="AH221" s="391"/>
      <c r="AI221" s="391"/>
      <c r="AJ221" s="391"/>
      <c r="AK221" s="310"/>
      <c r="AL221" s="310"/>
    </row>
    <row r="222" spans="1:38" ht="15.75" customHeight="1">
      <c r="A222" s="310"/>
      <c r="B222" s="310"/>
      <c r="C222" s="310"/>
      <c r="D222" s="310"/>
      <c r="E222" s="310"/>
      <c r="F222" s="311"/>
      <c r="G222" s="311"/>
      <c r="H222" s="1"/>
      <c r="I222" s="353"/>
      <c r="J222" s="353"/>
      <c r="K222" s="353"/>
      <c r="L222" s="353"/>
      <c r="M222" s="353"/>
      <c r="N222" s="353"/>
      <c r="O222" s="310"/>
      <c r="P222" s="310"/>
      <c r="Q222" s="310"/>
      <c r="R222" s="310"/>
      <c r="S222" s="310"/>
      <c r="T222" s="310"/>
      <c r="U222" s="310"/>
      <c r="V222" s="310"/>
      <c r="W222" s="310"/>
      <c r="X222" s="310"/>
      <c r="Y222" s="310"/>
      <c r="Z222" s="310"/>
      <c r="AA222" s="310"/>
      <c r="AB222" s="310"/>
      <c r="AC222" s="310"/>
      <c r="AD222" s="310"/>
      <c r="AE222" s="310"/>
      <c r="AF222" s="391"/>
      <c r="AG222" s="391"/>
      <c r="AH222" s="391"/>
      <c r="AI222" s="391"/>
      <c r="AJ222" s="391"/>
      <c r="AK222" s="310"/>
      <c r="AL222" s="310"/>
    </row>
    <row r="223" spans="1:38" ht="15.75" customHeight="1">
      <c r="A223" s="310"/>
      <c r="B223" s="310"/>
      <c r="C223" s="310"/>
      <c r="D223" s="310"/>
      <c r="E223" s="310"/>
      <c r="F223" s="311"/>
      <c r="G223" s="311"/>
      <c r="H223" s="1"/>
      <c r="I223" s="353"/>
      <c r="J223" s="353"/>
      <c r="K223" s="353"/>
      <c r="L223" s="353"/>
      <c r="M223" s="353"/>
      <c r="N223" s="353"/>
      <c r="O223" s="310"/>
      <c r="P223" s="310"/>
      <c r="Q223" s="310"/>
      <c r="R223" s="310"/>
      <c r="S223" s="310"/>
      <c r="T223" s="310"/>
      <c r="U223" s="310"/>
      <c r="V223" s="310"/>
      <c r="W223" s="310"/>
      <c r="X223" s="310"/>
      <c r="Y223" s="310"/>
      <c r="Z223" s="310"/>
      <c r="AA223" s="310"/>
      <c r="AB223" s="310"/>
      <c r="AC223" s="310"/>
      <c r="AD223" s="310"/>
      <c r="AE223" s="310"/>
      <c r="AF223" s="391"/>
      <c r="AG223" s="391"/>
      <c r="AH223" s="391"/>
      <c r="AI223" s="391"/>
      <c r="AJ223" s="391"/>
      <c r="AK223" s="310"/>
      <c r="AL223" s="310"/>
    </row>
    <row r="224" spans="1:38" ht="15.75" customHeight="1">
      <c r="A224" s="310"/>
      <c r="B224" s="310"/>
      <c r="C224" s="310"/>
      <c r="D224" s="310"/>
      <c r="E224" s="310"/>
      <c r="F224" s="311"/>
      <c r="G224" s="311"/>
      <c r="H224" s="1"/>
      <c r="I224" s="353"/>
      <c r="J224" s="353"/>
      <c r="K224" s="353"/>
      <c r="L224" s="353"/>
      <c r="M224" s="353"/>
      <c r="N224" s="353"/>
      <c r="O224" s="310"/>
      <c r="P224" s="310"/>
      <c r="Q224" s="310"/>
      <c r="R224" s="310"/>
      <c r="S224" s="310"/>
      <c r="T224" s="310"/>
      <c r="U224" s="310"/>
      <c r="V224" s="310"/>
      <c r="W224" s="310"/>
      <c r="X224" s="310"/>
      <c r="Y224" s="310"/>
      <c r="Z224" s="310"/>
      <c r="AA224" s="310"/>
      <c r="AB224" s="310"/>
      <c r="AC224" s="310"/>
      <c r="AD224" s="310"/>
      <c r="AE224" s="310"/>
      <c r="AF224" s="391"/>
      <c r="AG224" s="391"/>
      <c r="AH224" s="391"/>
      <c r="AI224" s="391"/>
      <c r="AJ224" s="391"/>
      <c r="AK224" s="310"/>
      <c r="AL224" s="310"/>
    </row>
    <row r="225" spans="1:38" ht="15.75" customHeight="1">
      <c r="A225" s="310"/>
      <c r="B225" s="310"/>
      <c r="C225" s="310"/>
      <c r="D225" s="310"/>
      <c r="E225" s="310"/>
      <c r="F225" s="311"/>
      <c r="G225" s="311"/>
      <c r="H225" s="1"/>
      <c r="I225" s="353"/>
      <c r="J225" s="353"/>
      <c r="K225" s="353"/>
      <c r="L225" s="353"/>
      <c r="M225" s="353"/>
      <c r="N225" s="353"/>
      <c r="O225" s="310"/>
      <c r="P225" s="310"/>
      <c r="Q225" s="310"/>
      <c r="R225" s="310"/>
      <c r="S225" s="310"/>
      <c r="T225" s="310"/>
      <c r="U225" s="310"/>
      <c r="V225" s="310"/>
      <c r="W225" s="310"/>
      <c r="X225" s="310"/>
      <c r="Y225" s="310"/>
      <c r="Z225" s="310"/>
      <c r="AA225" s="310"/>
      <c r="AB225" s="310"/>
      <c r="AC225" s="310"/>
      <c r="AD225" s="310"/>
      <c r="AE225" s="310"/>
      <c r="AF225" s="391"/>
      <c r="AG225" s="391"/>
      <c r="AH225" s="391"/>
      <c r="AI225" s="391"/>
      <c r="AJ225" s="391"/>
      <c r="AK225" s="310"/>
      <c r="AL225" s="310"/>
    </row>
    <row r="226" spans="1:38" ht="15.75" customHeight="1">
      <c r="A226" s="310"/>
      <c r="B226" s="310"/>
      <c r="C226" s="310"/>
      <c r="D226" s="310"/>
      <c r="E226" s="310"/>
      <c r="F226" s="311"/>
      <c r="G226" s="311"/>
      <c r="H226" s="1"/>
      <c r="I226" s="353"/>
      <c r="J226" s="353"/>
      <c r="K226" s="353"/>
      <c r="L226" s="353"/>
      <c r="M226" s="353"/>
      <c r="N226" s="353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  <c r="AA226" s="310"/>
      <c r="AB226" s="310"/>
      <c r="AC226" s="310"/>
      <c r="AD226" s="310"/>
      <c r="AE226" s="310"/>
      <c r="AF226" s="391"/>
      <c r="AG226" s="391"/>
      <c r="AH226" s="391"/>
      <c r="AI226" s="391"/>
      <c r="AJ226" s="391"/>
      <c r="AK226" s="310"/>
      <c r="AL226" s="310"/>
    </row>
    <row r="227" spans="1:38" ht="15.75" customHeight="1">
      <c r="A227" s="310"/>
      <c r="B227" s="310"/>
      <c r="C227" s="310"/>
      <c r="D227" s="310"/>
      <c r="E227" s="310"/>
      <c r="F227" s="311"/>
      <c r="G227" s="311"/>
      <c r="H227" s="1"/>
      <c r="I227" s="353"/>
      <c r="J227" s="353"/>
      <c r="K227" s="353"/>
      <c r="L227" s="353"/>
      <c r="M227" s="353"/>
      <c r="N227" s="353"/>
      <c r="O227" s="310"/>
      <c r="P227" s="310"/>
      <c r="Q227" s="310"/>
      <c r="R227" s="310"/>
      <c r="S227" s="310"/>
      <c r="T227" s="310"/>
      <c r="U227" s="310"/>
      <c r="V227" s="310"/>
      <c r="W227" s="310"/>
      <c r="X227" s="310"/>
      <c r="Y227" s="310"/>
      <c r="Z227" s="310"/>
      <c r="AA227" s="310"/>
      <c r="AB227" s="310"/>
      <c r="AC227" s="310"/>
      <c r="AD227" s="310"/>
      <c r="AE227" s="310"/>
      <c r="AF227" s="391"/>
      <c r="AG227" s="391"/>
      <c r="AH227" s="391"/>
      <c r="AI227" s="391"/>
      <c r="AJ227" s="391"/>
      <c r="AK227" s="310"/>
      <c r="AL227" s="310"/>
    </row>
    <row r="228" spans="1:38" ht="15.75" customHeight="1">
      <c r="A228" s="310"/>
      <c r="B228" s="310"/>
      <c r="C228" s="310"/>
      <c r="D228" s="310"/>
      <c r="E228" s="310"/>
      <c r="F228" s="311"/>
      <c r="G228" s="311"/>
      <c r="H228" s="1"/>
      <c r="I228" s="353"/>
      <c r="J228" s="353"/>
      <c r="K228" s="353"/>
      <c r="L228" s="353"/>
      <c r="M228" s="353"/>
      <c r="N228" s="353"/>
      <c r="O228" s="310"/>
      <c r="P228" s="310"/>
      <c r="Q228" s="310"/>
      <c r="R228" s="310"/>
      <c r="S228" s="310"/>
      <c r="T228" s="310"/>
      <c r="U228" s="310"/>
      <c r="V228" s="310"/>
      <c r="W228" s="310"/>
      <c r="X228" s="310"/>
      <c r="Y228" s="310"/>
      <c r="Z228" s="310"/>
      <c r="AA228" s="310"/>
      <c r="AB228" s="310"/>
      <c r="AC228" s="310"/>
      <c r="AD228" s="310"/>
      <c r="AE228" s="310"/>
      <c r="AF228" s="391"/>
      <c r="AG228" s="391"/>
      <c r="AH228" s="391"/>
      <c r="AI228" s="391"/>
      <c r="AJ228" s="391"/>
      <c r="AK228" s="310"/>
      <c r="AL228" s="310"/>
    </row>
    <row r="229" spans="1:38" ht="15.75" customHeight="1">
      <c r="A229" s="310"/>
      <c r="B229" s="310"/>
      <c r="C229" s="310"/>
      <c r="D229" s="310"/>
      <c r="E229" s="310"/>
      <c r="F229" s="311"/>
      <c r="G229" s="311"/>
      <c r="H229" s="1"/>
      <c r="I229" s="353"/>
      <c r="J229" s="353"/>
      <c r="K229" s="353"/>
      <c r="L229" s="353"/>
      <c r="M229" s="353"/>
      <c r="N229" s="353"/>
      <c r="O229" s="310"/>
      <c r="P229" s="310"/>
      <c r="Q229" s="310"/>
      <c r="R229" s="310"/>
      <c r="S229" s="310"/>
      <c r="T229" s="310"/>
      <c r="U229" s="310"/>
      <c r="V229" s="310"/>
      <c r="W229" s="310"/>
      <c r="X229" s="310"/>
      <c r="Y229" s="310"/>
      <c r="Z229" s="310"/>
      <c r="AA229" s="310"/>
      <c r="AB229" s="310"/>
      <c r="AC229" s="310"/>
      <c r="AD229" s="310"/>
      <c r="AE229" s="310"/>
      <c r="AF229" s="391"/>
      <c r="AG229" s="391"/>
      <c r="AH229" s="391"/>
      <c r="AI229" s="391"/>
      <c r="AJ229" s="391"/>
      <c r="AK229" s="310"/>
      <c r="AL229" s="310"/>
    </row>
    <row r="230" spans="1:38" ht="15.75" customHeight="1">
      <c r="A230" s="310"/>
      <c r="B230" s="310"/>
      <c r="C230" s="310"/>
      <c r="D230" s="310"/>
      <c r="E230" s="310"/>
      <c r="F230" s="311"/>
      <c r="G230" s="311"/>
      <c r="H230" s="1"/>
      <c r="I230" s="353"/>
      <c r="J230" s="353"/>
      <c r="K230" s="353"/>
      <c r="L230" s="353"/>
      <c r="M230" s="353"/>
      <c r="N230" s="353"/>
      <c r="O230" s="310"/>
      <c r="P230" s="310"/>
      <c r="Q230" s="310"/>
      <c r="R230" s="310"/>
      <c r="S230" s="310"/>
      <c r="T230" s="310"/>
      <c r="U230" s="310"/>
      <c r="V230" s="310"/>
      <c r="W230" s="310"/>
      <c r="X230" s="310"/>
      <c r="Y230" s="310"/>
      <c r="Z230" s="310"/>
      <c r="AA230" s="310"/>
      <c r="AB230" s="310"/>
      <c r="AC230" s="310"/>
      <c r="AD230" s="310"/>
      <c r="AE230" s="310"/>
      <c r="AF230" s="391"/>
      <c r="AG230" s="391"/>
      <c r="AH230" s="391"/>
      <c r="AI230" s="391"/>
      <c r="AJ230" s="391"/>
      <c r="AK230" s="310"/>
      <c r="AL230" s="310"/>
    </row>
    <row r="231" spans="1:38" ht="15.75" customHeight="1">
      <c r="A231" s="310"/>
      <c r="B231" s="310"/>
      <c r="C231" s="310"/>
      <c r="D231" s="310"/>
      <c r="E231" s="310"/>
      <c r="F231" s="311"/>
      <c r="G231" s="311"/>
      <c r="H231" s="1"/>
      <c r="I231" s="353"/>
      <c r="J231" s="353"/>
      <c r="K231" s="353"/>
      <c r="L231" s="353"/>
      <c r="M231" s="353"/>
      <c r="N231" s="353"/>
      <c r="O231" s="310"/>
      <c r="P231" s="310"/>
      <c r="Q231" s="310"/>
      <c r="R231" s="310"/>
      <c r="S231" s="310"/>
      <c r="T231" s="310"/>
      <c r="U231" s="310"/>
      <c r="V231" s="310"/>
      <c r="W231" s="310"/>
      <c r="X231" s="310"/>
      <c r="Y231" s="310"/>
      <c r="Z231" s="310"/>
      <c r="AA231" s="310"/>
      <c r="AB231" s="310"/>
      <c r="AC231" s="310"/>
      <c r="AD231" s="310"/>
      <c r="AE231" s="310"/>
      <c r="AF231" s="391"/>
      <c r="AG231" s="391"/>
      <c r="AH231" s="391"/>
      <c r="AI231" s="391"/>
      <c r="AJ231" s="391"/>
      <c r="AK231" s="310"/>
      <c r="AL231" s="310"/>
    </row>
    <row r="232" spans="1:38" ht="15.75" customHeight="1">
      <c r="A232" s="310"/>
      <c r="B232" s="310"/>
      <c r="C232" s="310"/>
      <c r="D232" s="310"/>
      <c r="E232" s="310"/>
      <c r="F232" s="311"/>
      <c r="G232" s="311"/>
      <c r="H232" s="1"/>
      <c r="I232" s="353"/>
      <c r="J232" s="353"/>
      <c r="K232" s="353"/>
      <c r="L232" s="353"/>
      <c r="M232" s="353"/>
      <c r="N232" s="353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  <c r="AA232" s="310"/>
      <c r="AB232" s="310"/>
      <c r="AC232" s="310"/>
      <c r="AD232" s="310"/>
      <c r="AE232" s="310"/>
      <c r="AF232" s="391"/>
      <c r="AG232" s="391"/>
      <c r="AH232" s="391"/>
      <c r="AI232" s="391"/>
      <c r="AJ232" s="391"/>
      <c r="AK232" s="310"/>
      <c r="AL232" s="310"/>
    </row>
    <row r="233" spans="1:38" ht="15.75" customHeight="1">
      <c r="A233" s="310"/>
      <c r="B233" s="310"/>
      <c r="C233" s="310"/>
      <c r="D233" s="310"/>
      <c r="E233" s="310"/>
      <c r="F233" s="311"/>
      <c r="G233" s="311"/>
      <c r="H233" s="1"/>
      <c r="I233" s="353"/>
      <c r="J233" s="353"/>
      <c r="K233" s="353"/>
      <c r="L233" s="353"/>
      <c r="M233" s="353"/>
      <c r="N233" s="353"/>
      <c r="O233" s="310"/>
      <c r="P233" s="310"/>
      <c r="Q233" s="310"/>
      <c r="R233" s="310"/>
      <c r="S233" s="310"/>
      <c r="T233" s="310"/>
      <c r="U233" s="310"/>
      <c r="V233" s="310"/>
      <c r="W233" s="310"/>
      <c r="X233" s="310"/>
      <c r="Y233" s="310"/>
      <c r="Z233" s="310"/>
      <c r="AA233" s="310"/>
      <c r="AB233" s="310"/>
      <c r="AC233" s="310"/>
      <c r="AD233" s="310"/>
      <c r="AE233" s="310"/>
      <c r="AF233" s="391"/>
      <c r="AG233" s="391"/>
      <c r="AH233" s="391"/>
      <c r="AI233" s="391"/>
      <c r="AJ233" s="391"/>
      <c r="AK233" s="310"/>
      <c r="AL233" s="310"/>
    </row>
    <row r="234" spans="1:38" ht="15.75" customHeight="1">
      <c r="A234" s="310"/>
      <c r="B234" s="310"/>
      <c r="C234" s="310"/>
      <c r="D234" s="310"/>
      <c r="E234" s="310"/>
      <c r="F234" s="311"/>
      <c r="G234" s="311"/>
      <c r="H234" s="1"/>
      <c r="I234" s="353"/>
      <c r="J234" s="353"/>
      <c r="K234" s="353"/>
      <c r="L234" s="353"/>
      <c r="M234" s="353"/>
      <c r="N234" s="353"/>
      <c r="O234" s="310"/>
      <c r="P234" s="310"/>
      <c r="Q234" s="310"/>
      <c r="R234" s="310"/>
      <c r="S234" s="310"/>
      <c r="T234" s="310"/>
      <c r="U234" s="310"/>
      <c r="V234" s="310"/>
      <c r="W234" s="310"/>
      <c r="X234" s="310"/>
      <c r="Y234" s="310"/>
      <c r="Z234" s="310"/>
      <c r="AA234" s="310"/>
      <c r="AB234" s="310"/>
      <c r="AC234" s="310"/>
      <c r="AD234" s="310"/>
      <c r="AE234" s="310"/>
      <c r="AF234" s="391"/>
      <c r="AG234" s="391"/>
      <c r="AH234" s="391"/>
      <c r="AI234" s="391"/>
      <c r="AJ234" s="391"/>
      <c r="AK234" s="310"/>
      <c r="AL234" s="310"/>
    </row>
    <row r="235" spans="1:38" ht="15.75" customHeight="1">
      <c r="A235" s="310"/>
      <c r="B235" s="310"/>
      <c r="C235" s="310"/>
      <c r="D235" s="310"/>
      <c r="E235" s="310"/>
      <c r="F235" s="311"/>
      <c r="G235" s="311"/>
      <c r="H235" s="1"/>
      <c r="I235" s="353"/>
      <c r="J235" s="353"/>
      <c r="K235" s="353"/>
      <c r="L235" s="353"/>
      <c r="M235" s="353"/>
      <c r="N235" s="353"/>
      <c r="O235" s="310"/>
      <c r="P235" s="310"/>
      <c r="Q235" s="310"/>
      <c r="R235" s="310"/>
      <c r="S235" s="310"/>
      <c r="T235" s="310"/>
      <c r="U235" s="310"/>
      <c r="V235" s="310"/>
      <c r="W235" s="310"/>
      <c r="X235" s="310"/>
      <c r="Y235" s="310"/>
      <c r="Z235" s="310"/>
      <c r="AA235" s="310"/>
      <c r="AB235" s="310"/>
      <c r="AC235" s="310"/>
      <c r="AD235" s="310"/>
      <c r="AE235" s="310"/>
      <c r="AF235" s="391"/>
      <c r="AG235" s="391"/>
      <c r="AH235" s="391"/>
      <c r="AI235" s="391"/>
      <c r="AJ235" s="391"/>
      <c r="AK235" s="310"/>
      <c r="AL235" s="310"/>
    </row>
    <row r="236" spans="1:38" ht="15.75" customHeight="1">
      <c r="A236" s="310"/>
      <c r="B236" s="310"/>
      <c r="C236" s="310"/>
      <c r="D236" s="310"/>
      <c r="E236" s="310"/>
      <c r="F236" s="311"/>
      <c r="G236" s="311"/>
      <c r="H236" s="1"/>
      <c r="I236" s="353"/>
      <c r="J236" s="353"/>
      <c r="K236" s="353"/>
      <c r="L236" s="353"/>
      <c r="M236" s="353"/>
      <c r="N236" s="353"/>
      <c r="O236" s="310"/>
      <c r="P236" s="310"/>
      <c r="Q236" s="310"/>
      <c r="R236" s="310"/>
      <c r="S236" s="310"/>
      <c r="T236" s="310"/>
      <c r="U236" s="310"/>
      <c r="V236" s="310"/>
      <c r="W236" s="310"/>
      <c r="X236" s="310"/>
      <c r="Y236" s="310"/>
      <c r="Z236" s="310"/>
      <c r="AA236" s="310"/>
      <c r="AB236" s="310"/>
      <c r="AC236" s="310"/>
      <c r="AD236" s="310"/>
      <c r="AE236" s="310"/>
      <c r="AF236" s="391"/>
      <c r="AG236" s="391"/>
      <c r="AH236" s="391"/>
      <c r="AI236" s="391"/>
      <c r="AJ236" s="391"/>
      <c r="AK236" s="310"/>
      <c r="AL236" s="310"/>
    </row>
    <row r="237" spans="1:38" ht="15.75" customHeight="1">
      <c r="A237" s="310"/>
      <c r="B237" s="310"/>
      <c r="C237" s="310"/>
      <c r="D237" s="310"/>
      <c r="E237" s="310"/>
      <c r="F237" s="311"/>
      <c r="G237" s="311"/>
      <c r="H237" s="1"/>
      <c r="I237" s="353"/>
      <c r="J237" s="353"/>
      <c r="K237" s="353"/>
      <c r="L237" s="353"/>
      <c r="M237" s="353"/>
      <c r="N237" s="353"/>
      <c r="O237" s="310"/>
      <c r="P237" s="310"/>
      <c r="Q237" s="310"/>
      <c r="R237" s="310"/>
      <c r="S237" s="310"/>
      <c r="T237" s="310"/>
      <c r="U237" s="310"/>
      <c r="V237" s="310"/>
      <c r="W237" s="310"/>
      <c r="X237" s="310"/>
      <c r="Y237" s="310"/>
      <c r="Z237" s="310"/>
      <c r="AA237" s="310"/>
      <c r="AB237" s="310"/>
      <c r="AC237" s="310"/>
      <c r="AD237" s="310"/>
      <c r="AE237" s="310"/>
      <c r="AF237" s="391"/>
      <c r="AG237" s="391"/>
      <c r="AH237" s="391"/>
      <c r="AI237" s="391"/>
      <c r="AJ237" s="391"/>
      <c r="AK237" s="310"/>
      <c r="AL237" s="310"/>
    </row>
    <row r="238" spans="1:38" ht="15.75" customHeight="1">
      <c r="A238" s="310"/>
      <c r="B238" s="310"/>
      <c r="C238" s="310"/>
      <c r="D238" s="310"/>
      <c r="E238" s="310"/>
      <c r="F238" s="311"/>
      <c r="G238" s="311"/>
      <c r="H238" s="1"/>
      <c r="I238" s="353"/>
      <c r="J238" s="353"/>
      <c r="K238" s="353"/>
      <c r="L238" s="353"/>
      <c r="M238" s="353"/>
      <c r="N238" s="353"/>
      <c r="O238" s="310"/>
      <c r="P238" s="310"/>
      <c r="Q238" s="310"/>
      <c r="R238" s="310"/>
      <c r="S238" s="310"/>
      <c r="T238" s="310"/>
      <c r="U238" s="310"/>
      <c r="V238" s="310"/>
      <c r="W238" s="310"/>
      <c r="X238" s="310"/>
      <c r="Y238" s="310"/>
      <c r="Z238" s="310"/>
      <c r="AA238" s="310"/>
      <c r="AB238" s="310"/>
      <c r="AC238" s="310"/>
      <c r="AD238" s="310"/>
      <c r="AE238" s="310"/>
      <c r="AF238" s="391"/>
      <c r="AG238" s="391"/>
      <c r="AH238" s="391"/>
      <c r="AI238" s="391"/>
      <c r="AJ238" s="391"/>
      <c r="AK238" s="310"/>
      <c r="AL238" s="310"/>
    </row>
    <row r="239" spans="1:38" ht="15.75" customHeight="1">
      <c r="A239" s="310"/>
      <c r="B239" s="310"/>
      <c r="C239" s="310"/>
      <c r="D239" s="310"/>
      <c r="E239" s="310"/>
      <c r="F239" s="311"/>
      <c r="G239" s="311"/>
      <c r="H239" s="1"/>
      <c r="I239" s="353"/>
      <c r="J239" s="353"/>
      <c r="K239" s="353"/>
      <c r="L239" s="353"/>
      <c r="M239" s="353"/>
      <c r="N239" s="353"/>
      <c r="O239" s="310"/>
      <c r="P239" s="310"/>
      <c r="Q239" s="310"/>
      <c r="R239" s="310"/>
      <c r="S239" s="310"/>
      <c r="T239" s="310"/>
      <c r="U239" s="310"/>
      <c r="V239" s="310"/>
      <c r="W239" s="310"/>
      <c r="X239" s="310"/>
      <c r="Y239" s="310"/>
      <c r="Z239" s="310"/>
      <c r="AA239" s="310"/>
      <c r="AB239" s="310"/>
      <c r="AC239" s="310"/>
      <c r="AD239" s="310"/>
      <c r="AE239" s="310"/>
      <c r="AF239" s="391"/>
      <c r="AG239" s="391"/>
      <c r="AH239" s="391"/>
      <c r="AI239" s="391"/>
      <c r="AJ239" s="391"/>
      <c r="AK239" s="310"/>
      <c r="AL239" s="310"/>
    </row>
    <row r="240" spans="1:38" ht="15.75" customHeight="1">
      <c r="A240" s="310"/>
      <c r="B240" s="310"/>
      <c r="C240" s="310"/>
      <c r="D240" s="310"/>
      <c r="E240" s="310"/>
      <c r="F240" s="311"/>
      <c r="G240" s="311"/>
      <c r="H240" s="1"/>
      <c r="I240" s="353"/>
      <c r="J240" s="353"/>
      <c r="K240" s="353"/>
      <c r="L240" s="353"/>
      <c r="M240" s="353"/>
      <c r="N240" s="353"/>
      <c r="O240" s="310"/>
      <c r="P240" s="310"/>
      <c r="Q240" s="310"/>
      <c r="R240" s="310"/>
      <c r="S240" s="310"/>
      <c r="T240" s="310"/>
      <c r="U240" s="310"/>
      <c r="V240" s="310"/>
      <c r="W240" s="310"/>
      <c r="X240" s="310"/>
      <c r="Y240" s="310"/>
      <c r="Z240" s="310"/>
      <c r="AA240" s="310"/>
      <c r="AB240" s="310"/>
      <c r="AC240" s="310"/>
      <c r="AD240" s="310"/>
      <c r="AE240" s="310"/>
      <c r="AF240" s="391"/>
      <c r="AG240" s="391"/>
      <c r="AH240" s="391"/>
      <c r="AI240" s="391"/>
      <c r="AJ240" s="391"/>
      <c r="AK240" s="310"/>
      <c r="AL240" s="310"/>
    </row>
    <row r="241" spans="1:38" ht="15.75" customHeight="1">
      <c r="A241" s="310"/>
      <c r="B241" s="310"/>
      <c r="C241" s="310"/>
      <c r="D241" s="310"/>
      <c r="E241" s="310"/>
      <c r="F241" s="311"/>
      <c r="G241" s="311"/>
      <c r="H241" s="1"/>
      <c r="I241" s="353"/>
      <c r="J241" s="353"/>
      <c r="K241" s="353"/>
      <c r="L241" s="353"/>
      <c r="M241" s="353"/>
      <c r="N241" s="353"/>
      <c r="O241" s="310"/>
      <c r="P241" s="310"/>
      <c r="Q241" s="310"/>
      <c r="R241" s="310"/>
      <c r="S241" s="310"/>
      <c r="T241" s="310"/>
      <c r="U241" s="310"/>
      <c r="V241" s="310"/>
      <c r="W241" s="310"/>
      <c r="X241" s="310"/>
      <c r="Y241" s="310"/>
      <c r="Z241" s="310"/>
      <c r="AA241" s="310"/>
      <c r="AB241" s="310"/>
      <c r="AC241" s="310"/>
      <c r="AD241" s="310"/>
      <c r="AE241" s="310"/>
      <c r="AF241" s="391"/>
      <c r="AG241" s="391"/>
      <c r="AH241" s="391"/>
      <c r="AI241" s="391"/>
      <c r="AJ241" s="391"/>
      <c r="AK241" s="310"/>
      <c r="AL241" s="310"/>
    </row>
    <row r="242" spans="1:38" ht="15.75" customHeight="1">
      <c r="A242" s="310"/>
      <c r="B242" s="310"/>
      <c r="C242" s="310"/>
      <c r="D242" s="310"/>
      <c r="E242" s="310"/>
      <c r="F242" s="311"/>
      <c r="G242" s="311"/>
      <c r="H242" s="1"/>
      <c r="I242" s="353"/>
      <c r="J242" s="353"/>
      <c r="K242" s="353"/>
      <c r="L242" s="353"/>
      <c r="M242" s="353"/>
      <c r="N242" s="353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310"/>
      <c r="AB242" s="310"/>
      <c r="AC242" s="310"/>
      <c r="AD242" s="310"/>
      <c r="AE242" s="310"/>
      <c r="AF242" s="391"/>
      <c r="AG242" s="391"/>
      <c r="AH242" s="391"/>
      <c r="AI242" s="391"/>
      <c r="AJ242" s="391"/>
      <c r="AK242" s="310"/>
      <c r="AL242" s="310"/>
    </row>
    <row r="243" spans="1:38" ht="15.75" customHeight="1">
      <c r="A243" s="310"/>
      <c r="B243" s="310"/>
      <c r="C243" s="310"/>
      <c r="D243" s="310"/>
      <c r="E243" s="310"/>
      <c r="F243" s="311"/>
      <c r="G243" s="311"/>
      <c r="H243" s="1"/>
      <c r="I243" s="353"/>
      <c r="J243" s="353"/>
      <c r="K243" s="353"/>
      <c r="L243" s="353"/>
      <c r="M243" s="353"/>
      <c r="N243" s="353"/>
      <c r="O243" s="310"/>
      <c r="P243" s="310"/>
      <c r="Q243" s="310"/>
      <c r="R243" s="310"/>
      <c r="S243" s="310"/>
      <c r="T243" s="310"/>
      <c r="U243" s="310"/>
      <c r="V243" s="310"/>
      <c r="W243" s="310"/>
      <c r="X243" s="310"/>
      <c r="Y243" s="310"/>
      <c r="Z243" s="310"/>
      <c r="AA243" s="310"/>
      <c r="AB243" s="310"/>
      <c r="AC243" s="310"/>
      <c r="AD243" s="310"/>
      <c r="AE243" s="310"/>
      <c r="AF243" s="391"/>
      <c r="AG243" s="391"/>
      <c r="AH243" s="391"/>
      <c r="AI243" s="391"/>
      <c r="AJ243" s="391"/>
      <c r="AK243" s="310"/>
      <c r="AL243" s="310"/>
    </row>
    <row r="244" spans="1:38" ht="15.75" customHeight="1">
      <c r="A244" s="310"/>
      <c r="B244" s="310"/>
      <c r="C244" s="310"/>
      <c r="D244" s="310"/>
      <c r="E244" s="310"/>
      <c r="F244" s="311"/>
      <c r="G244" s="311"/>
      <c r="H244" s="1"/>
      <c r="I244" s="353"/>
      <c r="J244" s="353"/>
      <c r="K244" s="353"/>
      <c r="L244" s="353"/>
      <c r="M244" s="353"/>
      <c r="N244" s="353"/>
      <c r="O244" s="310"/>
      <c r="P244" s="310"/>
      <c r="Q244" s="310"/>
      <c r="R244" s="310"/>
      <c r="S244" s="310"/>
      <c r="T244" s="310"/>
      <c r="U244" s="310"/>
      <c r="V244" s="310"/>
      <c r="W244" s="310"/>
      <c r="X244" s="310"/>
      <c r="Y244" s="310"/>
      <c r="Z244" s="310"/>
      <c r="AA244" s="310"/>
      <c r="AB244" s="310"/>
      <c r="AC244" s="310"/>
      <c r="AD244" s="310"/>
      <c r="AE244" s="310"/>
      <c r="AF244" s="391"/>
      <c r="AG244" s="391"/>
      <c r="AH244" s="391"/>
      <c r="AI244" s="391"/>
      <c r="AJ244" s="391"/>
      <c r="AK244" s="310"/>
      <c r="AL244" s="310"/>
    </row>
    <row r="245" spans="1:38" ht="15.75" customHeight="1">
      <c r="A245" s="310"/>
      <c r="B245" s="310"/>
      <c r="C245" s="310"/>
      <c r="D245" s="310"/>
      <c r="E245" s="310"/>
      <c r="F245" s="311"/>
      <c r="G245" s="311"/>
      <c r="H245" s="1"/>
      <c r="I245" s="353"/>
      <c r="J245" s="353"/>
      <c r="K245" s="353"/>
      <c r="L245" s="353"/>
      <c r="M245" s="353"/>
      <c r="N245" s="353"/>
      <c r="O245" s="310"/>
      <c r="P245" s="310"/>
      <c r="Q245" s="310"/>
      <c r="R245" s="310"/>
      <c r="S245" s="310"/>
      <c r="T245" s="310"/>
      <c r="U245" s="310"/>
      <c r="V245" s="310"/>
      <c r="W245" s="310"/>
      <c r="X245" s="310"/>
      <c r="Y245" s="310"/>
      <c r="Z245" s="310"/>
      <c r="AA245" s="310"/>
      <c r="AB245" s="310"/>
      <c r="AC245" s="310"/>
      <c r="AD245" s="310"/>
      <c r="AE245" s="310"/>
      <c r="AF245" s="391"/>
      <c r="AG245" s="391"/>
      <c r="AH245" s="391"/>
      <c r="AI245" s="391"/>
      <c r="AJ245" s="391"/>
      <c r="AK245" s="310"/>
      <c r="AL245" s="310"/>
    </row>
    <row r="246" spans="1:38" ht="15.75" customHeight="1">
      <c r="A246" s="310"/>
      <c r="B246" s="310"/>
      <c r="C246" s="310"/>
      <c r="D246" s="310"/>
      <c r="E246" s="310"/>
      <c r="F246" s="311"/>
      <c r="G246" s="311"/>
      <c r="H246" s="1"/>
      <c r="I246" s="353"/>
      <c r="J246" s="353"/>
      <c r="K246" s="353"/>
      <c r="L246" s="353"/>
      <c r="M246" s="353"/>
      <c r="N246" s="353"/>
      <c r="O246" s="310"/>
      <c r="P246" s="310"/>
      <c r="Q246" s="310"/>
      <c r="R246" s="310"/>
      <c r="S246" s="310"/>
      <c r="T246" s="310"/>
      <c r="U246" s="310"/>
      <c r="V246" s="310"/>
      <c r="W246" s="310"/>
      <c r="X246" s="310"/>
      <c r="Y246" s="310"/>
      <c r="Z246" s="310"/>
      <c r="AA246" s="310"/>
      <c r="AB246" s="310"/>
      <c r="AC246" s="310"/>
      <c r="AD246" s="310"/>
      <c r="AE246" s="310"/>
      <c r="AF246" s="391"/>
      <c r="AG246" s="391"/>
      <c r="AH246" s="391"/>
      <c r="AI246" s="391"/>
      <c r="AJ246" s="391"/>
      <c r="AK246" s="310"/>
      <c r="AL246" s="310"/>
    </row>
    <row r="247" spans="1:38" ht="15.75" customHeight="1">
      <c r="A247" s="310"/>
      <c r="B247" s="310"/>
      <c r="C247" s="310"/>
      <c r="D247" s="310"/>
      <c r="E247" s="310"/>
      <c r="F247" s="311"/>
      <c r="G247" s="311"/>
      <c r="H247" s="1"/>
      <c r="I247" s="353"/>
      <c r="J247" s="353"/>
      <c r="K247" s="353"/>
      <c r="L247" s="353"/>
      <c r="M247" s="353"/>
      <c r="N247" s="353"/>
      <c r="O247" s="310"/>
      <c r="P247" s="310"/>
      <c r="Q247" s="310"/>
      <c r="R247" s="310"/>
      <c r="S247" s="310"/>
      <c r="T247" s="310"/>
      <c r="U247" s="310"/>
      <c r="V247" s="310"/>
      <c r="W247" s="310"/>
      <c r="X247" s="310"/>
      <c r="Y247" s="310"/>
      <c r="Z247" s="310"/>
      <c r="AA247" s="310"/>
      <c r="AB247" s="310"/>
      <c r="AC247" s="310"/>
      <c r="AD247" s="310"/>
      <c r="AE247" s="310"/>
      <c r="AF247" s="391"/>
      <c r="AG247" s="391"/>
      <c r="AH247" s="391"/>
      <c r="AI247" s="391"/>
      <c r="AJ247" s="391"/>
      <c r="AK247" s="310"/>
      <c r="AL247" s="310"/>
    </row>
    <row r="248" spans="1:38" ht="15.75" customHeight="1">
      <c r="A248" s="310"/>
      <c r="B248" s="310"/>
      <c r="C248" s="310"/>
      <c r="D248" s="310"/>
      <c r="E248" s="310"/>
      <c r="F248" s="311"/>
      <c r="G248" s="311"/>
      <c r="H248" s="1"/>
      <c r="I248" s="353"/>
      <c r="J248" s="353"/>
      <c r="K248" s="353"/>
      <c r="L248" s="353"/>
      <c r="M248" s="353"/>
      <c r="N248" s="353"/>
      <c r="O248" s="310"/>
      <c r="P248" s="310"/>
      <c r="Q248" s="310"/>
      <c r="R248" s="310"/>
      <c r="S248" s="310"/>
      <c r="T248" s="310"/>
      <c r="U248" s="310"/>
      <c r="V248" s="310"/>
      <c r="W248" s="310"/>
      <c r="X248" s="310"/>
      <c r="Y248" s="310"/>
      <c r="Z248" s="310"/>
      <c r="AA248" s="310"/>
      <c r="AB248" s="310"/>
      <c r="AC248" s="310"/>
      <c r="AD248" s="310"/>
      <c r="AE248" s="310"/>
      <c r="AF248" s="391"/>
      <c r="AG248" s="391"/>
      <c r="AH248" s="391"/>
      <c r="AI248" s="391"/>
      <c r="AJ248" s="391"/>
      <c r="AK248" s="310"/>
      <c r="AL248" s="310"/>
    </row>
    <row r="249" spans="1:38" ht="15.75" customHeight="1">
      <c r="A249" s="310"/>
      <c r="B249" s="310"/>
      <c r="C249" s="310"/>
      <c r="D249" s="310"/>
      <c r="E249" s="310"/>
      <c r="F249" s="311"/>
      <c r="G249" s="311"/>
      <c r="H249" s="1"/>
      <c r="I249" s="353"/>
      <c r="J249" s="353"/>
      <c r="K249" s="353"/>
      <c r="L249" s="353"/>
      <c r="M249" s="353"/>
      <c r="N249" s="353"/>
      <c r="O249" s="310"/>
      <c r="P249" s="310"/>
      <c r="Q249" s="310"/>
      <c r="R249" s="310"/>
      <c r="S249" s="310"/>
      <c r="T249" s="310"/>
      <c r="U249" s="310"/>
      <c r="V249" s="310"/>
      <c r="W249" s="310"/>
      <c r="X249" s="310"/>
      <c r="Y249" s="310"/>
      <c r="Z249" s="310"/>
      <c r="AA249" s="310"/>
      <c r="AB249" s="310"/>
      <c r="AC249" s="310"/>
      <c r="AD249" s="310"/>
      <c r="AE249" s="310"/>
      <c r="AF249" s="391"/>
      <c r="AG249" s="391"/>
      <c r="AH249" s="391"/>
      <c r="AI249" s="391"/>
      <c r="AJ249" s="391"/>
      <c r="AK249" s="310"/>
      <c r="AL249" s="310"/>
    </row>
    <row r="250" spans="1:38" ht="15.75" customHeight="1">
      <c r="A250" s="310"/>
      <c r="B250" s="310"/>
      <c r="C250" s="310"/>
      <c r="D250" s="310"/>
      <c r="E250" s="310"/>
      <c r="F250" s="311"/>
      <c r="G250" s="311"/>
      <c r="H250" s="1"/>
      <c r="I250" s="353"/>
      <c r="J250" s="353"/>
      <c r="K250" s="353"/>
      <c r="L250" s="353"/>
      <c r="M250" s="353"/>
      <c r="N250" s="353"/>
      <c r="O250" s="310"/>
      <c r="P250" s="310"/>
      <c r="Q250" s="310"/>
      <c r="R250" s="310"/>
      <c r="S250" s="310"/>
      <c r="T250" s="310"/>
      <c r="U250" s="310"/>
      <c r="V250" s="310"/>
      <c r="W250" s="310"/>
      <c r="X250" s="310"/>
      <c r="Y250" s="310"/>
      <c r="Z250" s="310"/>
      <c r="AA250" s="310"/>
      <c r="AB250" s="310"/>
      <c r="AC250" s="310"/>
      <c r="AD250" s="310"/>
      <c r="AE250" s="310"/>
      <c r="AF250" s="391"/>
      <c r="AG250" s="391"/>
      <c r="AH250" s="391"/>
      <c r="AI250" s="391"/>
      <c r="AJ250" s="391"/>
      <c r="AK250" s="310"/>
      <c r="AL250" s="310"/>
    </row>
    <row r="251" spans="1:38" ht="15.75" customHeight="1">
      <c r="A251" s="310"/>
      <c r="B251" s="310"/>
      <c r="C251" s="310"/>
      <c r="D251" s="310"/>
      <c r="E251" s="310"/>
      <c r="F251" s="311"/>
      <c r="G251" s="311"/>
      <c r="H251" s="1"/>
      <c r="I251" s="353"/>
      <c r="J251" s="353"/>
      <c r="K251" s="353"/>
      <c r="L251" s="353"/>
      <c r="M251" s="353"/>
      <c r="N251" s="353"/>
      <c r="O251" s="310"/>
      <c r="P251" s="310"/>
      <c r="Q251" s="310"/>
      <c r="R251" s="310"/>
      <c r="S251" s="310"/>
      <c r="T251" s="310"/>
      <c r="U251" s="310"/>
      <c r="V251" s="310"/>
      <c r="W251" s="310"/>
      <c r="X251" s="310"/>
      <c r="Y251" s="310"/>
      <c r="Z251" s="310"/>
      <c r="AA251" s="310"/>
      <c r="AB251" s="310"/>
      <c r="AC251" s="310"/>
      <c r="AD251" s="310"/>
      <c r="AE251" s="310"/>
      <c r="AF251" s="391"/>
      <c r="AG251" s="391"/>
      <c r="AH251" s="391"/>
      <c r="AI251" s="391"/>
      <c r="AJ251" s="391"/>
      <c r="AK251" s="310"/>
      <c r="AL251" s="310"/>
    </row>
    <row r="252" spans="1:38" ht="15.75" customHeight="1">
      <c r="A252" s="310"/>
      <c r="B252" s="310"/>
      <c r="C252" s="310"/>
      <c r="D252" s="310"/>
      <c r="E252" s="310"/>
      <c r="F252" s="311"/>
      <c r="G252" s="311"/>
      <c r="H252" s="1"/>
      <c r="I252" s="353"/>
      <c r="J252" s="353"/>
      <c r="K252" s="353"/>
      <c r="L252" s="353"/>
      <c r="M252" s="353"/>
      <c r="N252" s="353"/>
      <c r="O252" s="310"/>
      <c r="P252" s="310"/>
      <c r="Q252" s="310"/>
      <c r="R252" s="310"/>
      <c r="S252" s="310"/>
      <c r="T252" s="310"/>
      <c r="U252" s="310"/>
      <c r="V252" s="310"/>
      <c r="W252" s="310"/>
      <c r="X252" s="310"/>
      <c r="Y252" s="310"/>
      <c r="Z252" s="310"/>
      <c r="AA252" s="310"/>
      <c r="AB252" s="310"/>
      <c r="AC252" s="310"/>
      <c r="AD252" s="310"/>
      <c r="AE252" s="310"/>
      <c r="AF252" s="391"/>
      <c r="AG252" s="391"/>
      <c r="AH252" s="391"/>
      <c r="AI252" s="391"/>
      <c r="AJ252" s="391"/>
      <c r="AK252" s="310"/>
      <c r="AL252" s="310"/>
    </row>
    <row r="253" spans="1:38" ht="15.75" customHeight="1">
      <c r="A253" s="310"/>
      <c r="B253" s="310"/>
      <c r="C253" s="310"/>
      <c r="D253" s="310"/>
      <c r="E253" s="310"/>
      <c r="F253" s="311"/>
      <c r="G253" s="311"/>
      <c r="H253" s="1"/>
      <c r="I253" s="353"/>
      <c r="J253" s="353"/>
      <c r="K253" s="353"/>
      <c r="L253" s="353"/>
      <c r="M253" s="353"/>
      <c r="N253" s="353"/>
      <c r="O253" s="310"/>
      <c r="P253" s="310"/>
      <c r="Q253" s="310"/>
      <c r="R253" s="310"/>
      <c r="S253" s="310"/>
      <c r="T253" s="310"/>
      <c r="U253" s="310"/>
      <c r="V253" s="310"/>
      <c r="W253" s="310"/>
      <c r="X253" s="310"/>
      <c r="Y253" s="310"/>
      <c r="Z253" s="310"/>
      <c r="AA253" s="310"/>
      <c r="AB253" s="310"/>
      <c r="AC253" s="310"/>
      <c r="AD253" s="310"/>
      <c r="AE253" s="310"/>
      <c r="AF253" s="391"/>
      <c r="AG253" s="391"/>
      <c r="AH253" s="391"/>
      <c r="AI253" s="391"/>
      <c r="AJ253" s="391"/>
      <c r="AK253" s="310"/>
      <c r="AL253" s="310"/>
    </row>
    <row r="254" spans="1:38" ht="15.75" customHeight="1">
      <c r="A254" s="310"/>
      <c r="B254" s="310"/>
      <c r="C254" s="310"/>
      <c r="D254" s="310"/>
      <c r="E254" s="310"/>
      <c r="F254" s="311"/>
      <c r="G254" s="311"/>
      <c r="H254" s="1"/>
      <c r="I254" s="353"/>
      <c r="J254" s="353"/>
      <c r="K254" s="353"/>
      <c r="L254" s="353"/>
      <c r="M254" s="353"/>
      <c r="N254" s="353"/>
      <c r="O254" s="310"/>
      <c r="P254" s="310"/>
      <c r="Q254" s="310"/>
      <c r="R254" s="310"/>
      <c r="S254" s="310"/>
      <c r="T254" s="310"/>
      <c r="U254" s="310"/>
      <c r="V254" s="310"/>
      <c r="W254" s="310"/>
      <c r="X254" s="310"/>
      <c r="Y254" s="310"/>
      <c r="Z254" s="310"/>
      <c r="AA254" s="310"/>
      <c r="AB254" s="310"/>
      <c r="AC254" s="310"/>
      <c r="AD254" s="310"/>
      <c r="AE254" s="310"/>
      <c r="AF254" s="391"/>
      <c r="AG254" s="391"/>
      <c r="AH254" s="391"/>
      <c r="AI254" s="391"/>
      <c r="AJ254" s="391"/>
      <c r="AK254" s="310"/>
      <c r="AL254" s="310"/>
    </row>
    <row r="255" spans="1:38" ht="15.75" customHeight="1">
      <c r="A255" s="310"/>
      <c r="B255" s="310"/>
      <c r="C255" s="310"/>
      <c r="D255" s="310"/>
      <c r="E255" s="310"/>
      <c r="F255" s="311"/>
      <c r="G255" s="311"/>
      <c r="H255" s="1"/>
      <c r="I255" s="353"/>
      <c r="J255" s="353"/>
      <c r="K255" s="353"/>
      <c r="L255" s="353"/>
      <c r="M255" s="353"/>
      <c r="N255" s="353"/>
      <c r="O255" s="310"/>
      <c r="P255" s="310"/>
      <c r="Q255" s="310"/>
      <c r="R255" s="310"/>
      <c r="S255" s="310"/>
      <c r="T255" s="310"/>
      <c r="U255" s="310"/>
      <c r="V255" s="310"/>
      <c r="W255" s="310"/>
      <c r="X255" s="310"/>
      <c r="Y255" s="310"/>
      <c r="Z255" s="310"/>
      <c r="AA255" s="310"/>
      <c r="AB255" s="310"/>
      <c r="AC255" s="310"/>
      <c r="AD255" s="310"/>
      <c r="AE255" s="310"/>
      <c r="AF255" s="391"/>
      <c r="AG255" s="391"/>
      <c r="AH255" s="391"/>
      <c r="AI255" s="391"/>
      <c r="AJ255" s="391"/>
      <c r="AK255" s="310"/>
      <c r="AL255" s="310"/>
    </row>
    <row r="256" spans="1:38" ht="15.75" customHeight="1">
      <c r="A256" s="310"/>
      <c r="B256" s="310"/>
      <c r="C256" s="310"/>
      <c r="D256" s="310"/>
      <c r="E256" s="310"/>
      <c r="F256" s="311"/>
      <c r="G256" s="311"/>
      <c r="H256" s="1"/>
      <c r="I256" s="353"/>
      <c r="J256" s="353"/>
      <c r="K256" s="353"/>
      <c r="L256" s="353"/>
      <c r="M256" s="353"/>
      <c r="N256" s="353"/>
      <c r="O256" s="310"/>
      <c r="P256" s="310"/>
      <c r="Q256" s="310"/>
      <c r="R256" s="310"/>
      <c r="S256" s="310"/>
      <c r="T256" s="310"/>
      <c r="U256" s="310"/>
      <c r="V256" s="310"/>
      <c r="W256" s="310"/>
      <c r="X256" s="310"/>
      <c r="Y256" s="310"/>
      <c r="Z256" s="310"/>
      <c r="AA256" s="310"/>
      <c r="AB256" s="310"/>
      <c r="AC256" s="310"/>
      <c r="AD256" s="310"/>
      <c r="AE256" s="310"/>
      <c r="AF256" s="391"/>
      <c r="AG256" s="391"/>
      <c r="AH256" s="391"/>
      <c r="AI256" s="391"/>
      <c r="AJ256" s="391"/>
      <c r="AK256" s="310"/>
      <c r="AL256" s="310"/>
    </row>
    <row r="257" spans="1:38" ht="15.75" customHeight="1">
      <c r="A257" s="310"/>
      <c r="B257" s="310"/>
      <c r="C257" s="310"/>
      <c r="D257" s="310"/>
      <c r="E257" s="310"/>
      <c r="F257" s="311"/>
      <c r="G257" s="311"/>
      <c r="H257" s="1"/>
      <c r="I257" s="353"/>
      <c r="J257" s="353"/>
      <c r="K257" s="353"/>
      <c r="L257" s="353"/>
      <c r="M257" s="353"/>
      <c r="N257" s="353"/>
      <c r="O257" s="310"/>
      <c r="P257" s="310"/>
      <c r="Q257" s="310"/>
      <c r="R257" s="310"/>
      <c r="S257" s="310"/>
      <c r="T257" s="310"/>
      <c r="U257" s="310"/>
      <c r="V257" s="310"/>
      <c r="W257" s="310"/>
      <c r="X257" s="310"/>
      <c r="Y257" s="310"/>
      <c r="Z257" s="310"/>
      <c r="AA257" s="310"/>
      <c r="AB257" s="310"/>
      <c r="AC257" s="310"/>
      <c r="AD257" s="310"/>
      <c r="AE257" s="310"/>
      <c r="AF257" s="391"/>
      <c r="AG257" s="391"/>
      <c r="AH257" s="391"/>
      <c r="AI257" s="391"/>
      <c r="AJ257" s="391"/>
      <c r="AK257" s="310"/>
      <c r="AL257" s="310"/>
    </row>
    <row r="258" spans="1:38" ht="15.75" customHeight="1">
      <c r="A258" s="310"/>
      <c r="B258" s="310"/>
      <c r="C258" s="310"/>
      <c r="D258" s="310"/>
      <c r="E258" s="310"/>
      <c r="F258" s="311"/>
      <c r="G258" s="311"/>
      <c r="H258" s="1"/>
      <c r="I258" s="353"/>
      <c r="J258" s="353"/>
      <c r="K258" s="353"/>
      <c r="L258" s="353"/>
      <c r="M258" s="353"/>
      <c r="N258" s="353"/>
      <c r="O258" s="310"/>
      <c r="P258" s="310"/>
      <c r="Q258" s="310"/>
      <c r="R258" s="310"/>
      <c r="S258" s="310"/>
      <c r="T258" s="310"/>
      <c r="U258" s="310"/>
      <c r="V258" s="310"/>
      <c r="W258" s="310"/>
      <c r="X258" s="310"/>
      <c r="Y258" s="310"/>
      <c r="Z258" s="310"/>
      <c r="AA258" s="310"/>
      <c r="AB258" s="310"/>
      <c r="AC258" s="310"/>
      <c r="AD258" s="310"/>
      <c r="AE258" s="310"/>
      <c r="AF258" s="391"/>
      <c r="AG258" s="391"/>
      <c r="AH258" s="391"/>
      <c r="AI258" s="391"/>
      <c r="AJ258" s="391"/>
      <c r="AK258" s="310"/>
      <c r="AL258" s="310"/>
    </row>
    <row r="259" spans="1:38" ht="15.75" customHeight="1">
      <c r="A259" s="310"/>
      <c r="B259" s="310"/>
      <c r="C259" s="310"/>
      <c r="D259" s="310"/>
      <c r="E259" s="310"/>
      <c r="F259" s="311"/>
      <c r="G259" s="311"/>
      <c r="H259" s="1"/>
      <c r="I259" s="353"/>
      <c r="J259" s="353"/>
      <c r="K259" s="353"/>
      <c r="L259" s="353"/>
      <c r="M259" s="353"/>
      <c r="N259" s="353"/>
      <c r="O259" s="310"/>
      <c r="P259" s="310"/>
      <c r="Q259" s="310"/>
      <c r="R259" s="310"/>
      <c r="S259" s="310"/>
      <c r="T259" s="310"/>
      <c r="U259" s="310"/>
      <c r="V259" s="310"/>
      <c r="W259" s="310"/>
      <c r="X259" s="310"/>
      <c r="Y259" s="310"/>
      <c r="Z259" s="310"/>
      <c r="AA259" s="310"/>
      <c r="AB259" s="310"/>
      <c r="AC259" s="310"/>
      <c r="AD259" s="310"/>
      <c r="AE259" s="310"/>
      <c r="AF259" s="391"/>
      <c r="AG259" s="391"/>
      <c r="AH259" s="391"/>
      <c r="AI259" s="391"/>
      <c r="AJ259" s="391"/>
      <c r="AK259" s="310"/>
      <c r="AL259" s="310"/>
    </row>
    <row r="260" spans="1:38" ht="15.75" customHeight="1">
      <c r="A260" s="310"/>
      <c r="B260" s="310"/>
      <c r="C260" s="310"/>
      <c r="D260" s="310"/>
      <c r="E260" s="310"/>
      <c r="F260" s="311"/>
      <c r="G260" s="311"/>
      <c r="H260" s="1"/>
      <c r="I260" s="353"/>
      <c r="J260" s="353"/>
      <c r="K260" s="353"/>
      <c r="L260" s="353"/>
      <c r="M260" s="353"/>
      <c r="N260" s="353"/>
      <c r="O260" s="310"/>
      <c r="P260" s="310"/>
      <c r="Q260" s="310"/>
      <c r="R260" s="310"/>
      <c r="S260" s="310"/>
      <c r="T260" s="310"/>
      <c r="U260" s="310"/>
      <c r="V260" s="310"/>
      <c r="W260" s="310"/>
      <c r="X260" s="310"/>
      <c r="Y260" s="310"/>
      <c r="Z260" s="310"/>
      <c r="AA260" s="310"/>
      <c r="AB260" s="310"/>
      <c r="AC260" s="310"/>
      <c r="AD260" s="310"/>
      <c r="AE260" s="310"/>
      <c r="AF260" s="391"/>
      <c r="AG260" s="391"/>
      <c r="AH260" s="391"/>
      <c r="AI260" s="391"/>
      <c r="AJ260" s="391"/>
      <c r="AK260" s="310"/>
      <c r="AL260" s="310"/>
    </row>
    <row r="261" spans="1:38" ht="15.75" customHeight="1">
      <c r="A261" s="310"/>
      <c r="B261" s="310"/>
      <c r="C261" s="310"/>
      <c r="D261" s="310"/>
      <c r="E261" s="310"/>
      <c r="F261" s="311"/>
      <c r="G261" s="311"/>
      <c r="H261" s="1"/>
      <c r="I261" s="353"/>
      <c r="J261" s="353"/>
      <c r="K261" s="353"/>
      <c r="L261" s="353"/>
      <c r="M261" s="353"/>
      <c r="N261" s="353"/>
      <c r="O261" s="310"/>
      <c r="P261" s="310"/>
      <c r="Q261" s="310"/>
      <c r="R261" s="310"/>
      <c r="S261" s="310"/>
      <c r="T261" s="310"/>
      <c r="U261" s="310"/>
      <c r="V261" s="310"/>
      <c r="W261" s="310"/>
      <c r="X261" s="310"/>
      <c r="Y261" s="310"/>
      <c r="Z261" s="310"/>
      <c r="AA261" s="310"/>
      <c r="AB261" s="310"/>
      <c r="AC261" s="310"/>
      <c r="AD261" s="310"/>
      <c r="AE261" s="310"/>
      <c r="AF261" s="391"/>
      <c r="AG261" s="391"/>
      <c r="AH261" s="391"/>
      <c r="AI261" s="391"/>
      <c r="AJ261" s="391"/>
      <c r="AK261" s="310"/>
      <c r="AL261" s="310"/>
    </row>
    <row r="262" spans="1:38" ht="15.75" customHeight="1">
      <c r="A262" s="310"/>
      <c r="B262" s="310"/>
      <c r="C262" s="310"/>
      <c r="D262" s="310"/>
      <c r="E262" s="310"/>
      <c r="F262" s="311"/>
      <c r="G262" s="311"/>
      <c r="H262" s="1"/>
      <c r="I262" s="353"/>
      <c r="J262" s="353"/>
      <c r="K262" s="353"/>
      <c r="L262" s="353"/>
      <c r="M262" s="353"/>
      <c r="N262" s="353"/>
      <c r="O262" s="310"/>
      <c r="P262" s="310"/>
      <c r="Q262" s="310"/>
      <c r="R262" s="310"/>
      <c r="S262" s="310"/>
      <c r="T262" s="310"/>
      <c r="U262" s="310"/>
      <c r="V262" s="310"/>
      <c r="W262" s="310"/>
      <c r="X262" s="310"/>
      <c r="Y262" s="310"/>
      <c r="Z262" s="310"/>
      <c r="AA262" s="310"/>
      <c r="AB262" s="310"/>
      <c r="AC262" s="310"/>
      <c r="AD262" s="310"/>
      <c r="AE262" s="310"/>
      <c r="AF262" s="391"/>
      <c r="AG262" s="391"/>
      <c r="AH262" s="391"/>
      <c r="AI262" s="391"/>
      <c r="AJ262" s="391"/>
      <c r="AK262" s="310"/>
      <c r="AL262" s="310"/>
    </row>
    <row r="263" spans="1:38" ht="15.75" customHeight="1">
      <c r="A263" s="310"/>
      <c r="B263" s="310"/>
      <c r="C263" s="310"/>
      <c r="D263" s="310"/>
      <c r="E263" s="310"/>
      <c r="F263" s="311"/>
      <c r="G263" s="311"/>
      <c r="H263" s="1"/>
      <c r="I263" s="353"/>
      <c r="J263" s="353"/>
      <c r="K263" s="353"/>
      <c r="L263" s="353"/>
      <c r="M263" s="353"/>
      <c r="N263" s="353"/>
      <c r="O263" s="310"/>
      <c r="P263" s="310"/>
      <c r="Q263" s="310"/>
      <c r="R263" s="310"/>
      <c r="S263" s="310"/>
      <c r="T263" s="310"/>
      <c r="U263" s="310"/>
      <c r="V263" s="310"/>
      <c r="W263" s="310"/>
      <c r="X263" s="310"/>
      <c r="Y263" s="310"/>
      <c r="Z263" s="310"/>
      <c r="AA263" s="310"/>
      <c r="AB263" s="310"/>
      <c r="AC263" s="310"/>
      <c r="AD263" s="310"/>
      <c r="AE263" s="310"/>
      <c r="AF263" s="391"/>
      <c r="AG263" s="391"/>
      <c r="AH263" s="391"/>
      <c r="AI263" s="391"/>
      <c r="AJ263" s="391"/>
      <c r="AK263" s="310"/>
      <c r="AL263" s="310"/>
    </row>
    <row r="264" spans="1:38" ht="15.75" customHeight="1">
      <c r="A264" s="310"/>
      <c r="B264" s="310"/>
      <c r="C264" s="310"/>
      <c r="D264" s="310"/>
      <c r="E264" s="310"/>
      <c r="F264" s="311"/>
      <c r="G264" s="311"/>
      <c r="H264" s="1"/>
      <c r="I264" s="353"/>
      <c r="J264" s="353"/>
      <c r="K264" s="353"/>
      <c r="L264" s="353"/>
      <c r="M264" s="353"/>
      <c r="N264" s="353"/>
      <c r="O264" s="310"/>
      <c r="P264" s="310"/>
      <c r="Q264" s="310"/>
      <c r="R264" s="310"/>
      <c r="S264" s="310"/>
      <c r="T264" s="310"/>
      <c r="U264" s="310"/>
      <c r="V264" s="310"/>
      <c r="W264" s="310"/>
      <c r="X264" s="310"/>
      <c r="Y264" s="310"/>
      <c r="Z264" s="310"/>
      <c r="AA264" s="310"/>
      <c r="AB264" s="310"/>
      <c r="AC264" s="310"/>
      <c r="AD264" s="310"/>
      <c r="AE264" s="310"/>
      <c r="AF264" s="391"/>
      <c r="AG264" s="391"/>
      <c r="AH264" s="391"/>
      <c r="AI264" s="391"/>
      <c r="AJ264" s="391"/>
      <c r="AK264" s="310"/>
      <c r="AL264" s="310"/>
    </row>
    <row r="265" spans="1:38" ht="15.75" customHeight="1">
      <c r="A265" s="310"/>
      <c r="B265" s="310"/>
      <c r="C265" s="310"/>
      <c r="D265" s="310"/>
      <c r="E265" s="310"/>
      <c r="F265" s="311"/>
      <c r="G265" s="311"/>
      <c r="H265" s="1"/>
      <c r="I265" s="353"/>
      <c r="J265" s="353"/>
      <c r="K265" s="353"/>
      <c r="L265" s="353"/>
      <c r="M265" s="353"/>
      <c r="N265" s="353"/>
      <c r="O265" s="310"/>
      <c r="P265" s="310"/>
      <c r="Q265" s="310"/>
      <c r="R265" s="310"/>
      <c r="S265" s="310"/>
      <c r="T265" s="310"/>
      <c r="U265" s="310"/>
      <c r="V265" s="310"/>
      <c r="W265" s="310"/>
      <c r="X265" s="310"/>
      <c r="Y265" s="310"/>
      <c r="Z265" s="310"/>
      <c r="AA265" s="310"/>
      <c r="AB265" s="310"/>
      <c r="AC265" s="310"/>
      <c r="AD265" s="310"/>
      <c r="AE265" s="310"/>
      <c r="AF265" s="391"/>
      <c r="AG265" s="391"/>
      <c r="AH265" s="391"/>
      <c r="AI265" s="391"/>
      <c r="AJ265" s="391"/>
      <c r="AK265" s="310"/>
      <c r="AL265" s="310"/>
    </row>
    <row r="266" spans="1:38" ht="15.75" customHeight="1">
      <c r="A266" s="310"/>
      <c r="B266" s="310"/>
      <c r="C266" s="310"/>
      <c r="D266" s="310"/>
      <c r="E266" s="310"/>
      <c r="F266" s="311"/>
      <c r="G266" s="311"/>
      <c r="H266" s="1"/>
      <c r="I266" s="353"/>
      <c r="J266" s="353"/>
      <c r="K266" s="353"/>
      <c r="L266" s="353"/>
      <c r="M266" s="353"/>
      <c r="N266" s="353"/>
      <c r="O266" s="310"/>
      <c r="P266" s="310"/>
      <c r="Q266" s="310"/>
      <c r="R266" s="310"/>
      <c r="S266" s="310"/>
      <c r="T266" s="310"/>
      <c r="U266" s="310"/>
      <c r="V266" s="310"/>
      <c r="W266" s="310"/>
      <c r="X266" s="310"/>
      <c r="Y266" s="310"/>
      <c r="Z266" s="310"/>
      <c r="AA266" s="310"/>
      <c r="AB266" s="310"/>
      <c r="AC266" s="310"/>
      <c r="AD266" s="310"/>
      <c r="AE266" s="310"/>
      <c r="AF266" s="391"/>
      <c r="AG266" s="391"/>
      <c r="AH266" s="391"/>
      <c r="AI266" s="391"/>
      <c r="AJ266" s="391"/>
      <c r="AK266" s="310"/>
      <c r="AL266" s="310"/>
    </row>
    <row r="267" spans="1:38" ht="15.75" customHeight="1">
      <c r="A267" s="310"/>
      <c r="B267" s="310"/>
      <c r="C267" s="310"/>
      <c r="D267" s="310"/>
      <c r="E267" s="310"/>
      <c r="F267" s="311"/>
      <c r="G267" s="311"/>
      <c r="H267" s="1"/>
      <c r="I267" s="353"/>
      <c r="J267" s="353"/>
      <c r="K267" s="353"/>
      <c r="L267" s="353"/>
      <c r="M267" s="353"/>
      <c r="N267" s="353"/>
      <c r="O267" s="310"/>
      <c r="P267" s="310"/>
      <c r="Q267" s="310"/>
      <c r="R267" s="310"/>
      <c r="S267" s="310"/>
      <c r="T267" s="310"/>
      <c r="U267" s="310"/>
      <c r="V267" s="310"/>
      <c r="W267" s="310"/>
      <c r="X267" s="310"/>
      <c r="Y267" s="310"/>
      <c r="Z267" s="310"/>
      <c r="AA267" s="310"/>
      <c r="AB267" s="310"/>
      <c r="AC267" s="310"/>
      <c r="AD267" s="310"/>
      <c r="AE267" s="310"/>
      <c r="AF267" s="391"/>
      <c r="AG267" s="391"/>
      <c r="AH267" s="391"/>
      <c r="AI267" s="391"/>
      <c r="AJ267" s="391"/>
      <c r="AK267" s="310"/>
      <c r="AL267" s="310"/>
    </row>
    <row r="268" spans="1:38" ht="15.75" customHeight="1">
      <c r="A268" s="310"/>
      <c r="B268" s="310"/>
      <c r="C268" s="310"/>
      <c r="D268" s="310"/>
      <c r="E268" s="310"/>
      <c r="F268" s="311"/>
      <c r="G268" s="311"/>
      <c r="H268" s="1"/>
      <c r="I268" s="353"/>
      <c r="J268" s="353"/>
      <c r="K268" s="353"/>
      <c r="L268" s="353"/>
      <c r="M268" s="353"/>
      <c r="N268" s="353"/>
      <c r="O268" s="310"/>
      <c r="P268" s="310"/>
      <c r="Q268" s="310"/>
      <c r="R268" s="310"/>
      <c r="S268" s="310"/>
      <c r="T268" s="310"/>
      <c r="U268" s="310"/>
      <c r="V268" s="310"/>
      <c r="W268" s="310"/>
      <c r="X268" s="310"/>
      <c r="Y268" s="310"/>
      <c r="Z268" s="310"/>
      <c r="AA268" s="310"/>
      <c r="AB268" s="310"/>
      <c r="AC268" s="310"/>
      <c r="AD268" s="310"/>
      <c r="AE268" s="310"/>
      <c r="AF268" s="391"/>
      <c r="AG268" s="391"/>
      <c r="AH268" s="391"/>
      <c r="AI268" s="391"/>
      <c r="AJ268" s="391"/>
      <c r="AK268" s="310"/>
      <c r="AL268" s="310"/>
    </row>
    <row r="269" spans="1:38" ht="15.75" customHeight="1">
      <c r="A269" s="310"/>
      <c r="B269" s="310"/>
      <c r="C269" s="310"/>
      <c r="D269" s="310"/>
      <c r="E269" s="310"/>
      <c r="F269" s="311"/>
      <c r="G269" s="311"/>
      <c r="H269" s="1"/>
      <c r="I269" s="353"/>
      <c r="J269" s="353"/>
      <c r="K269" s="353"/>
      <c r="L269" s="353"/>
      <c r="M269" s="353"/>
      <c r="N269" s="353"/>
      <c r="O269" s="310"/>
      <c r="P269" s="310"/>
      <c r="Q269" s="310"/>
      <c r="R269" s="310"/>
      <c r="S269" s="310"/>
      <c r="T269" s="310"/>
      <c r="U269" s="310"/>
      <c r="V269" s="310"/>
      <c r="W269" s="310"/>
      <c r="X269" s="310"/>
      <c r="Y269" s="310"/>
      <c r="Z269" s="310"/>
      <c r="AA269" s="310"/>
      <c r="AB269" s="310"/>
      <c r="AC269" s="310"/>
      <c r="AD269" s="310"/>
      <c r="AE269" s="310"/>
      <c r="AF269" s="391"/>
      <c r="AG269" s="391"/>
      <c r="AH269" s="391"/>
      <c r="AI269" s="391"/>
      <c r="AJ269" s="391"/>
      <c r="AK269" s="310"/>
      <c r="AL269" s="310"/>
    </row>
    <row r="270" spans="1:38" ht="15.75" customHeight="1">
      <c r="A270" s="310"/>
      <c r="B270" s="310"/>
      <c r="C270" s="310"/>
      <c r="D270" s="310"/>
      <c r="E270" s="310"/>
      <c r="F270" s="311"/>
      <c r="G270" s="311"/>
      <c r="H270" s="1"/>
      <c r="I270" s="353"/>
      <c r="J270" s="353"/>
      <c r="K270" s="353"/>
      <c r="L270" s="353"/>
      <c r="M270" s="353"/>
      <c r="N270" s="353"/>
      <c r="O270" s="310"/>
      <c r="P270" s="310"/>
      <c r="Q270" s="310"/>
      <c r="R270" s="310"/>
      <c r="S270" s="310"/>
      <c r="T270" s="310"/>
      <c r="U270" s="310"/>
      <c r="V270" s="310"/>
      <c r="W270" s="310"/>
      <c r="X270" s="310"/>
      <c r="Y270" s="310"/>
      <c r="Z270" s="310"/>
      <c r="AA270" s="310"/>
      <c r="AB270" s="310"/>
      <c r="AC270" s="310"/>
      <c r="AD270" s="310"/>
      <c r="AE270" s="310"/>
      <c r="AF270" s="391"/>
      <c r="AG270" s="391"/>
      <c r="AH270" s="391"/>
      <c r="AI270" s="391"/>
      <c r="AJ270" s="391"/>
      <c r="AK270" s="310"/>
      <c r="AL270" s="310"/>
    </row>
    <row r="271" spans="1:38" ht="15.75" customHeight="1">
      <c r="A271" s="310"/>
      <c r="B271" s="310"/>
      <c r="C271" s="310"/>
      <c r="D271" s="310"/>
      <c r="E271" s="310"/>
      <c r="F271" s="311"/>
      <c r="G271" s="311"/>
      <c r="H271" s="1"/>
      <c r="I271" s="353"/>
      <c r="J271" s="353"/>
      <c r="K271" s="353"/>
      <c r="L271" s="353"/>
      <c r="M271" s="353"/>
      <c r="N271" s="353"/>
      <c r="O271" s="310"/>
      <c r="P271" s="310"/>
      <c r="Q271" s="310"/>
      <c r="R271" s="310"/>
      <c r="S271" s="310"/>
      <c r="T271" s="310"/>
      <c r="U271" s="310"/>
      <c r="V271" s="310"/>
      <c r="W271" s="310"/>
      <c r="X271" s="310"/>
      <c r="Y271" s="310"/>
      <c r="Z271" s="310"/>
      <c r="AA271" s="310"/>
      <c r="AB271" s="310"/>
      <c r="AC271" s="310"/>
      <c r="AD271" s="310"/>
      <c r="AE271" s="310"/>
      <c r="AF271" s="391"/>
      <c r="AG271" s="391"/>
      <c r="AH271" s="391"/>
      <c r="AI271" s="391"/>
      <c r="AJ271" s="391"/>
      <c r="AK271" s="310"/>
      <c r="AL271" s="310"/>
    </row>
    <row r="272" spans="1:38" ht="15.75" customHeight="1">
      <c r="A272" s="310"/>
      <c r="B272" s="310"/>
      <c r="C272" s="310"/>
      <c r="D272" s="310"/>
      <c r="E272" s="310"/>
      <c r="F272" s="311"/>
      <c r="G272" s="311"/>
      <c r="H272" s="1"/>
      <c r="I272" s="353"/>
      <c r="J272" s="353"/>
      <c r="K272" s="353"/>
      <c r="L272" s="353"/>
      <c r="M272" s="353"/>
      <c r="N272" s="353"/>
      <c r="O272" s="310"/>
      <c r="P272" s="310"/>
      <c r="Q272" s="310"/>
      <c r="R272" s="310"/>
      <c r="S272" s="310"/>
      <c r="T272" s="310"/>
      <c r="U272" s="310"/>
      <c r="V272" s="310"/>
      <c r="W272" s="310"/>
      <c r="X272" s="310"/>
      <c r="Y272" s="310"/>
      <c r="Z272" s="310"/>
      <c r="AA272" s="310"/>
      <c r="AB272" s="310"/>
      <c r="AC272" s="310"/>
      <c r="AD272" s="310"/>
      <c r="AE272" s="310"/>
      <c r="AF272" s="391"/>
      <c r="AG272" s="391"/>
      <c r="AH272" s="391"/>
      <c r="AI272" s="391"/>
      <c r="AJ272" s="391"/>
      <c r="AK272" s="310"/>
      <c r="AL272" s="310"/>
    </row>
    <row r="273" spans="1:38" ht="15.75" customHeight="1">
      <c r="A273" s="310"/>
      <c r="B273" s="310"/>
      <c r="C273" s="310"/>
      <c r="D273" s="310"/>
      <c r="E273" s="310"/>
      <c r="F273" s="311"/>
      <c r="G273" s="311"/>
      <c r="H273" s="1"/>
      <c r="I273" s="353"/>
      <c r="J273" s="353"/>
      <c r="K273" s="353"/>
      <c r="L273" s="353"/>
      <c r="M273" s="353"/>
      <c r="N273" s="353"/>
      <c r="O273" s="310"/>
      <c r="P273" s="310"/>
      <c r="Q273" s="310"/>
      <c r="R273" s="310"/>
      <c r="S273" s="310"/>
      <c r="T273" s="310"/>
      <c r="U273" s="310"/>
      <c r="V273" s="310"/>
      <c r="W273" s="310"/>
      <c r="X273" s="310"/>
      <c r="Y273" s="310"/>
      <c r="Z273" s="310"/>
      <c r="AA273" s="310"/>
      <c r="AB273" s="310"/>
      <c r="AC273" s="310"/>
      <c r="AD273" s="310"/>
      <c r="AE273" s="310"/>
      <c r="AF273" s="391"/>
      <c r="AG273" s="391"/>
      <c r="AH273" s="391"/>
      <c r="AI273" s="391"/>
      <c r="AJ273" s="391"/>
      <c r="AK273" s="310"/>
      <c r="AL273" s="310"/>
    </row>
    <row r="274" spans="1:38" ht="15.75" customHeight="1">
      <c r="A274" s="310"/>
      <c r="B274" s="310"/>
      <c r="C274" s="310"/>
      <c r="D274" s="310"/>
      <c r="E274" s="310"/>
      <c r="F274" s="311"/>
      <c r="G274" s="311"/>
      <c r="H274" s="1"/>
      <c r="I274" s="353"/>
      <c r="J274" s="353"/>
      <c r="K274" s="353"/>
      <c r="L274" s="353"/>
      <c r="M274" s="353"/>
      <c r="N274" s="353"/>
      <c r="O274" s="310"/>
      <c r="P274" s="310"/>
      <c r="Q274" s="310"/>
      <c r="R274" s="310"/>
      <c r="S274" s="310"/>
      <c r="T274" s="310"/>
      <c r="U274" s="310"/>
      <c r="V274" s="310"/>
      <c r="W274" s="310"/>
      <c r="X274" s="310"/>
      <c r="Y274" s="310"/>
      <c r="Z274" s="310"/>
      <c r="AA274" s="310"/>
      <c r="AB274" s="310"/>
      <c r="AC274" s="310"/>
      <c r="AD274" s="310"/>
      <c r="AE274" s="310"/>
      <c r="AF274" s="391"/>
      <c r="AG274" s="391"/>
      <c r="AH274" s="391"/>
      <c r="AI274" s="391"/>
      <c r="AJ274" s="391"/>
      <c r="AK274" s="310"/>
      <c r="AL274" s="310"/>
    </row>
    <row r="275" spans="1:38" ht="15.75" customHeight="1">
      <c r="A275" s="310"/>
      <c r="B275" s="310"/>
      <c r="C275" s="310"/>
      <c r="D275" s="310"/>
      <c r="E275" s="310"/>
      <c r="F275" s="311"/>
      <c r="G275" s="311"/>
      <c r="H275" s="1"/>
      <c r="I275" s="353"/>
      <c r="J275" s="353"/>
      <c r="K275" s="353"/>
      <c r="L275" s="353"/>
      <c r="M275" s="353"/>
      <c r="N275" s="353"/>
      <c r="O275" s="310"/>
      <c r="P275" s="310"/>
      <c r="Q275" s="310"/>
      <c r="R275" s="310"/>
      <c r="S275" s="310"/>
      <c r="T275" s="310"/>
      <c r="U275" s="310"/>
      <c r="V275" s="310"/>
      <c r="W275" s="310"/>
      <c r="X275" s="310"/>
      <c r="Y275" s="310"/>
      <c r="Z275" s="310"/>
      <c r="AA275" s="310"/>
      <c r="AB275" s="310"/>
      <c r="AC275" s="310"/>
      <c r="AD275" s="310"/>
      <c r="AE275" s="310"/>
      <c r="AF275" s="391"/>
      <c r="AG275" s="391"/>
      <c r="AH275" s="391"/>
      <c r="AI275" s="391"/>
      <c r="AJ275" s="391"/>
      <c r="AK275" s="310"/>
      <c r="AL275" s="310"/>
    </row>
    <row r="276" spans="1:38" ht="15.75" customHeight="1">
      <c r="A276" s="310"/>
      <c r="B276" s="310"/>
      <c r="C276" s="310"/>
      <c r="D276" s="310"/>
      <c r="E276" s="310"/>
      <c r="F276" s="311"/>
      <c r="G276" s="311"/>
      <c r="H276" s="1"/>
      <c r="I276" s="353"/>
      <c r="J276" s="353"/>
      <c r="K276" s="353"/>
      <c r="L276" s="353"/>
      <c r="M276" s="353"/>
      <c r="N276" s="353"/>
      <c r="O276" s="310"/>
      <c r="P276" s="310"/>
      <c r="Q276" s="310"/>
      <c r="R276" s="310"/>
      <c r="S276" s="310"/>
      <c r="T276" s="310"/>
      <c r="U276" s="310"/>
      <c r="V276" s="310"/>
      <c r="W276" s="310"/>
      <c r="X276" s="310"/>
      <c r="Y276" s="310"/>
      <c r="Z276" s="310"/>
      <c r="AA276" s="310"/>
      <c r="AB276" s="310"/>
      <c r="AC276" s="310"/>
      <c r="AD276" s="310"/>
      <c r="AE276" s="310"/>
      <c r="AF276" s="391"/>
      <c r="AG276" s="391"/>
      <c r="AH276" s="391"/>
      <c r="AI276" s="391"/>
      <c r="AJ276" s="391"/>
      <c r="AK276" s="310"/>
      <c r="AL276" s="310"/>
    </row>
    <row r="277" spans="1:38" ht="15.75" customHeight="1">
      <c r="A277" s="310"/>
      <c r="B277" s="310"/>
      <c r="C277" s="310"/>
      <c r="D277" s="310"/>
      <c r="E277" s="310"/>
      <c r="F277" s="311"/>
      <c r="G277" s="311"/>
      <c r="H277" s="1"/>
      <c r="I277" s="353"/>
      <c r="J277" s="353"/>
      <c r="K277" s="353"/>
      <c r="L277" s="353"/>
      <c r="M277" s="353"/>
      <c r="N277" s="353"/>
      <c r="O277" s="310"/>
      <c r="P277" s="310"/>
      <c r="Q277" s="310"/>
      <c r="R277" s="310"/>
      <c r="S277" s="310"/>
      <c r="T277" s="310"/>
      <c r="U277" s="310"/>
      <c r="V277" s="310"/>
      <c r="W277" s="310"/>
      <c r="X277" s="310"/>
      <c r="Y277" s="310"/>
      <c r="Z277" s="310"/>
      <c r="AA277" s="310"/>
      <c r="AB277" s="310"/>
      <c r="AC277" s="310"/>
      <c r="AD277" s="310"/>
      <c r="AE277" s="310"/>
      <c r="AF277" s="391"/>
      <c r="AG277" s="391"/>
      <c r="AH277" s="391"/>
      <c r="AI277" s="391"/>
      <c r="AJ277" s="391"/>
      <c r="AK277" s="310"/>
      <c r="AL277" s="310"/>
    </row>
    <row r="278" spans="1:38" ht="15.75" customHeight="1">
      <c r="A278" s="310"/>
      <c r="B278" s="310"/>
      <c r="C278" s="310"/>
      <c r="D278" s="310"/>
      <c r="E278" s="310"/>
      <c r="F278" s="311"/>
      <c r="G278" s="311"/>
      <c r="H278" s="1"/>
      <c r="I278" s="353"/>
      <c r="J278" s="353"/>
      <c r="K278" s="353"/>
      <c r="L278" s="353"/>
      <c r="M278" s="353"/>
      <c r="N278" s="353"/>
      <c r="O278" s="310"/>
      <c r="P278" s="310"/>
      <c r="Q278" s="310"/>
      <c r="R278" s="310"/>
      <c r="S278" s="310"/>
      <c r="T278" s="310"/>
      <c r="U278" s="310"/>
      <c r="V278" s="310"/>
      <c r="W278" s="310"/>
      <c r="X278" s="310"/>
      <c r="Y278" s="310"/>
      <c r="Z278" s="310"/>
      <c r="AA278" s="310"/>
      <c r="AB278" s="310"/>
      <c r="AC278" s="310"/>
      <c r="AD278" s="310"/>
      <c r="AE278" s="310"/>
      <c r="AF278" s="391"/>
      <c r="AG278" s="391"/>
      <c r="AH278" s="391"/>
      <c r="AI278" s="391"/>
      <c r="AJ278" s="391"/>
      <c r="AK278" s="310"/>
      <c r="AL278" s="310"/>
    </row>
    <row r="279" spans="1:38" ht="15.75" customHeight="1">
      <c r="A279" s="310"/>
      <c r="B279" s="310"/>
      <c r="C279" s="310"/>
      <c r="D279" s="310"/>
      <c r="E279" s="310"/>
      <c r="F279" s="311"/>
      <c r="G279" s="311"/>
      <c r="H279" s="1"/>
      <c r="I279" s="353"/>
      <c r="J279" s="353"/>
      <c r="K279" s="353"/>
      <c r="L279" s="353"/>
      <c r="M279" s="353"/>
      <c r="N279" s="353"/>
      <c r="O279" s="310"/>
      <c r="P279" s="310"/>
      <c r="Q279" s="310"/>
      <c r="R279" s="310"/>
      <c r="S279" s="310"/>
      <c r="T279" s="310"/>
      <c r="U279" s="310"/>
      <c r="V279" s="310"/>
      <c r="W279" s="310"/>
      <c r="X279" s="310"/>
      <c r="Y279" s="310"/>
      <c r="Z279" s="310"/>
      <c r="AA279" s="310"/>
      <c r="AB279" s="310"/>
      <c r="AC279" s="310"/>
      <c r="AD279" s="310"/>
      <c r="AE279" s="310"/>
      <c r="AF279" s="391"/>
      <c r="AG279" s="391"/>
      <c r="AH279" s="391"/>
      <c r="AI279" s="391"/>
      <c r="AJ279" s="391"/>
      <c r="AK279" s="310"/>
      <c r="AL279" s="310"/>
    </row>
    <row r="280" spans="1:38" ht="15.75" customHeight="1">
      <c r="A280" s="310"/>
      <c r="B280" s="310"/>
      <c r="C280" s="310"/>
      <c r="D280" s="310"/>
      <c r="E280" s="310"/>
      <c r="F280" s="311"/>
      <c r="G280" s="311"/>
      <c r="H280" s="1"/>
      <c r="I280" s="353"/>
      <c r="J280" s="353"/>
      <c r="K280" s="353"/>
      <c r="L280" s="353"/>
      <c r="M280" s="353"/>
      <c r="N280" s="353"/>
      <c r="O280" s="310"/>
      <c r="P280" s="310"/>
      <c r="Q280" s="310"/>
      <c r="R280" s="310"/>
      <c r="S280" s="310"/>
      <c r="T280" s="310"/>
      <c r="U280" s="310"/>
      <c r="V280" s="310"/>
      <c r="W280" s="310"/>
      <c r="X280" s="310"/>
      <c r="Y280" s="310"/>
      <c r="Z280" s="310"/>
      <c r="AA280" s="310"/>
      <c r="AB280" s="310"/>
      <c r="AC280" s="310"/>
      <c r="AD280" s="310"/>
      <c r="AE280" s="310"/>
      <c r="AF280" s="391"/>
      <c r="AG280" s="391"/>
      <c r="AH280" s="391"/>
      <c r="AI280" s="391"/>
      <c r="AJ280" s="391"/>
      <c r="AK280" s="310"/>
      <c r="AL280" s="310"/>
    </row>
    <row r="281" spans="1:38" ht="15.75" customHeight="1">
      <c r="A281" s="310"/>
      <c r="B281" s="310"/>
      <c r="C281" s="310"/>
      <c r="D281" s="310"/>
      <c r="E281" s="310"/>
      <c r="F281" s="311"/>
      <c r="G281" s="311"/>
      <c r="H281" s="1"/>
      <c r="I281" s="353"/>
      <c r="J281" s="353"/>
      <c r="K281" s="353"/>
      <c r="L281" s="353"/>
      <c r="M281" s="353"/>
      <c r="N281" s="353"/>
      <c r="O281" s="310"/>
      <c r="P281" s="310"/>
      <c r="Q281" s="310"/>
      <c r="R281" s="310"/>
      <c r="S281" s="310"/>
      <c r="T281" s="310"/>
      <c r="U281" s="310"/>
      <c r="V281" s="310"/>
      <c r="W281" s="310"/>
      <c r="X281" s="310"/>
      <c r="Y281" s="310"/>
      <c r="Z281" s="310"/>
      <c r="AA281" s="310"/>
      <c r="AB281" s="310"/>
      <c r="AC281" s="310"/>
      <c r="AD281" s="310"/>
      <c r="AE281" s="310"/>
      <c r="AF281" s="391"/>
      <c r="AG281" s="391"/>
      <c r="AH281" s="391"/>
      <c r="AI281" s="391"/>
      <c r="AJ281" s="391"/>
      <c r="AK281" s="310"/>
      <c r="AL281" s="310"/>
    </row>
    <row r="282" spans="1:38" ht="15.75" customHeight="1">
      <c r="A282" s="310"/>
      <c r="B282" s="310"/>
      <c r="C282" s="310"/>
      <c r="D282" s="310"/>
      <c r="E282" s="310"/>
      <c r="F282" s="311"/>
      <c r="G282" s="311"/>
      <c r="H282" s="1"/>
      <c r="I282" s="353"/>
      <c r="J282" s="353"/>
      <c r="K282" s="353"/>
      <c r="L282" s="353"/>
      <c r="M282" s="353"/>
      <c r="N282" s="353"/>
      <c r="O282" s="310"/>
      <c r="P282" s="310"/>
      <c r="Q282" s="310"/>
      <c r="R282" s="310"/>
      <c r="S282" s="310"/>
      <c r="T282" s="310"/>
      <c r="U282" s="310"/>
      <c r="V282" s="310"/>
      <c r="W282" s="310"/>
      <c r="X282" s="310"/>
      <c r="Y282" s="310"/>
      <c r="Z282" s="310"/>
      <c r="AA282" s="310"/>
      <c r="AB282" s="310"/>
      <c r="AC282" s="310"/>
      <c r="AD282" s="310"/>
      <c r="AE282" s="310"/>
      <c r="AF282" s="391"/>
      <c r="AG282" s="391"/>
      <c r="AH282" s="391"/>
      <c r="AI282" s="391"/>
      <c r="AJ282" s="391"/>
      <c r="AK282" s="310"/>
      <c r="AL282" s="310"/>
    </row>
    <row r="283" spans="1:38" ht="15.75" customHeight="1">
      <c r="A283" s="310"/>
      <c r="B283" s="310"/>
      <c r="C283" s="310"/>
      <c r="D283" s="310"/>
      <c r="E283" s="310"/>
      <c r="F283" s="311"/>
      <c r="G283" s="311"/>
      <c r="H283" s="1"/>
      <c r="I283" s="353"/>
      <c r="J283" s="353"/>
      <c r="K283" s="353"/>
      <c r="L283" s="353"/>
      <c r="M283" s="353"/>
      <c r="N283" s="353"/>
      <c r="O283" s="310"/>
      <c r="P283" s="310"/>
      <c r="Q283" s="310"/>
      <c r="R283" s="310"/>
      <c r="S283" s="310"/>
      <c r="T283" s="310"/>
      <c r="U283" s="310"/>
      <c r="V283" s="310"/>
      <c r="W283" s="310"/>
      <c r="X283" s="310"/>
      <c r="Y283" s="310"/>
      <c r="Z283" s="310"/>
      <c r="AA283" s="310"/>
      <c r="AB283" s="310"/>
      <c r="AC283" s="310"/>
      <c r="AD283" s="310"/>
      <c r="AE283" s="310"/>
      <c r="AF283" s="391"/>
      <c r="AG283" s="391"/>
      <c r="AH283" s="391"/>
      <c r="AI283" s="391"/>
      <c r="AJ283" s="391"/>
      <c r="AK283" s="310"/>
      <c r="AL283" s="310"/>
    </row>
    <row r="284" spans="1:38" ht="15.75" customHeight="1">
      <c r="A284" s="310"/>
      <c r="B284" s="310"/>
      <c r="C284" s="310"/>
      <c r="D284" s="310"/>
      <c r="E284" s="310"/>
      <c r="F284" s="311"/>
      <c r="G284" s="311"/>
      <c r="H284" s="1"/>
      <c r="I284" s="353"/>
      <c r="J284" s="353"/>
      <c r="K284" s="353"/>
      <c r="L284" s="353"/>
      <c r="M284" s="353"/>
      <c r="N284" s="353"/>
      <c r="O284" s="310"/>
      <c r="P284" s="310"/>
      <c r="Q284" s="310"/>
      <c r="R284" s="310"/>
      <c r="S284" s="310"/>
      <c r="T284" s="310"/>
      <c r="U284" s="310"/>
      <c r="V284" s="310"/>
      <c r="W284" s="310"/>
      <c r="X284" s="310"/>
      <c r="Y284" s="310"/>
      <c r="Z284" s="310"/>
      <c r="AA284" s="310"/>
      <c r="AB284" s="310"/>
      <c r="AC284" s="310"/>
      <c r="AD284" s="310"/>
      <c r="AE284" s="310"/>
      <c r="AF284" s="391"/>
      <c r="AG284" s="391"/>
      <c r="AH284" s="391"/>
      <c r="AI284" s="391"/>
      <c r="AJ284" s="391"/>
      <c r="AK284" s="310"/>
      <c r="AL284" s="310"/>
    </row>
    <row r="285" spans="1:38" ht="15.75" customHeight="1">
      <c r="A285" s="310"/>
      <c r="B285" s="310"/>
      <c r="C285" s="310"/>
      <c r="D285" s="310"/>
      <c r="E285" s="310"/>
      <c r="F285" s="311"/>
      <c r="G285" s="311"/>
      <c r="H285" s="1"/>
      <c r="I285" s="353"/>
      <c r="J285" s="353"/>
      <c r="K285" s="353"/>
      <c r="L285" s="353"/>
      <c r="M285" s="353"/>
      <c r="N285" s="353"/>
      <c r="O285" s="310"/>
      <c r="P285" s="310"/>
      <c r="Q285" s="310"/>
      <c r="R285" s="310"/>
      <c r="S285" s="310"/>
      <c r="T285" s="310"/>
      <c r="U285" s="310"/>
      <c r="V285" s="310"/>
      <c r="W285" s="310"/>
      <c r="X285" s="310"/>
      <c r="Y285" s="310"/>
      <c r="Z285" s="310"/>
      <c r="AA285" s="310"/>
      <c r="AB285" s="310"/>
      <c r="AC285" s="310"/>
      <c r="AD285" s="310"/>
      <c r="AE285" s="310"/>
      <c r="AF285" s="391"/>
      <c r="AG285" s="391"/>
      <c r="AH285" s="391"/>
      <c r="AI285" s="391"/>
      <c r="AJ285" s="391"/>
      <c r="AK285" s="310"/>
      <c r="AL285" s="310"/>
    </row>
    <row r="286" spans="1:38" ht="15.75" customHeight="1">
      <c r="A286" s="310"/>
      <c r="B286" s="310"/>
      <c r="C286" s="310"/>
      <c r="D286" s="310"/>
      <c r="E286" s="310"/>
      <c r="F286" s="311"/>
      <c r="G286" s="311"/>
      <c r="H286" s="1"/>
      <c r="I286" s="353"/>
      <c r="J286" s="353"/>
      <c r="K286" s="353"/>
      <c r="L286" s="353"/>
      <c r="M286" s="353"/>
      <c r="N286" s="353"/>
      <c r="O286" s="310"/>
      <c r="P286" s="310"/>
      <c r="Q286" s="310"/>
      <c r="R286" s="310"/>
      <c r="S286" s="310"/>
      <c r="T286" s="310"/>
      <c r="U286" s="310"/>
      <c r="V286" s="310"/>
      <c r="W286" s="310"/>
      <c r="X286" s="310"/>
      <c r="Y286" s="310"/>
      <c r="Z286" s="310"/>
      <c r="AA286" s="310"/>
      <c r="AB286" s="310"/>
      <c r="AC286" s="310"/>
      <c r="AD286" s="310"/>
      <c r="AE286" s="310"/>
      <c r="AF286" s="391"/>
      <c r="AG286" s="391"/>
      <c r="AH286" s="391"/>
      <c r="AI286" s="391"/>
      <c r="AJ286" s="391"/>
      <c r="AK286" s="310"/>
      <c r="AL286" s="310"/>
    </row>
    <row r="287" spans="1:38" ht="15.75" customHeight="1">
      <c r="A287" s="310"/>
      <c r="B287" s="310"/>
      <c r="C287" s="310"/>
      <c r="D287" s="310"/>
      <c r="E287" s="310"/>
      <c r="F287" s="311"/>
      <c r="G287" s="311"/>
      <c r="H287" s="1"/>
      <c r="I287" s="353"/>
      <c r="J287" s="353"/>
      <c r="K287" s="353"/>
      <c r="L287" s="353"/>
      <c r="M287" s="353"/>
      <c r="N287" s="353"/>
      <c r="O287" s="310"/>
      <c r="P287" s="310"/>
      <c r="Q287" s="310"/>
      <c r="R287" s="310"/>
      <c r="S287" s="310"/>
      <c r="T287" s="310"/>
      <c r="U287" s="310"/>
      <c r="V287" s="310"/>
      <c r="W287" s="310"/>
      <c r="X287" s="310"/>
      <c r="Y287" s="310"/>
      <c r="Z287" s="310"/>
      <c r="AA287" s="310"/>
      <c r="AB287" s="310"/>
      <c r="AC287" s="310"/>
      <c r="AD287" s="310"/>
      <c r="AE287" s="310"/>
      <c r="AF287" s="391"/>
      <c r="AG287" s="391"/>
      <c r="AH287" s="391"/>
      <c r="AI287" s="391"/>
      <c r="AJ287" s="391"/>
      <c r="AK287" s="310"/>
      <c r="AL287" s="310"/>
    </row>
    <row r="288" spans="1:38" ht="15.75" customHeight="1">
      <c r="A288" s="310"/>
      <c r="B288" s="310"/>
      <c r="C288" s="310"/>
      <c r="D288" s="310"/>
      <c r="E288" s="310"/>
      <c r="F288" s="311"/>
      <c r="G288" s="311"/>
      <c r="H288" s="1"/>
      <c r="I288" s="353"/>
      <c r="J288" s="353"/>
      <c r="K288" s="353"/>
      <c r="L288" s="353"/>
      <c r="M288" s="353"/>
      <c r="N288" s="353"/>
      <c r="O288" s="310"/>
      <c r="P288" s="310"/>
      <c r="Q288" s="310"/>
      <c r="R288" s="310"/>
      <c r="S288" s="310"/>
      <c r="T288" s="310"/>
      <c r="U288" s="310"/>
      <c r="V288" s="310"/>
      <c r="W288" s="310"/>
      <c r="X288" s="310"/>
      <c r="Y288" s="310"/>
      <c r="Z288" s="310"/>
      <c r="AA288" s="310"/>
      <c r="AB288" s="310"/>
      <c r="AC288" s="310"/>
      <c r="AD288" s="310"/>
      <c r="AE288" s="310"/>
      <c r="AF288" s="391"/>
      <c r="AG288" s="391"/>
      <c r="AH288" s="391"/>
      <c r="AI288" s="391"/>
      <c r="AJ288" s="391"/>
      <c r="AK288" s="310"/>
      <c r="AL288" s="310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Z4:Z8"/>
    <mergeCell ref="AA4:AA8"/>
    <mergeCell ref="AB4:AB8"/>
    <mergeCell ref="AC4:AC5"/>
    <mergeCell ref="D8:F8"/>
    <mergeCell ref="I8:K8"/>
    <mergeCell ref="P8:R8"/>
    <mergeCell ref="U8:W8"/>
    <mergeCell ref="Y4:Y8"/>
    <mergeCell ref="A1:X1"/>
    <mergeCell ref="A2:X2"/>
    <mergeCell ref="B4:F4"/>
    <mergeCell ref="H4:K4"/>
    <mergeCell ref="O4:R4"/>
    <mergeCell ref="T4:W4"/>
  </mergeCells>
  <phoneticPr fontId="65" type="noConversion"/>
  <conditionalFormatting sqref="B9:C38 H9:H38 O9:O38">
    <cfRule type="cellIs" dxfId="6" priority="1" stopIfTrue="1" operator="equal">
      <formula>#REF!</formula>
    </cfRule>
    <cfRule type="cellIs" dxfId="5" priority="2" stopIfTrue="1" operator="equal">
      <formula>#REF!</formula>
    </cfRule>
  </conditionalFormatting>
  <conditionalFormatting sqref="T9:T38">
    <cfRule type="cellIs" dxfId="4" priority="3" stopIfTrue="1" operator="equal">
      <formula>#REF!</formula>
    </cfRule>
    <cfRule type="cellIs" dxfId="3" priority="4" stopIfTrue="1" operator="equal">
      <formula>#REF!</formula>
    </cfRule>
  </conditionalFormatting>
  <conditionalFormatting sqref="AA25:AA26">
    <cfRule type="cellIs" dxfId="2" priority="5" stopIfTrue="1" operator="equal">
      <formula>"?"</formula>
    </cfRule>
  </conditionalFormatting>
  <conditionalFormatting sqref="AA36:AA38">
    <cfRule type="cellIs" dxfId="1" priority="6" stopIfTrue="1" operator="equal">
      <formula>"?"</formula>
    </cfRule>
  </conditionalFormatting>
  <conditionalFormatting sqref="AF11:AG80">
    <cfRule type="cellIs" dxfId="0" priority="7" stopIfTrue="1" operator="equal">
      <formula>$B$80</formula>
    </cfRule>
  </conditionalFormatting>
  <pageMargins left="0.69930555555555596" right="0.69930555555555596" top="0.75" bottom="0.75" header="0" footer="0"/>
  <pageSetup orientation="landscape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selection sqref="A1:P1"/>
    </sheetView>
  </sheetViews>
  <sheetFormatPr defaultColWidth="11.09765625" defaultRowHeight="15" customHeight="1"/>
  <cols>
    <col min="1" max="1" width="5.09765625" customWidth="1"/>
    <col min="2" max="2" width="6.59765625" customWidth="1"/>
    <col min="3" max="3" width="10.59765625" customWidth="1"/>
    <col min="4" max="4" width="8.59765625" customWidth="1"/>
    <col min="5" max="5" width="8.09765625" customWidth="1"/>
    <col min="6" max="6" width="6.59765625" customWidth="1"/>
    <col min="7" max="7" width="4.796875" customWidth="1"/>
    <col min="8" max="8" width="10.09765625" customWidth="1"/>
    <col min="9" max="9" width="8.296875" customWidth="1"/>
    <col min="10" max="10" width="7.796875" customWidth="1"/>
    <col min="11" max="11" width="6" customWidth="1"/>
    <col min="12" max="12" width="4.59765625" customWidth="1"/>
    <col min="13" max="13" width="10.59765625" customWidth="1"/>
    <col min="14" max="14" width="8.59765625" customWidth="1"/>
    <col min="15" max="15" width="7.09765625" customWidth="1"/>
    <col min="16" max="16" width="7.59765625" customWidth="1"/>
    <col min="17" max="17" width="14.09765625" customWidth="1"/>
    <col min="18" max="18" width="7" customWidth="1"/>
    <col min="19" max="26" width="6.59765625" customWidth="1"/>
  </cols>
  <sheetData>
    <row r="1" spans="1:26" ht="34.5" customHeight="1">
      <c r="A1" s="1002" t="s">
        <v>743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/>
      <c r="O1" s="947"/>
      <c r="P1" s="947"/>
      <c r="Q1" s="216"/>
      <c r="R1" s="216"/>
      <c r="S1" s="216"/>
      <c r="T1" s="216"/>
      <c r="U1" s="216"/>
      <c r="V1" s="216"/>
      <c r="W1" s="216"/>
      <c r="X1" s="216"/>
      <c r="Y1" s="216"/>
      <c r="Z1" s="216"/>
    </row>
    <row r="2" spans="1:26" ht="7.5" customHeight="1">
      <c r="A2" s="169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216"/>
      <c r="R2" s="216"/>
      <c r="S2" s="216"/>
      <c r="T2" s="216"/>
      <c r="U2" s="216"/>
      <c r="V2" s="216"/>
      <c r="W2" s="216"/>
      <c r="X2" s="216"/>
      <c r="Y2" s="216"/>
      <c r="Z2" s="216"/>
    </row>
    <row r="3" spans="1:26" ht="23.25" customHeight="1">
      <c r="A3" s="170"/>
      <c r="B3" s="1003" t="s">
        <v>744</v>
      </c>
      <c r="C3" s="954"/>
      <c r="D3" s="954"/>
      <c r="E3" s="954"/>
      <c r="F3" s="955"/>
      <c r="G3" s="1004" t="s">
        <v>745</v>
      </c>
      <c r="H3" s="954"/>
      <c r="I3" s="954"/>
      <c r="J3" s="954"/>
      <c r="K3" s="955"/>
      <c r="L3" s="1004" t="s">
        <v>52</v>
      </c>
      <c r="M3" s="954"/>
      <c r="N3" s="954"/>
      <c r="O3" s="954"/>
      <c r="P3" s="955"/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ht="60" customHeight="1">
      <c r="A4" s="171" t="s">
        <v>59</v>
      </c>
      <c r="B4" s="172" t="s">
        <v>469</v>
      </c>
      <c r="C4" s="173" t="s">
        <v>466</v>
      </c>
      <c r="D4" s="174" t="s">
        <v>467</v>
      </c>
      <c r="E4" s="927" t="s">
        <v>63</v>
      </c>
      <c r="F4" s="175" t="s">
        <v>746</v>
      </c>
      <c r="G4" s="176" t="s">
        <v>59</v>
      </c>
      <c r="H4" s="177" t="s">
        <v>466</v>
      </c>
      <c r="I4" s="174" t="s">
        <v>467</v>
      </c>
      <c r="J4" s="928" t="s">
        <v>63</v>
      </c>
      <c r="K4" s="207" t="s">
        <v>746</v>
      </c>
      <c r="L4" s="176" t="s">
        <v>59</v>
      </c>
      <c r="M4" s="177" t="s">
        <v>466</v>
      </c>
      <c r="N4" s="174" t="s">
        <v>467</v>
      </c>
      <c r="O4" s="927" t="s">
        <v>747</v>
      </c>
      <c r="P4" s="207" t="s">
        <v>748</v>
      </c>
      <c r="Q4" s="216"/>
      <c r="R4" s="216"/>
      <c r="S4" s="216"/>
      <c r="T4" s="216"/>
      <c r="U4" s="216"/>
      <c r="V4" s="216"/>
      <c r="W4" s="216"/>
      <c r="X4" s="216"/>
      <c r="Y4" s="216"/>
      <c r="Z4" s="216"/>
    </row>
    <row r="5" spans="1:26" ht="15.75" customHeight="1">
      <c r="A5" s="178">
        <f>'BY Class'!B3</f>
        <v>3</v>
      </c>
      <c r="B5" s="179">
        <v>1.3283823498176399</v>
      </c>
      <c r="C5" s="180">
        <v>8.4070921743295806</v>
      </c>
      <c r="D5" s="180">
        <v>7.25</v>
      </c>
      <c r="E5" s="181">
        <v>0</v>
      </c>
      <c r="F5" s="182">
        <v>0.171290175488058</v>
      </c>
      <c r="G5" s="183">
        <f t="shared" ref="G5:G63" si="0">A5</f>
        <v>3</v>
      </c>
      <c r="H5" s="184" t="s">
        <v>749</v>
      </c>
      <c r="I5" s="180" t="s">
        <v>749</v>
      </c>
      <c r="J5" s="205">
        <v>0</v>
      </c>
      <c r="K5" s="206" t="s">
        <v>749</v>
      </c>
      <c r="L5" s="208">
        <f t="shared" ref="L5:L63" si="1">A5</f>
        <v>3</v>
      </c>
      <c r="M5" s="184" t="e">
        <f>'BY Class'!K3</f>
        <v>#REF!</v>
      </c>
      <c r="N5" s="180" t="e">
        <f>'BY Class'!L3</f>
        <v>#REF!</v>
      </c>
      <c r="O5" s="181">
        <f>'BY Class'!J3</f>
        <v>7</v>
      </c>
      <c r="P5" s="206" t="e">
        <f>'BY Class'!P3</f>
        <v>#REF!</v>
      </c>
      <c r="Q5" s="216"/>
      <c r="R5" s="216"/>
      <c r="S5" s="216"/>
      <c r="T5" s="216"/>
      <c r="U5" s="216"/>
      <c r="V5" s="216"/>
      <c r="W5" s="216"/>
      <c r="X5" s="216"/>
      <c r="Y5" s="216"/>
      <c r="Z5" s="216"/>
    </row>
    <row r="6" spans="1:26" ht="15.75" customHeight="1">
      <c r="A6" s="185">
        <f>'BY Class'!B4</f>
        <v>4</v>
      </c>
      <c r="B6" s="186">
        <v>0.62164343756232099</v>
      </c>
      <c r="C6" s="187">
        <v>8.4070921743295806</v>
      </c>
      <c r="D6" s="187">
        <v>7.3333333333333304</v>
      </c>
      <c r="E6" s="188">
        <v>0</v>
      </c>
      <c r="F6" s="189">
        <v>-0.45211540343392898</v>
      </c>
      <c r="G6" s="190">
        <f t="shared" si="0"/>
        <v>4</v>
      </c>
      <c r="H6" s="191" t="s">
        <v>749</v>
      </c>
      <c r="I6" s="187" t="s">
        <v>749</v>
      </c>
      <c r="J6" s="203">
        <v>0</v>
      </c>
      <c r="K6" s="204" t="s">
        <v>749</v>
      </c>
      <c r="L6" s="209">
        <f t="shared" si="1"/>
        <v>4</v>
      </c>
      <c r="M6" s="191" t="e">
        <f>'BY Class'!K4</f>
        <v>#REF!</v>
      </c>
      <c r="N6" s="187" t="e">
        <f>'BY Class'!L4</f>
        <v>#REF!</v>
      </c>
      <c r="O6" s="188">
        <f>'BY Class'!J4</f>
        <v>0</v>
      </c>
      <c r="P6" s="204" t="e">
        <f>'BY Class'!P4</f>
        <v>#REF!</v>
      </c>
      <c r="Q6" s="216"/>
      <c r="R6" s="216"/>
      <c r="S6" s="216"/>
      <c r="T6" s="216"/>
      <c r="U6" s="216"/>
      <c r="V6" s="216"/>
      <c r="W6" s="216"/>
      <c r="X6" s="216"/>
      <c r="Y6" s="216"/>
      <c r="Z6" s="216"/>
    </row>
    <row r="7" spans="1:26" ht="15.75" customHeight="1">
      <c r="A7" s="185">
        <f>'BY Class'!B5</f>
        <v>5</v>
      </c>
      <c r="B7" s="186">
        <v>0.42329566362798698</v>
      </c>
      <c r="C7" s="187">
        <v>8.4070921743295806</v>
      </c>
      <c r="D7" s="187">
        <v>8</v>
      </c>
      <c r="E7" s="188">
        <v>0</v>
      </c>
      <c r="F7" s="189">
        <v>1.6203489298403099E-2</v>
      </c>
      <c r="G7" s="190">
        <f t="shared" si="0"/>
        <v>5</v>
      </c>
      <c r="H7" s="191" t="s">
        <v>749</v>
      </c>
      <c r="I7" s="187" t="s">
        <v>749</v>
      </c>
      <c r="J7" s="203">
        <v>0</v>
      </c>
      <c r="K7" s="204" t="s">
        <v>749</v>
      </c>
      <c r="L7" s="209">
        <f t="shared" si="1"/>
        <v>5</v>
      </c>
      <c r="M7" s="191" t="e">
        <f>'BY Class'!K5</f>
        <v>#REF!</v>
      </c>
      <c r="N7" s="187" t="e">
        <f>'BY Class'!L5</f>
        <v>#REF!</v>
      </c>
      <c r="O7" s="188">
        <f>'BY Class'!J5</f>
        <v>0</v>
      </c>
      <c r="P7" s="204" t="e">
        <f>'BY Class'!P5</f>
        <v>#REF!</v>
      </c>
      <c r="Q7" s="216"/>
      <c r="R7" s="216"/>
      <c r="S7" s="216"/>
      <c r="T7" s="216"/>
      <c r="U7" s="216"/>
      <c r="V7" s="216"/>
      <c r="W7" s="216"/>
      <c r="X7" s="216"/>
      <c r="Y7" s="216"/>
      <c r="Z7" s="216"/>
    </row>
    <row r="8" spans="1:26" ht="15.75" customHeight="1">
      <c r="A8" s="185">
        <f>'BY Class'!B6</f>
        <v>22</v>
      </c>
      <c r="B8" s="186">
        <v>3.1581646481417098</v>
      </c>
      <c r="C8" s="187">
        <v>8.4070921743295806</v>
      </c>
      <c r="D8" s="187">
        <v>7.25</v>
      </c>
      <c r="E8" s="188">
        <v>0</v>
      </c>
      <c r="F8" s="189">
        <v>2.0010724738121302</v>
      </c>
      <c r="G8" s="190">
        <f t="shared" si="0"/>
        <v>22</v>
      </c>
      <c r="H8" s="191" t="s">
        <v>749</v>
      </c>
      <c r="I8" s="187" t="s">
        <v>749</v>
      </c>
      <c r="J8" s="203">
        <v>0</v>
      </c>
      <c r="K8" s="204" t="s">
        <v>749</v>
      </c>
      <c r="L8" s="209">
        <f t="shared" si="1"/>
        <v>22</v>
      </c>
      <c r="M8" s="191" t="e">
        <f>'BY Class'!K6</f>
        <v>#REF!</v>
      </c>
      <c r="N8" s="187" t="e">
        <f>'BY Class'!L6</f>
        <v>#REF!</v>
      </c>
      <c r="O8" s="188">
        <f>'BY Class'!J6</f>
        <v>7</v>
      </c>
      <c r="P8" s="204" t="e">
        <f>'BY Class'!P6</f>
        <v>#REF!</v>
      </c>
      <c r="Q8" s="216"/>
      <c r="R8" s="216"/>
      <c r="S8" s="216"/>
      <c r="T8" s="216"/>
      <c r="U8" s="216"/>
      <c r="V8" s="216"/>
      <c r="W8" s="216"/>
      <c r="X8" s="216"/>
      <c r="Y8" s="216"/>
      <c r="Z8" s="216"/>
    </row>
    <row r="9" spans="1:26" ht="15.75" customHeight="1">
      <c r="A9" s="185">
        <f>'BY Class'!B7</f>
        <v>25</v>
      </c>
      <c r="B9" s="186">
        <v>0.87938392353055805</v>
      </c>
      <c r="C9" s="187">
        <v>8.4070921743295806</v>
      </c>
      <c r="D9" s="187">
        <v>8.0833333333333304</v>
      </c>
      <c r="E9" s="188">
        <v>0</v>
      </c>
      <c r="F9" s="189">
        <v>0.55562508253430698</v>
      </c>
      <c r="G9" s="190">
        <f t="shared" si="0"/>
        <v>25</v>
      </c>
      <c r="H9" s="191" t="s">
        <v>749</v>
      </c>
      <c r="I9" s="187" t="s">
        <v>749</v>
      </c>
      <c r="J9" s="203">
        <v>0</v>
      </c>
      <c r="K9" s="204" t="s">
        <v>749</v>
      </c>
      <c r="L9" s="209">
        <f t="shared" si="1"/>
        <v>25</v>
      </c>
      <c r="M9" s="191" t="e">
        <f>'BY Class'!K7</f>
        <v>#REF!</v>
      </c>
      <c r="N9" s="187" t="e">
        <f>'BY Class'!L7</f>
        <v>#REF!</v>
      </c>
      <c r="O9" s="188">
        <f>'BY Class'!J7</f>
        <v>0</v>
      </c>
      <c r="P9" s="204" t="e">
        <f>'BY Class'!P7</f>
        <v>#REF!</v>
      </c>
      <c r="Q9" s="216"/>
      <c r="R9" s="216"/>
      <c r="S9" s="216"/>
      <c r="T9" s="216"/>
      <c r="U9" s="216"/>
      <c r="V9" s="216"/>
      <c r="W9" s="216"/>
      <c r="X9" s="216"/>
      <c r="Y9" s="216"/>
      <c r="Z9" s="216"/>
    </row>
    <row r="10" spans="1:26" ht="15.75" customHeight="1">
      <c r="A10" s="185">
        <f>'BY Class'!B8</f>
        <v>32</v>
      </c>
      <c r="B10" s="186">
        <v>9.4066463213059698E-2</v>
      </c>
      <c r="C10" s="187">
        <v>8.4070921743295806</v>
      </c>
      <c r="D10" s="187">
        <v>6.55</v>
      </c>
      <c r="E10" s="188">
        <v>0</v>
      </c>
      <c r="F10" s="189">
        <v>-1.7630257111165299</v>
      </c>
      <c r="G10" s="190">
        <f t="shared" si="0"/>
        <v>32</v>
      </c>
      <c r="H10" s="191" t="s">
        <v>749</v>
      </c>
      <c r="I10" s="187" t="s">
        <v>749</v>
      </c>
      <c r="J10" s="203">
        <v>0</v>
      </c>
      <c r="K10" s="204" t="s">
        <v>749</v>
      </c>
      <c r="L10" s="209">
        <f t="shared" si="1"/>
        <v>32</v>
      </c>
      <c r="M10" s="191" t="e">
        <f>'BY Class'!K8</f>
        <v>#REF!</v>
      </c>
      <c r="N10" s="187" t="e">
        <f>'BY Class'!L8</f>
        <v>#REF!</v>
      </c>
      <c r="O10" s="188">
        <f>'BY Class'!J8</f>
        <v>0</v>
      </c>
      <c r="P10" s="204" t="e">
        <f>'BY Class'!P8</f>
        <v>#REF!</v>
      </c>
      <c r="Q10" s="216"/>
      <c r="R10" s="216"/>
      <c r="S10" s="216"/>
      <c r="T10" s="216"/>
      <c r="U10" s="216"/>
      <c r="V10" s="216"/>
      <c r="W10" s="216"/>
      <c r="X10" s="216"/>
      <c r="Y10" s="216"/>
      <c r="Z10" s="216"/>
    </row>
    <row r="11" spans="1:26" ht="15.75" customHeight="1">
      <c r="A11" s="185">
        <f>'BY Class'!B9</f>
        <v>37</v>
      </c>
      <c r="B11" s="186">
        <v>0.72369271239927102</v>
      </c>
      <c r="C11" s="187">
        <v>8.4070921743295806</v>
      </c>
      <c r="D11" s="187">
        <v>7.25</v>
      </c>
      <c r="E11" s="188">
        <v>0</v>
      </c>
      <c r="F11" s="189">
        <v>-0.43339946193031298</v>
      </c>
      <c r="G11" s="190">
        <f t="shared" si="0"/>
        <v>37</v>
      </c>
      <c r="H11" s="191" t="s">
        <v>749</v>
      </c>
      <c r="I11" s="187" t="s">
        <v>749</v>
      </c>
      <c r="J11" s="203">
        <v>0</v>
      </c>
      <c r="K11" s="204" t="s">
        <v>749</v>
      </c>
      <c r="L11" s="209">
        <f t="shared" si="1"/>
        <v>37</v>
      </c>
      <c r="M11" s="191" t="e">
        <f>'BY Class'!K9</f>
        <v>#REF!</v>
      </c>
      <c r="N11" s="187" t="e">
        <f>'BY Class'!L9</f>
        <v>#REF!</v>
      </c>
      <c r="O11" s="188">
        <f>'BY Class'!J9</f>
        <v>0</v>
      </c>
      <c r="P11" s="204" t="e">
        <f>'BY Class'!P9</f>
        <v>#REF!</v>
      </c>
      <c r="Q11" s="216"/>
      <c r="R11" s="216"/>
      <c r="S11" s="216"/>
      <c r="T11" s="216"/>
      <c r="U11" s="216"/>
      <c r="V11" s="216"/>
      <c r="W11" s="216"/>
      <c r="X11" s="216"/>
      <c r="Y11" s="216"/>
      <c r="Z11" s="216"/>
    </row>
    <row r="12" spans="1:26" ht="15.75" customHeight="1">
      <c r="A12" s="192">
        <f>'BY Class'!B10</f>
        <v>39</v>
      </c>
      <c r="B12" s="193">
        <v>-1.15025667615827</v>
      </c>
      <c r="C12" s="194">
        <v>8.4070921743295806</v>
      </c>
      <c r="D12" s="194">
        <v>6.9166666666666599</v>
      </c>
      <c r="E12" s="195">
        <v>0</v>
      </c>
      <c r="F12" s="196">
        <v>-2.6406821838211898</v>
      </c>
      <c r="G12" s="197">
        <f t="shared" si="0"/>
        <v>39</v>
      </c>
      <c r="H12" s="198" t="s">
        <v>749</v>
      </c>
      <c r="I12" s="194" t="s">
        <v>749</v>
      </c>
      <c r="J12" s="201">
        <v>0</v>
      </c>
      <c r="K12" s="202" t="s">
        <v>749</v>
      </c>
      <c r="L12" s="210">
        <f t="shared" si="1"/>
        <v>39</v>
      </c>
      <c r="M12" s="198" t="e">
        <f>'BY Class'!K10</f>
        <v>#REF!</v>
      </c>
      <c r="N12" s="194" t="e">
        <f>'BY Class'!L10</f>
        <v>#REF!</v>
      </c>
      <c r="O12" s="195">
        <f>'BY Class'!J10</f>
        <v>7</v>
      </c>
      <c r="P12" s="202" t="e">
        <f>'BY Class'!P10</f>
        <v>#REF!</v>
      </c>
      <c r="Q12" s="216"/>
      <c r="R12" s="216"/>
      <c r="S12" s="216"/>
      <c r="T12" s="216"/>
      <c r="U12" s="216"/>
      <c r="V12" s="216"/>
      <c r="W12" s="216"/>
      <c r="X12" s="216"/>
      <c r="Y12" s="216"/>
      <c r="Z12" s="216"/>
    </row>
    <row r="13" spans="1:26" ht="15.75" customHeight="1">
      <c r="A13" s="178">
        <f>'BY Class'!B11</f>
        <v>49</v>
      </c>
      <c r="B13" s="179">
        <v>4.5053357789580204</v>
      </c>
      <c r="C13" s="184">
        <v>8.4070921743295806</v>
      </c>
      <c r="D13" s="180">
        <v>6.5</v>
      </c>
      <c r="E13" s="181">
        <v>0</v>
      </c>
      <c r="F13" s="182">
        <v>2.5982436046284398</v>
      </c>
      <c r="G13" s="178">
        <f t="shared" si="0"/>
        <v>49</v>
      </c>
      <c r="H13" s="184" t="s">
        <v>749</v>
      </c>
      <c r="I13" s="180" t="s">
        <v>749</v>
      </c>
      <c r="J13" s="181">
        <v>0</v>
      </c>
      <c r="K13" s="206" t="s">
        <v>749</v>
      </c>
      <c r="L13" s="208">
        <f t="shared" si="1"/>
        <v>49</v>
      </c>
      <c r="M13" s="184" t="e">
        <f>'BY Class'!K11</f>
        <v>#REF!</v>
      </c>
      <c r="N13" s="180" t="e">
        <f>'BY Class'!L11</f>
        <v>#REF!</v>
      </c>
      <c r="O13" s="181">
        <f>'BY Class'!J11</f>
        <v>0</v>
      </c>
      <c r="P13" s="206" t="e">
        <f>'BY Class'!P11</f>
        <v>#REF!</v>
      </c>
      <c r="Q13" s="216"/>
      <c r="R13" s="216"/>
      <c r="S13" s="216"/>
      <c r="T13" s="216"/>
      <c r="U13" s="216"/>
      <c r="V13" s="216"/>
      <c r="W13" s="216"/>
      <c r="X13" s="216"/>
      <c r="Y13" s="216"/>
      <c r="Z13" s="216"/>
    </row>
    <row r="14" spans="1:26" ht="15.75" customHeight="1">
      <c r="A14" s="185">
        <f>'BY Class'!B12</f>
        <v>67</v>
      </c>
      <c r="B14" s="186">
        <v>-0.62468954560719103</v>
      </c>
      <c r="C14" s="191">
        <v>8.4070921743295806</v>
      </c>
      <c r="D14" s="187">
        <v>7.4</v>
      </c>
      <c r="E14" s="188">
        <v>0</v>
      </c>
      <c r="F14" s="189">
        <v>-1.6317817199367799</v>
      </c>
      <c r="G14" s="185">
        <f t="shared" si="0"/>
        <v>67</v>
      </c>
      <c r="H14" s="191" t="s">
        <v>749</v>
      </c>
      <c r="I14" s="187" t="s">
        <v>749</v>
      </c>
      <c r="J14" s="188">
        <v>0</v>
      </c>
      <c r="K14" s="204" t="s">
        <v>749</v>
      </c>
      <c r="L14" s="209">
        <f t="shared" si="1"/>
        <v>67</v>
      </c>
      <c r="M14" s="191" t="e">
        <f>'BY Class'!K12</f>
        <v>#REF!</v>
      </c>
      <c r="N14" s="187" t="e">
        <f>'BY Class'!L12</f>
        <v>#REF!</v>
      </c>
      <c r="O14" s="188">
        <f>'BY Class'!J12</f>
        <v>7</v>
      </c>
      <c r="P14" s="204" t="e">
        <f>'BY Class'!P12</f>
        <v>#REF!</v>
      </c>
      <c r="Q14" s="216"/>
      <c r="R14" s="216"/>
      <c r="S14" s="216"/>
      <c r="T14" s="216"/>
      <c r="U14" s="216"/>
      <c r="V14" s="216"/>
      <c r="W14" s="216"/>
      <c r="X14" s="216"/>
      <c r="Y14" s="216"/>
      <c r="Z14" s="216"/>
    </row>
    <row r="15" spans="1:26" ht="15.75" customHeight="1">
      <c r="A15" s="185">
        <f>'BY Class'!B13</f>
        <v>72</v>
      </c>
      <c r="B15" s="186">
        <v>-9.2124012977390798E-2</v>
      </c>
      <c r="C15" s="191">
        <v>8.4070921743295806</v>
      </c>
      <c r="D15" s="187">
        <v>7.75</v>
      </c>
      <c r="E15" s="188">
        <v>0</v>
      </c>
      <c r="F15" s="189">
        <v>-0.74921618730697603</v>
      </c>
      <c r="G15" s="185">
        <f t="shared" si="0"/>
        <v>72</v>
      </c>
      <c r="H15" s="191" t="s">
        <v>749</v>
      </c>
      <c r="I15" s="187" t="s">
        <v>749</v>
      </c>
      <c r="J15" s="188">
        <v>0</v>
      </c>
      <c r="K15" s="204" t="s">
        <v>749</v>
      </c>
      <c r="L15" s="209">
        <f t="shared" si="1"/>
        <v>72</v>
      </c>
      <c r="M15" s="191" t="e">
        <f>'BY Class'!K13</f>
        <v>#REF!</v>
      </c>
      <c r="N15" s="187" t="e">
        <f>'BY Class'!L13</f>
        <v>#REF!</v>
      </c>
      <c r="O15" s="188">
        <f>'BY Class'!J13</f>
        <v>3</v>
      </c>
      <c r="P15" s="204" t="e">
        <f>'BY Class'!P13</f>
        <v>#REF!</v>
      </c>
      <c r="Q15" s="216"/>
      <c r="R15" s="216"/>
      <c r="S15" s="216"/>
      <c r="T15" s="216"/>
      <c r="U15" s="216"/>
      <c r="V15" s="216"/>
      <c r="W15" s="216"/>
      <c r="X15" s="216"/>
      <c r="Y15" s="216"/>
      <c r="Z15" s="216"/>
    </row>
    <row r="16" spans="1:26" ht="15.75" customHeight="1">
      <c r="A16" s="185">
        <f>'BY Class'!B14</f>
        <v>73</v>
      </c>
      <c r="B16" s="186">
        <v>-1.2282743136152499E-2</v>
      </c>
      <c r="C16" s="191">
        <v>8.4070921743295806</v>
      </c>
      <c r="D16" s="187">
        <v>7.9166666666666696</v>
      </c>
      <c r="E16" s="188">
        <v>0</v>
      </c>
      <c r="F16" s="189">
        <v>-0.50270825079907</v>
      </c>
      <c r="G16" s="185">
        <f t="shared" si="0"/>
        <v>73</v>
      </c>
      <c r="H16" s="191" t="s">
        <v>749</v>
      </c>
      <c r="I16" s="187" t="s">
        <v>749</v>
      </c>
      <c r="J16" s="188">
        <v>0</v>
      </c>
      <c r="K16" s="204" t="s">
        <v>749</v>
      </c>
      <c r="L16" s="209">
        <f t="shared" si="1"/>
        <v>73</v>
      </c>
      <c r="M16" s="191" t="e">
        <f>'BY Class'!K14</f>
        <v>#REF!</v>
      </c>
      <c r="N16" s="187" t="e">
        <f>'BY Class'!L14</f>
        <v>#REF!</v>
      </c>
      <c r="O16" s="188">
        <f>'BY Class'!J14</f>
        <v>0</v>
      </c>
      <c r="P16" s="204" t="e">
        <f>'BY Class'!P14</f>
        <v>#REF!</v>
      </c>
      <c r="Q16" s="216"/>
      <c r="R16" s="216"/>
      <c r="S16" s="216"/>
      <c r="T16" s="216"/>
      <c r="U16" s="216"/>
      <c r="V16" s="216"/>
      <c r="W16" s="216"/>
      <c r="X16" s="216"/>
      <c r="Y16" s="216"/>
      <c r="Z16" s="216"/>
    </row>
    <row r="17" spans="1:26" ht="15.75" customHeight="1">
      <c r="A17" s="185">
        <f>'BY Class'!B15</f>
        <v>78</v>
      </c>
      <c r="B17" s="186">
        <v>-0.23035813996151</v>
      </c>
      <c r="C17" s="191">
        <v>8.4070921743295806</v>
      </c>
      <c r="D17" s="187">
        <v>8.75</v>
      </c>
      <c r="E17" s="188">
        <v>0</v>
      </c>
      <c r="F17" s="189">
        <v>0.112549685708906</v>
      </c>
      <c r="G17" s="185">
        <f t="shared" si="0"/>
        <v>78</v>
      </c>
      <c r="H17" s="191" t="s">
        <v>749</v>
      </c>
      <c r="I17" s="187" t="s">
        <v>749</v>
      </c>
      <c r="J17" s="188">
        <v>0</v>
      </c>
      <c r="K17" s="204" t="s">
        <v>749</v>
      </c>
      <c r="L17" s="209">
        <f t="shared" si="1"/>
        <v>78</v>
      </c>
      <c r="M17" s="191" t="e">
        <f>'BY Class'!K15</f>
        <v>#REF!</v>
      </c>
      <c r="N17" s="187" t="e">
        <f>'BY Class'!L15</f>
        <v>#REF!</v>
      </c>
      <c r="O17" s="188">
        <f>'BY Class'!J15</f>
        <v>0</v>
      </c>
      <c r="P17" s="204" t="e">
        <f>'BY Class'!P15</f>
        <v>#REF!</v>
      </c>
      <c r="Q17" s="216"/>
      <c r="R17" s="216"/>
      <c r="S17" s="216"/>
      <c r="T17" s="216"/>
      <c r="U17" s="216"/>
      <c r="V17" s="216"/>
      <c r="W17" s="216"/>
      <c r="X17" s="216"/>
      <c r="Y17" s="216"/>
      <c r="Z17" s="216"/>
    </row>
    <row r="18" spans="1:26" ht="15.75" customHeight="1">
      <c r="A18" s="185">
        <f>'BY Class'!B16</f>
        <v>84</v>
      </c>
      <c r="B18" s="186">
        <v>1.1900427917722001</v>
      </c>
      <c r="C18" s="191">
        <v>8.4070921743295806</v>
      </c>
      <c r="D18" s="187">
        <v>4.25</v>
      </c>
      <c r="E18" s="188">
        <v>0</v>
      </c>
      <c r="F18" s="189">
        <v>-2.9670493825573798</v>
      </c>
      <c r="G18" s="185">
        <f t="shared" si="0"/>
        <v>84</v>
      </c>
      <c r="H18" s="191" t="s">
        <v>749</v>
      </c>
      <c r="I18" s="187" t="s">
        <v>749</v>
      </c>
      <c r="J18" s="188">
        <v>0</v>
      </c>
      <c r="K18" s="204" t="s">
        <v>749</v>
      </c>
      <c r="L18" s="209">
        <f t="shared" si="1"/>
        <v>84</v>
      </c>
      <c r="M18" s="191" t="e">
        <f>'BY Class'!K16</f>
        <v>#REF!</v>
      </c>
      <c r="N18" s="187" t="e">
        <f>'BY Class'!L16</f>
        <v>#REF!</v>
      </c>
      <c r="O18" s="188">
        <f>'BY Class'!J16</f>
        <v>0</v>
      </c>
      <c r="P18" s="204" t="e">
        <f>'BY Class'!P16</f>
        <v>#REF!</v>
      </c>
      <c r="Q18" s="216"/>
      <c r="R18" s="216"/>
      <c r="S18" s="216"/>
      <c r="T18" s="216"/>
      <c r="U18" s="216"/>
      <c r="V18" s="216"/>
      <c r="W18" s="216"/>
      <c r="X18" s="216"/>
      <c r="Y18" s="216"/>
      <c r="Z18" s="216"/>
    </row>
    <row r="19" spans="1:26" ht="15.75" customHeight="1">
      <c r="A19" s="185">
        <f>'BY Class'!B17</f>
        <v>85</v>
      </c>
      <c r="B19" s="186">
        <v>-0.56509910116080997</v>
      </c>
      <c r="C19" s="191">
        <v>8.4070921743295806</v>
      </c>
      <c r="D19" s="187">
        <v>8.15</v>
      </c>
      <c r="E19" s="188">
        <v>0</v>
      </c>
      <c r="F19" s="189">
        <v>-0.82219127549039595</v>
      </c>
      <c r="G19" s="185">
        <f t="shared" si="0"/>
        <v>85</v>
      </c>
      <c r="H19" s="191" t="s">
        <v>749</v>
      </c>
      <c r="I19" s="187" t="s">
        <v>749</v>
      </c>
      <c r="J19" s="188">
        <v>0</v>
      </c>
      <c r="K19" s="204" t="s">
        <v>749</v>
      </c>
      <c r="L19" s="209">
        <f t="shared" si="1"/>
        <v>85</v>
      </c>
      <c r="M19" s="191" t="e">
        <f>'BY Class'!K17</f>
        <v>#REF!</v>
      </c>
      <c r="N19" s="187" t="e">
        <f>'BY Class'!L17</f>
        <v>#REF!</v>
      </c>
      <c r="O19" s="188">
        <f>'BY Class'!J17</f>
        <v>3</v>
      </c>
      <c r="P19" s="204" t="e">
        <f>'BY Class'!P17</f>
        <v>#REF!</v>
      </c>
      <c r="Q19" s="216"/>
      <c r="R19" s="216"/>
      <c r="S19" s="216"/>
      <c r="T19" s="216"/>
      <c r="U19" s="216"/>
      <c r="V19" s="216"/>
      <c r="W19" s="216"/>
      <c r="X19" s="216"/>
      <c r="Y19" s="216"/>
      <c r="Z19" s="216"/>
    </row>
    <row r="20" spans="1:26" ht="15.75" customHeight="1">
      <c r="A20" s="192">
        <f>'BY Class'!B18</f>
        <v>86</v>
      </c>
      <c r="B20" s="193">
        <v>0.47266667640536603</v>
      </c>
      <c r="C20" s="198">
        <v>8.4070921743295806</v>
      </c>
      <c r="D20" s="194">
        <v>7.5</v>
      </c>
      <c r="E20" s="195">
        <v>0</v>
      </c>
      <c r="F20" s="196">
        <v>-0.43442549792421797</v>
      </c>
      <c r="G20" s="192">
        <f t="shared" si="0"/>
        <v>86</v>
      </c>
      <c r="H20" s="198" t="s">
        <v>749</v>
      </c>
      <c r="I20" s="194" t="s">
        <v>749</v>
      </c>
      <c r="J20" s="195">
        <v>0</v>
      </c>
      <c r="K20" s="202" t="s">
        <v>749</v>
      </c>
      <c r="L20" s="210">
        <f t="shared" si="1"/>
        <v>86</v>
      </c>
      <c r="M20" s="198" t="e">
        <f>'BY Class'!K18</f>
        <v>#REF!</v>
      </c>
      <c r="N20" s="194" t="e">
        <f>'BY Class'!L18</f>
        <v>#REF!</v>
      </c>
      <c r="O20" s="195">
        <f>'BY Class'!J18</f>
        <v>3</v>
      </c>
      <c r="P20" s="202" t="e">
        <f>'BY Class'!P18</f>
        <v>#REF!</v>
      </c>
      <c r="Q20" s="216"/>
      <c r="R20" s="216"/>
      <c r="S20" s="216"/>
      <c r="T20" s="216"/>
      <c r="U20" s="216"/>
      <c r="V20" s="216"/>
      <c r="W20" s="216"/>
      <c r="X20" s="216"/>
      <c r="Y20" s="216"/>
      <c r="Z20" s="216"/>
    </row>
    <row r="21" spans="1:26" ht="15.75" customHeight="1">
      <c r="A21" s="178">
        <f>'BY Class'!B19</f>
        <v>90</v>
      </c>
      <c r="B21" s="179">
        <v>1.2647043937867299</v>
      </c>
      <c r="C21" s="184">
        <v>8.4070921743295806</v>
      </c>
      <c r="D21" s="180">
        <v>8.25</v>
      </c>
      <c r="E21" s="181">
        <v>0</v>
      </c>
      <c r="F21" s="182">
        <v>1.1076122194571401</v>
      </c>
      <c r="G21" s="178">
        <f t="shared" si="0"/>
        <v>90</v>
      </c>
      <c r="H21" s="184" t="s">
        <v>749</v>
      </c>
      <c r="I21" s="180" t="s">
        <v>749</v>
      </c>
      <c r="J21" s="181">
        <v>0</v>
      </c>
      <c r="K21" s="206" t="s">
        <v>749</v>
      </c>
      <c r="L21" s="208">
        <f t="shared" si="1"/>
        <v>90</v>
      </c>
      <c r="M21" s="184" t="e">
        <f>'BY Class'!K19</f>
        <v>#REF!</v>
      </c>
      <c r="N21" s="180" t="e">
        <f>'BY Class'!L19</f>
        <v>#REF!</v>
      </c>
      <c r="O21" s="181">
        <f>'BY Class'!J19</f>
        <v>6</v>
      </c>
      <c r="P21" s="206" t="e">
        <f>'BY Class'!P19</f>
        <v>#REF!</v>
      </c>
      <c r="Q21" s="216"/>
      <c r="R21" s="216"/>
      <c r="S21" s="216"/>
      <c r="T21" s="216"/>
      <c r="U21" s="216"/>
      <c r="V21" s="216"/>
      <c r="W21" s="216"/>
      <c r="X21" s="216"/>
      <c r="Y21" s="216"/>
      <c r="Z21" s="216"/>
    </row>
    <row r="22" spans="1:26" ht="15.75" customHeight="1">
      <c r="A22" s="199">
        <f>'BY Class'!B20</f>
        <v>91</v>
      </c>
      <c r="B22" s="186">
        <v>0.45587169004252298</v>
      </c>
      <c r="C22" s="191">
        <v>8.4070921743295806</v>
      </c>
      <c r="D22" s="187">
        <v>8.4070920692654401</v>
      </c>
      <c r="E22" s="188">
        <v>0</v>
      </c>
      <c r="F22" s="189">
        <v>0.45587158497837899</v>
      </c>
      <c r="G22" s="185">
        <f t="shared" si="0"/>
        <v>91</v>
      </c>
      <c r="H22" s="191" t="s">
        <v>749</v>
      </c>
      <c r="I22" s="187" t="s">
        <v>749</v>
      </c>
      <c r="J22" s="188">
        <v>0</v>
      </c>
      <c r="K22" s="204" t="s">
        <v>749</v>
      </c>
      <c r="L22" s="209">
        <f t="shared" si="1"/>
        <v>91</v>
      </c>
      <c r="M22" s="191" t="e">
        <f>'BY Class'!K20</f>
        <v>#REF!</v>
      </c>
      <c r="N22" s="187" t="e">
        <f>'BY Class'!L20</f>
        <v>#REF!</v>
      </c>
      <c r="O22" s="188">
        <f>'BY Class'!J20</f>
        <v>0</v>
      </c>
      <c r="P22" s="204" t="e">
        <f>'BY Class'!P20</f>
        <v>#REF!</v>
      </c>
      <c r="Q22" s="216"/>
      <c r="R22" s="216"/>
      <c r="S22" s="216"/>
      <c r="T22" s="216"/>
      <c r="U22" s="216"/>
      <c r="V22" s="216"/>
      <c r="W22" s="216"/>
      <c r="X22" s="216"/>
      <c r="Y22" s="216"/>
      <c r="Z22" s="216"/>
    </row>
    <row r="23" spans="1:26" ht="15.75" customHeight="1">
      <c r="A23" s="185">
        <f>'BY Class'!B21</f>
        <v>92</v>
      </c>
      <c r="B23" s="186">
        <v>1.8245426536892799</v>
      </c>
      <c r="C23" s="191">
        <v>8.4070921743295806</v>
      </c>
      <c r="D23" s="187">
        <v>6.6666666666666696</v>
      </c>
      <c r="E23" s="188">
        <v>0</v>
      </c>
      <c r="F23" s="189">
        <v>8.4117146026365205E-2</v>
      </c>
      <c r="G23" s="185">
        <f t="shared" si="0"/>
        <v>92</v>
      </c>
      <c r="H23" s="191" t="s">
        <v>749</v>
      </c>
      <c r="I23" s="187" t="s">
        <v>749</v>
      </c>
      <c r="J23" s="188">
        <v>0</v>
      </c>
      <c r="K23" s="204" t="s">
        <v>749</v>
      </c>
      <c r="L23" s="209">
        <f t="shared" si="1"/>
        <v>92</v>
      </c>
      <c r="M23" s="191" t="e">
        <f>'BY Class'!K21</f>
        <v>#REF!</v>
      </c>
      <c r="N23" s="187" t="e">
        <f>'BY Class'!L21</f>
        <v>#REF!</v>
      </c>
      <c r="O23" s="188">
        <f>'BY Class'!J21</f>
        <v>0</v>
      </c>
      <c r="P23" s="204" t="e">
        <f>'BY Class'!P21</f>
        <v>#REF!</v>
      </c>
      <c r="Q23" s="216"/>
      <c r="R23" s="216"/>
      <c r="S23" s="216"/>
      <c r="T23" s="216"/>
      <c r="U23" s="216"/>
      <c r="V23" s="216"/>
      <c r="W23" s="216"/>
      <c r="X23" s="216"/>
      <c r="Y23" s="216"/>
      <c r="Z23" s="216"/>
    </row>
    <row r="24" spans="1:26" ht="15.75" customHeight="1">
      <c r="A24" s="185">
        <f>'BY Class'!B22</f>
        <v>102</v>
      </c>
      <c r="B24" s="186">
        <v>-2.0921240129773899</v>
      </c>
      <c r="C24" s="191">
        <v>8.4070921743295806</v>
      </c>
      <c r="D24" s="187">
        <v>8</v>
      </c>
      <c r="E24" s="188">
        <v>0</v>
      </c>
      <c r="F24" s="189">
        <v>-2.49921618730697</v>
      </c>
      <c r="G24" s="185">
        <f t="shared" si="0"/>
        <v>102</v>
      </c>
      <c r="H24" s="191" t="s">
        <v>749</v>
      </c>
      <c r="I24" s="187" t="s">
        <v>749</v>
      </c>
      <c r="J24" s="188">
        <v>0</v>
      </c>
      <c r="K24" s="204" t="s">
        <v>749</v>
      </c>
      <c r="L24" s="209">
        <f t="shared" si="1"/>
        <v>102</v>
      </c>
      <c r="M24" s="191" t="e">
        <f>'BY Class'!K22</f>
        <v>#REF!</v>
      </c>
      <c r="N24" s="187" t="e">
        <f>'BY Class'!L22</f>
        <v>#REF!</v>
      </c>
      <c r="O24" s="188">
        <f>'BY Class'!J22</f>
        <v>3</v>
      </c>
      <c r="P24" s="204" t="e">
        <f>'BY Class'!P22</f>
        <v>#REF!</v>
      </c>
      <c r="Q24" s="216"/>
      <c r="R24" s="216"/>
      <c r="S24" s="216"/>
      <c r="T24" s="216"/>
      <c r="U24" s="216"/>
      <c r="V24" s="216"/>
      <c r="W24" s="216"/>
      <c r="X24" s="216"/>
      <c r="Y24" s="216"/>
      <c r="Z24" s="216"/>
    </row>
    <row r="25" spans="1:26" ht="15.75" customHeight="1">
      <c r="A25" s="185">
        <f>'BY Class'!B23</f>
        <v>103</v>
      </c>
      <c r="B25" s="186">
        <v>0.291209320355938</v>
      </c>
      <c r="C25" s="191">
        <v>8.4070921743295806</v>
      </c>
      <c r="D25" s="187">
        <v>8.25</v>
      </c>
      <c r="E25" s="188">
        <v>0</v>
      </c>
      <c r="F25" s="189">
        <v>0.13411714602635399</v>
      </c>
      <c r="G25" s="185">
        <f t="shared" si="0"/>
        <v>103</v>
      </c>
      <c r="H25" s="191" t="s">
        <v>749</v>
      </c>
      <c r="I25" s="187" t="s">
        <v>749</v>
      </c>
      <c r="J25" s="188">
        <v>0</v>
      </c>
      <c r="K25" s="204" t="s">
        <v>749</v>
      </c>
      <c r="L25" s="209">
        <f t="shared" si="1"/>
        <v>103</v>
      </c>
      <c r="M25" s="191" t="e">
        <f>'BY Class'!K23</f>
        <v>#REF!</v>
      </c>
      <c r="N25" s="187" t="e">
        <f>'BY Class'!L23</f>
        <v>#REF!</v>
      </c>
      <c r="O25" s="188">
        <f>'BY Class'!J23</f>
        <v>0</v>
      </c>
      <c r="P25" s="204" t="e">
        <f>'BY Class'!P23</f>
        <v>#REF!</v>
      </c>
      <c r="Q25" s="216"/>
      <c r="R25" s="216"/>
      <c r="S25" s="216"/>
      <c r="T25" s="216"/>
      <c r="U25" s="216"/>
      <c r="V25" s="216"/>
      <c r="W25" s="216"/>
      <c r="X25" s="216"/>
      <c r="Y25" s="216"/>
      <c r="Z25" s="216"/>
    </row>
    <row r="26" spans="1:26" ht="15.75" customHeight="1">
      <c r="A26" s="185">
        <f>'BY Class'!B24</f>
        <v>112</v>
      </c>
      <c r="B26" s="186">
        <v>-1.5706160764694499</v>
      </c>
      <c r="C26" s="191">
        <v>8.4070921743295806</v>
      </c>
      <c r="D26" s="187">
        <v>7.8333333333333304</v>
      </c>
      <c r="E26" s="188">
        <v>0</v>
      </c>
      <c r="F26" s="189">
        <v>-2.1443749174656999</v>
      </c>
      <c r="G26" s="185">
        <f t="shared" si="0"/>
        <v>112</v>
      </c>
      <c r="H26" s="191" t="s">
        <v>749</v>
      </c>
      <c r="I26" s="187" t="s">
        <v>749</v>
      </c>
      <c r="J26" s="188">
        <v>0</v>
      </c>
      <c r="K26" s="204" t="s">
        <v>749</v>
      </c>
      <c r="L26" s="209">
        <f t="shared" si="1"/>
        <v>112</v>
      </c>
      <c r="M26" s="191" t="e">
        <f>'BY Class'!K24</f>
        <v>#REF!</v>
      </c>
      <c r="N26" s="187" t="e">
        <f>'BY Class'!L24</f>
        <v>#REF!</v>
      </c>
      <c r="O26" s="188">
        <f>'BY Class'!J24</f>
        <v>0</v>
      </c>
      <c r="P26" s="204" t="e">
        <f>'BY Class'!P24</f>
        <v>#REF!</v>
      </c>
      <c r="Q26" s="216"/>
      <c r="R26" s="216"/>
      <c r="S26" s="216"/>
      <c r="T26" s="216"/>
      <c r="U26" s="216"/>
      <c r="V26" s="216"/>
      <c r="W26" s="216"/>
      <c r="X26" s="216"/>
      <c r="Y26" s="216"/>
      <c r="Z26" s="216"/>
    </row>
    <row r="27" spans="1:26" ht="15.75" customHeight="1">
      <c r="A27" s="185">
        <f>'BY Class'!B25</f>
        <v>113</v>
      </c>
      <c r="B27" s="186">
        <v>1.55975489883726</v>
      </c>
      <c r="C27" s="191">
        <v>8.4070921743295806</v>
      </c>
      <c r="D27" s="187">
        <v>8.6666666666666696</v>
      </c>
      <c r="E27" s="188">
        <v>0</v>
      </c>
      <c r="F27" s="189">
        <v>1.81932939117434</v>
      </c>
      <c r="G27" s="185">
        <f t="shared" si="0"/>
        <v>113</v>
      </c>
      <c r="H27" s="191" t="s">
        <v>749</v>
      </c>
      <c r="I27" s="187" t="s">
        <v>749</v>
      </c>
      <c r="J27" s="188">
        <v>0</v>
      </c>
      <c r="K27" s="204" t="s">
        <v>749</v>
      </c>
      <c r="L27" s="209">
        <f t="shared" si="1"/>
        <v>113</v>
      </c>
      <c r="M27" s="191" t="e">
        <f>'BY Class'!K25</f>
        <v>#REF!</v>
      </c>
      <c r="N27" s="187" t="e">
        <f>'BY Class'!L25</f>
        <v>#REF!</v>
      </c>
      <c r="O27" s="188">
        <f>'BY Class'!J25</f>
        <v>0</v>
      </c>
      <c r="P27" s="204" t="e">
        <f>'BY Class'!P25</f>
        <v>#REF!</v>
      </c>
      <c r="Q27" s="216"/>
      <c r="R27" s="216"/>
      <c r="S27" s="216"/>
      <c r="T27" s="216"/>
      <c r="U27" s="216"/>
      <c r="V27" s="216"/>
      <c r="W27" s="216"/>
      <c r="X27" s="216"/>
      <c r="Y27" s="216"/>
      <c r="Z27" s="216"/>
    </row>
    <row r="28" spans="1:26" ht="15.75" customHeight="1">
      <c r="A28" s="192">
        <f>'BY Class'!B26</f>
        <v>114</v>
      </c>
      <c r="B28" s="193">
        <v>2.0627172568638898</v>
      </c>
      <c r="C28" s="198">
        <v>8.4070921743295806</v>
      </c>
      <c r="D28" s="194">
        <v>7.1666666666666696</v>
      </c>
      <c r="E28" s="195">
        <v>0</v>
      </c>
      <c r="F28" s="196">
        <v>0.82229174920097403</v>
      </c>
      <c r="G28" s="192">
        <f t="shared" si="0"/>
        <v>114</v>
      </c>
      <c r="H28" s="198" t="s">
        <v>749</v>
      </c>
      <c r="I28" s="194" t="s">
        <v>749</v>
      </c>
      <c r="J28" s="195">
        <v>0</v>
      </c>
      <c r="K28" s="202" t="s">
        <v>749</v>
      </c>
      <c r="L28" s="210">
        <f t="shared" si="1"/>
        <v>114</v>
      </c>
      <c r="M28" s="198" t="e">
        <f>'BY Class'!K26</f>
        <v>#REF!</v>
      </c>
      <c r="N28" s="194" t="e">
        <f>'BY Class'!L26</f>
        <v>#REF!</v>
      </c>
      <c r="O28" s="195">
        <f>'BY Class'!J26</f>
        <v>0</v>
      </c>
      <c r="P28" s="202" t="e">
        <f>'BY Class'!P26</f>
        <v>#REF!</v>
      </c>
      <c r="Q28" s="216"/>
      <c r="R28" s="216"/>
      <c r="S28" s="216"/>
      <c r="T28" s="216"/>
      <c r="U28" s="216"/>
      <c r="V28" s="216"/>
      <c r="W28" s="216"/>
      <c r="X28" s="216"/>
      <c r="Y28" s="216"/>
      <c r="Z28" s="216"/>
    </row>
    <row r="29" spans="1:26" ht="15.75" customHeight="1">
      <c r="A29" s="178">
        <f>'BY Class'!B27</f>
        <v>118</v>
      </c>
      <c r="B29" s="179">
        <v>0.71410763119543497</v>
      </c>
      <c r="C29" s="184">
        <v>8.4070921743295806</v>
      </c>
      <c r="D29" s="180">
        <v>9</v>
      </c>
      <c r="E29" s="181">
        <v>0</v>
      </c>
      <c r="F29" s="182">
        <v>1.3070154568658501</v>
      </c>
      <c r="G29" s="178">
        <f t="shared" si="0"/>
        <v>118</v>
      </c>
      <c r="H29" s="184" t="s">
        <v>749</v>
      </c>
      <c r="I29" s="180" t="s">
        <v>749</v>
      </c>
      <c r="J29" s="181">
        <v>0</v>
      </c>
      <c r="K29" s="206" t="s">
        <v>749</v>
      </c>
      <c r="L29" s="208">
        <f t="shared" si="1"/>
        <v>118</v>
      </c>
      <c r="M29" s="184" t="e">
        <f>'BY Class'!K27</f>
        <v>#REF!</v>
      </c>
      <c r="N29" s="180" t="e">
        <f>'BY Class'!L27</f>
        <v>#REF!</v>
      </c>
      <c r="O29" s="181">
        <f>'BY Class'!J27</f>
        <v>0</v>
      </c>
      <c r="P29" s="206" t="e">
        <f>'BY Class'!P27</f>
        <v>#REF!</v>
      </c>
      <c r="Q29" s="216"/>
      <c r="R29" s="216"/>
      <c r="S29" s="216"/>
      <c r="T29" s="216"/>
      <c r="U29" s="216"/>
      <c r="V29" s="216"/>
      <c r="W29" s="216"/>
      <c r="X29" s="216"/>
      <c r="Y29" s="216"/>
      <c r="Z29" s="216"/>
    </row>
    <row r="30" spans="1:26" ht="15.75" customHeight="1">
      <c r="A30" s="185">
        <f>'BY Class'!B28</f>
        <v>120</v>
      </c>
      <c r="B30" s="186">
        <v>1.1043839235305499</v>
      </c>
      <c r="C30" s="191">
        <v>8.4070921743295806</v>
      </c>
      <c r="D30" s="187">
        <v>10.75</v>
      </c>
      <c r="E30" s="188">
        <v>0</v>
      </c>
      <c r="F30" s="189">
        <v>3.4472917492009598</v>
      </c>
      <c r="G30" s="185">
        <f t="shared" si="0"/>
        <v>120</v>
      </c>
      <c r="H30" s="191" t="s">
        <v>749</v>
      </c>
      <c r="I30" s="187" t="s">
        <v>749</v>
      </c>
      <c r="J30" s="188">
        <v>0</v>
      </c>
      <c r="K30" s="204" t="s">
        <v>749</v>
      </c>
      <c r="L30" s="211">
        <f t="shared" si="1"/>
        <v>120</v>
      </c>
      <c r="M30" s="191" t="e">
        <f>'BY Class'!K28</f>
        <v>#REF!</v>
      </c>
      <c r="N30" s="187" t="e">
        <f>'BY Class'!L28</f>
        <v>#REF!</v>
      </c>
      <c r="O30" s="188">
        <f>'BY Class'!J28</f>
        <v>0</v>
      </c>
      <c r="P30" s="204" t="e">
        <f>'BY Class'!P28</f>
        <v>#REF!</v>
      </c>
      <c r="Q30" s="216"/>
      <c r="R30" s="216"/>
      <c r="S30" s="216"/>
      <c r="T30" s="216"/>
      <c r="U30" s="216"/>
      <c r="V30" s="216"/>
      <c r="W30" s="216"/>
      <c r="X30" s="216"/>
      <c r="Y30" s="216"/>
      <c r="Z30" s="216"/>
    </row>
    <row r="31" spans="1:26" ht="15.75" customHeight="1">
      <c r="A31" s="185">
        <f>'BY Class'!B29</f>
        <v>128</v>
      </c>
      <c r="B31" s="186">
        <v>-0.51456138896944903</v>
      </c>
      <c r="C31" s="191">
        <v>8.4070921743295806</v>
      </c>
      <c r="D31" s="187">
        <v>9.25</v>
      </c>
      <c r="E31" s="188">
        <v>0</v>
      </c>
      <c r="F31" s="189">
        <v>0.32834643670096703</v>
      </c>
      <c r="G31" s="185">
        <f t="shared" si="0"/>
        <v>128</v>
      </c>
      <c r="H31" s="191" t="s">
        <v>749</v>
      </c>
      <c r="I31" s="187" t="s">
        <v>749</v>
      </c>
      <c r="J31" s="188">
        <v>0</v>
      </c>
      <c r="K31" s="204" t="s">
        <v>749</v>
      </c>
      <c r="L31" s="209">
        <f t="shared" si="1"/>
        <v>128</v>
      </c>
      <c r="M31" s="191" t="e">
        <f>'BY Class'!K29</f>
        <v>#REF!</v>
      </c>
      <c r="N31" s="187" t="e">
        <f>'BY Class'!L29</f>
        <v>#REF!</v>
      </c>
      <c r="O31" s="188">
        <f>'BY Class'!J29</f>
        <v>7</v>
      </c>
      <c r="P31" s="204" t="e">
        <f>'BY Class'!P29</f>
        <v>#REF!</v>
      </c>
      <c r="Q31" s="216"/>
      <c r="R31" s="216"/>
      <c r="S31" s="216"/>
      <c r="T31" s="216"/>
      <c r="U31" s="216"/>
      <c r="V31" s="216"/>
      <c r="W31" s="216"/>
      <c r="X31" s="216"/>
      <c r="Y31" s="216"/>
      <c r="Z31" s="216"/>
    </row>
    <row r="32" spans="1:26" ht="15.75" customHeight="1">
      <c r="A32" s="185" t="e">
        <f>'BY Class'!#REF!</f>
        <v>#REF!</v>
      </c>
      <c r="B32" s="186">
        <v>1.93490089883919</v>
      </c>
      <c r="C32" s="191">
        <v>8.4070921743295806</v>
      </c>
      <c r="D32" s="187">
        <v>9.25</v>
      </c>
      <c r="E32" s="188">
        <v>0</v>
      </c>
      <c r="F32" s="189">
        <v>2.7778087245096001</v>
      </c>
      <c r="G32" s="185" t="e">
        <f t="shared" si="0"/>
        <v>#REF!</v>
      </c>
      <c r="H32" s="191" t="s">
        <v>749</v>
      </c>
      <c r="I32" s="187" t="s">
        <v>749</v>
      </c>
      <c r="J32" s="188">
        <v>0</v>
      </c>
      <c r="K32" s="204" t="s">
        <v>749</v>
      </c>
      <c r="L32" s="209" t="e">
        <f t="shared" si="1"/>
        <v>#REF!</v>
      </c>
      <c r="M32" s="191" t="e">
        <f>'BY Class'!#REF!</f>
        <v>#REF!</v>
      </c>
      <c r="N32" s="187" t="e">
        <f>'BY Class'!#REF!</f>
        <v>#REF!</v>
      </c>
      <c r="O32" s="188" t="e">
        <f>'BY Class'!#REF!</f>
        <v>#REF!</v>
      </c>
      <c r="P32" s="204" t="e">
        <f>'BY Class'!#REF!</f>
        <v>#REF!</v>
      </c>
      <c r="Q32" s="216"/>
      <c r="R32" s="216"/>
      <c r="S32" s="216"/>
      <c r="T32" s="216"/>
      <c r="U32" s="216"/>
      <c r="V32" s="216"/>
      <c r="W32" s="216"/>
      <c r="X32" s="216"/>
      <c r="Y32" s="216"/>
      <c r="Z32" s="216"/>
    </row>
    <row r="33" spans="1:26" ht="15.75" customHeight="1">
      <c r="A33" s="185">
        <f>'BY Class'!B30</f>
        <v>129</v>
      </c>
      <c r="B33" s="186">
        <v>-0.60879067964405298</v>
      </c>
      <c r="C33" s="191">
        <v>8.4070921743295806</v>
      </c>
      <c r="D33" s="187">
        <v>8.75</v>
      </c>
      <c r="E33" s="188">
        <v>0</v>
      </c>
      <c r="F33" s="189">
        <v>-0.26588285397363698</v>
      </c>
      <c r="G33" s="185">
        <f t="shared" si="0"/>
        <v>129</v>
      </c>
      <c r="H33" s="191" t="s">
        <v>749</v>
      </c>
      <c r="I33" s="187" t="s">
        <v>749</v>
      </c>
      <c r="J33" s="188">
        <v>0</v>
      </c>
      <c r="K33" s="204" t="s">
        <v>749</v>
      </c>
      <c r="L33" s="209">
        <f t="shared" si="1"/>
        <v>129</v>
      </c>
      <c r="M33" s="191" t="e">
        <f>'BY Class'!K30</f>
        <v>#REF!</v>
      </c>
      <c r="N33" s="187" t="e">
        <f>'BY Class'!L30</f>
        <v>#REF!</v>
      </c>
      <c r="O33" s="188">
        <f>'BY Class'!J30</f>
        <v>0</v>
      </c>
      <c r="P33" s="204" t="e">
        <f>'BY Class'!P30</f>
        <v>#REF!</v>
      </c>
      <c r="Q33" s="216"/>
      <c r="R33" s="216"/>
      <c r="S33" s="216"/>
      <c r="T33" s="216"/>
      <c r="U33" s="216"/>
      <c r="V33" s="216"/>
      <c r="W33" s="216"/>
      <c r="X33" s="216"/>
      <c r="Y33" s="216"/>
      <c r="Z33" s="216"/>
    </row>
    <row r="34" spans="1:26" ht="15.75" customHeight="1">
      <c r="A34" s="200">
        <f>'BY Class'!B31</f>
        <v>134</v>
      </c>
      <c r="B34" s="186">
        <v>-0.56692260039251996</v>
      </c>
      <c r="C34" s="191">
        <v>8.4070921743295806</v>
      </c>
      <c r="D34" s="187">
        <v>8.4070918493775597</v>
      </c>
      <c r="E34" s="188">
        <v>0</v>
      </c>
      <c r="F34" s="189">
        <v>-0.56692292534454103</v>
      </c>
      <c r="G34" s="185">
        <f t="shared" si="0"/>
        <v>134</v>
      </c>
      <c r="H34" s="191" t="s">
        <v>749</v>
      </c>
      <c r="I34" s="187" t="s">
        <v>749</v>
      </c>
      <c r="J34" s="188">
        <v>0</v>
      </c>
      <c r="K34" s="204" t="s">
        <v>749</v>
      </c>
      <c r="L34" s="209">
        <f t="shared" si="1"/>
        <v>134</v>
      </c>
      <c r="M34" s="191" t="e">
        <f>'BY Class'!K31</f>
        <v>#REF!</v>
      </c>
      <c r="N34" s="187" t="e">
        <f>'BY Class'!L31</f>
        <v>#REF!</v>
      </c>
      <c r="O34" s="188">
        <f>'BY Class'!J31</f>
        <v>0</v>
      </c>
      <c r="P34" s="204" t="e">
        <f>'BY Class'!P31</f>
        <v>#REF!</v>
      </c>
      <c r="Q34" s="216"/>
      <c r="R34" s="216"/>
      <c r="S34" s="216"/>
      <c r="T34" s="216"/>
      <c r="U34" s="216"/>
      <c r="V34" s="216"/>
      <c r="W34" s="216"/>
      <c r="X34" s="216"/>
      <c r="Y34" s="216"/>
      <c r="Z34" s="216"/>
    </row>
    <row r="35" spans="1:26" ht="15.75" customHeight="1">
      <c r="A35" s="185">
        <f>'BY Class'!B32</f>
        <v>135</v>
      </c>
      <c r="B35" s="186">
        <v>1.4578759870226099</v>
      </c>
      <c r="C35" s="191">
        <v>8.4070921743295806</v>
      </c>
      <c r="D35" s="187">
        <v>9.75</v>
      </c>
      <c r="E35" s="188">
        <v>0</v>
      </c>
      <c r="F35" s="189">
        <v>2.8007838126930298</v>
      </c>
      <c r="G35" s="185">
        <f t="shared" si="0"/>
        <v>135</v>
      </c>
      <c r="H35" s="191" t="s">
        <v>749</v>
      </c>
      <c r="I35" s="187" t="s">
        <v>749</v>
      </c>
      <c r="J35" s="188">
        <v>0</v>
      </c>
      <c r="K35" s="204" t="s">
        <v>749</v>
      </c>
      <c r="L35" s="209">
        <f t="shared" si="1"/>
        <v>135</v>
      </c>
      <c r="M35" s="191" t="e">
        <f>'BY Class'!K32</f>
        <v>#REF!</v>
      </c>
      <c r="N35" s="187" t="e">
        <f>'BY Class'!L32</f>
        <v>#REF!</v>
      </c>
      <c r="O35" s="188">
        <f>'BY Class'!J32</f>
        <v>7</v>
      </c>
      <c r="P35" s="204" t="e">
        <f>'BY Class'!P32</f>
        <v>#REF!</v>
      </c>
      <c r="Q35" s="216"/>
      <c r="R35" s="216"/>
      <c r="S35" s="216"/>
      <c r="T35" s="216"/>
      <c r="U35" s="216"/>
      <c r="V35" s="216"/>
      <c r="W35" s="216"/>
      <c r="X35" s="216"/>
      <c r="Y35" s="216"/>
      <c r="Z35" s="216"/>
    </row>
    <row r="36" spans="1:26" ht="15.75" customHeight="1">
      <c r="A36" s="192">
        <f>'BY Class'!B33</f>
        <v>137</v>
      </c>
      <c r="B36" s="193">
        <v>-1.1514942432588901E-2</v>
      </c>
      <c r="C36" s="198">
        <v>8.4070921743295806</v>
      </c>
      <c r="D36" s="194">
        <v>8.25</v>
      </c>
      <c r="E36" s="195">
        <v>0</v>
      </c>
      <c r="F36" s="196">
        <v>-0.16860711676217299</v>
      </c>
      <c r="G36" s="192">
        <f t="shared" si="0"/>
        <v>137</v>
      </c>
      <c r="H36" s="198" t="s">
        <v>749</v>
      </c>
      <c r="I36" s="194" t="s">
        <v>749</v>
      </c>
      <c r="J36" s="195">
        <v>0</v>
      </c>
      <c r="K36" s="202" t="s">
        <v>749</v>
      </c>
      <c r="L36" s="212">
        <f t="shared" si="1"/>
        <v>137</v>
      </c>
      <c r="M36" s="198" t="e">
        <f>'BY Class'!K33</f>
        <v>#REF!</v>
      </c>
      <c r="N36" s="194" t="e">
        <f>'BY Class'!L33</f>
        <v>#REF!</v>
      </c>
      <c r="O36" s="195">
        <f>'BY Class'!J33</f>
        <v>3</v>
      </c>
      <c r="P36" s="202" t="e">
        <f>'BY Class'!P33</f>
        <v>#REF!</v>
      </c>
      <c r="Q36" s="216"/>
      <c r="R36" s="216"/>
      <c r="S36" s="216"/>
      <c r="T36" s="216"/>
      <c r="U36" s="216"/>
      <c r="V36" s="216"/>
      <c r="W36" s="216"/>
      <c r="X36" s="216"/>
      <c r="Y36" s="216"/>
      <c r="Z36" s="216"/>
    </row>
    <row r="37" spans="1:26" ht="15.75" customHeight="1">
      <c r="A37" s="178">
        <f>'BY Class'!B34</f>
        <v>138</v>
      </c>
      <c r="B37" s="179">
        <v>-9.0828106396358493E-2</v>
      </c>
      <c r="C37" s="184">
        <v>8.4070921743295806</v>
      </c>
      <c r="D37" s="180">
        <v>9.43333333333333</v>
      </c>
      <c r="E37" s="181">
        <v>0</v>
      </c>
      <c r="F37" s="182">
        <v>0.93541305260738905</v>
      </c>
      <c r="G37" s="178">
        <f t="shared" si="0"/>
        <v>138</v>
      </c>
      <c r="H37" s="184" t="s">
        <v>749</v>
      </c>
      <c r="I37" s="180" t="s">
        <v>749</v>
      </c>
      <c r="J37" s="181">
        <v>0</v>
      </c>
      <c r="K37" s="206" t="s">
        <v>749</v>
      </c>
      <c r="L37" s="208">
        <f t="shared" si="1"/>
        <v>138</v>
      </c>
      <c r="M37" s="184" t="e">
        <f>'BY Class'!K34</f>
        <v>#REF!</v>
      </c>
      <c r="N37" s="180" t="e">
        <f>'BY Class'!L34</f>
        <v>#REF!</v>
      </c>
      <c r="O37" s="181">
        <f>'BY Class'!J34</f>
        <v>3</v>
      </c>
      <c r="P37" s="206" t="e">
        <f>'BY Class'!P34</f>
        <v>#REF!</v>
      </c>
      <c r="Q37" s="216"/>
      <c r="R37" s="216"/>
      <c r="S37" s="216"/>
      <c r="T37" s="216"/>
      <c r="U37" s="216"/>
      <c r="V37" s="216"/>
      <c r="W37" s="216"/>
      <c r="X37" s="216"/>
      <c r="Y37" s="216"/>
      <c r="Z37" s="216"/>
    </row>
    <row r="38" spans="1:26" ht="15.75" customHeight="1">
      <c r="A38" s="199">
        <f>'BY Class'!B35</f>
        <v>140</v>
      </c>
      <c r="B38" s="186">
        <v>-1.28728274313612</v>
      </c>
      <c r="C38" s="191">
        <v>8.4070921743295806</v>
      </c>
      <c r="D38" s="187">
        <v>8.4070914645029493</v>
      </c>
      <c r="E38" s="188">
        <v>0</v>
      </c>
      <c r="F38" s="189">
        <v>-1.2872834529627499</v>
      </c>
      <c r="G38" s="185">
        <f t="shared" si="0"/>
        <v>140</v>
      </c>
      <c r="H38" s="191" t="s">
        <v>749</v>
      </c>
      <c r="I38" s="187" t="s">
        <v>749</v>
      </c>
      <c r="J38" s="188">
        <v>0</v>
      </c>
      <c r="K38" s="204" t="s">
        <v>749</v>
      </c>
      <c r="L38" s="209">
        <f t="shared" si="1"/>
        <v>140</v>
      </c>
      <c r="M38" s="191" t="e">
        <f>'BY Class'!K35</f>
        <v>#REF!</v>
      </c>
      <c r="N38" s="187" t="e">
        <f>'BY Class'!L35</f>
        <v>#REF!</v>
      </c>
      <c r="O38" s="188">
        <f>'BY Class'!J35</f>
        <v>0</v>
      </c>
      <c r="P38" s="204" t="e">
        <f>'BY Class'!P35</f>
        <v>#REF!</v>
      </c>
      <c r="Q38" s="216"/>
      <c r="R38" s="216"/>
      <c r="S38" s="216"/>
      <c r="T38" s="216"/>
      <c r="U38" s="216"/>
      <c r="V38" s="216"/>
      <c r="W38" s="216"/>
      <c r="X38" s="216"/>
      <c r="Y38" s="216"/>
      <c r="Z38" s="216"/>
    </row>
    <row r="39" spans="1:26" ht="15.75" customHeight="1">
      <c r="A39" s="185">
        <f>'BY Class'!B36</f>
        <v>141</v>
      </c>
      <c r="B39" s="186">
        <v>2.9586437877261398</v>
      </c>
      <c r="C39" s="191">
        <v>8.4070921743295806</v>
      </c>
      <c r="D39" s="187">
        <v>9.25</v>
      </c>
      <c r="E39" s="188">
        <v>0</v>
      </c>
      <c r="F39" s="189">
        <v>3.8015516133965499</v>
      </c>
      <c r="G39" s="185">
        <f t="shared" si="0"/>
        <v>141</v>
      </c>
      <c r="H39" s="191" t="s">
        <v>749</v>
      </c>
      <c r="I39" s="187" t="s">
        <v>749</v>
      </c>
      <c r="J39" s="188">
        <v>0</v>
      </c>
      <c r="K39" s="204" t="s">
        <v>749</v>
      </c>
      <c r="L39" s="209">
        <f t="shared" si="1"/>
        <v>141</v>
      </c>
      <c r="M39" s="191" t="e">
        <f>'BY Class'!K36</f>
        <v>#REF!</v>
      </c>
      <c r="N39" s="187" t="e">
        <f>'BY Class'!L36</f>
        <v>#REF!</v>
      </c>
      <c r="O39" s="188">
        <f>'BY Class'!J36</f>
        <v>3</v>
      </c>
      <c r="P39" s="204" t="e">
        <f>'BY Class'!P36</f>
        <v>#REF!</v>
      </c>
      <c r="Q39" s="216"/>
      <c r="R39" s="216"/>
      <c r="S39" s="216"/>
      <c r="T39" s="216"/>
      <c r="U39" s="216"/>
      <c r="V39" s="216"/>
      <c r="W39" s="216"/>
      <c r="X39" s="216"/>
      <c r="Y39" s="216"/>
      <c r="Z39" s="216"/>
    </row>
    <row r="40" spans="1:26" ht="15.75" customHeight="1">
      <c r="A40" s="185">
        <f>'BY Class'!B37</f>
        <v>147</v>
      </c>
      <c r="B40" s="186">
        <v>-2.4206160764694502</v>
      </c>
      <c r="C40" s="191">
        <v>8.4070921743295806</v>
      </c>
      <c r="D40" s="187">
        <v>11</v>
      </c>
      <c r="E40" s="188">
        <v>0</v>
      </c>
      <c r="F40" s="189">
        <v>0.17229174920096599</v>
      </c>
      <c r="G40" s="185">
        <f t="shared" si="0"/>
        <v>147</v>
      </c>
      <c r="H40" s="191" t="s">
        <v>749</v>
      </c>
      <c r="I40" s="187" t="s">
        <v>749</v>
      </c>
      <c r="J40" s="188">
        <v>0</v>
      </c>
      <c r="K40" s="204" t="s">
        <v>749</v>
      </c>
      <c r="L40" s="209">
        <f t="shared" si="1"/>
        <v>147</v>
      </c>
      <c r="M40" s="191" t="e">
        <f>'BY Class'!K37</f>
        <v>#REF!</v>
      </c>
      <c r="N40" s="187" t="e">
        <f>'BY Class'!L37</f>
        <v>#REF!</v>
      </c>
      <c r="O40" s="188">
        <f>'BY Class'!J37</f>
        <v>6</v>
      </c>
      <c r="P40" s="204" t="e">
        <f>'BY Class'!P37</f>
        <v>#REF!</v>
      </c>
      <c r="Q40" s="216"/>
      <c r="R40" s="216"/>
      <c r="S40" s="216"/>
      <c r="T40" s="216"/>
      <c r="U40" s="216"/>
      <c r="V40" s="216"/>
      <c r="W40" s="216"/>
      <c r="X40" s="216"/>
      <c r="Y40" s="216"/>
      <c r="Z40" s="216"/>
    </row>
    <row r="41" spans="1:26" ht="15.75" customHeight="1">
      <c r="A41" s="185">
        <f>'BY Class'!B38</f>
        <v>152</v>
      </c>
      <c r="B41" s="186">
        <v>1.85856756550587</v>
      </c>
      <c r="C41" s="191">
        <v>8.4070921743295806</v>
      </c>
      <c r="D41" s="187">
        <v>9.4</v>
      </c>
      <c r="E41" s="188">
        <v>0</v>
      </c>
      <c r="F41" s="189">
        <v>2.85147539117628</v>
      </c>
      <c r="G41" s="185">
        <f t="shared" si="0"/>
        <v>152</v>
      </c>
      <c r="H41" s="191" t="s">
        <v>749</v>
      </c>
      <c r="I41" s="187" t="s">
        <v>749</v>
      </c>
      <c r="J41" s="188">
        <v>0</v>
      </c>
      <c r="K41" s="204" t="s">
        <v>749</v>
      </c>
      <c r="L41" s="209">
        <f t="shared" si="1"/>
        <v>152</v>
      </c>
      <c r="M41" s="191" t="e">
        <f>'BY Class'!K38</f>
        <v>#REF!</v>
      </c>
      <c r="N41" s="187" t="e">
        <f>'BY Class'!L38</f>
        <v>#REF!</v>
      </c>
      <c r="O41" s="188">
        <f>'BY Class'!J38</f>
        <v>3</v>
      </c>
      <c r="P41" s="204" t="e">
        <f>'BY Class'!P38</f>
        <v>#REF!</v>
      </c>
      <c r="Q41" s="216"/>
      <c r="R41" s="216"/>
      <c r="S41" s="216"/>
      <c r="T41" s="216"/>
      <c r="U41" s="216"/>
      <c r="V41" s="216"/>
      <c r="W41" s="216"/>
      <c r="X41" s="216"/>
      <c r="Y41" s="216"/>
      <c r="Z41" s="216"/>
    </row>
    <row r="42" spans="1:26" ht="15.75" customHeight="1">
      <c r="A42" s="185">
        <f>'BY Class'!B39</f>
        <v>153</v>
      </c>
      <c r="B42" s="186">
        <v>-0.476906930815303</v>
      </c>
      <c r="C42" s="191">
        <v>8.4070921743295806</v>
      </c>
      <c r="D42" s="187">
        <v>10.983333333333301</v>
      </c>
      <c r="E42" s="188">
        <v>0</v>
      </c>
      <c r="F42" s="189">
        <v>2.0993342281884502</v>
      </c>
      <c r="G42" s="185">
        <f t="shared" si="0"/>
        <v>153</v>
      </c>
      <c r="H42" s="191" t="s">
        <v>749</v>
      </c>
      <c r="I42" s="187" t="s">
        <v>749</v>
      </c>
      <c r="J42" s="188">
        <v>0</v>
      </c>
      <c r="K42" s="204" t="s">
        <v>749</v>
      </c>
      <c r="L42" s="209">
        <f t="shared" si="1"/>
        <v>153</v>
      </c>
      <c r="M42" s="191" t="e">
        <f>'BY Class'!K39</f>
        <v>#REF!</v>
      </c>
      <c r="N42" s="187" t="e">
        <f>'BY Class'!L39</f>
        <v>#REF!</v>
      </c>
      <c r="O42" s="188">
        <f>'BY Class'!J39</f>
        <v>0</v>
      </c>
      <c r="P42" s="204" t="e">
        <f>'BY Class'!P39</f>
        <v>#REF!</v>
      </c>
      <c r="Q42" s="216"/>
      <c r="R42" s="216"/>
      <c r="S42" s="216"/>
      <c r="T42" s="216"/>
      <c r="U42" s="216"/>
      <c r="V42" s="216"/>
      <c r="W42" s="216"/>
      <c r="X42" s="216"/>
      <c r="Y42" s="216"/>
      <c r="Z42" s="216"/>
    </row>
    <row r="43" spans="1:26" ht="15.75" customHeight="1">
      <c r="A43" s="185">
        <f>'BY Class'!B40</f>
        <v>161</v>
      </c>
      <c r="B43" s="186">
        <v>1.11447731558172</v>
      </c>
      <c r="C43" s="191">
        <v>8.4070921743295806</v>
      </c>
      <c r="D43" s="187">
        <v>9.8000000000000007</v>
      </c>
      <c r="E43" s="188">
        <v>0</v>
      </c>
      <c r="F43" s="189">
        <v>2.50738514125214</v>
      </c>
      <c r="G43" s="185">
        <f t="shared" si="0"/>
        <v>161</v>
      </c>
      <c r="H43" s="191" t="s">
        <v>749</v>
      </c>
      <c r="I43" s="187" t="s">
        <v>749</v>
      </c>
      <c r="J43" s="188">
        <v>0</v>
      </c>
      <c r="K43" s="204" t="s">
        <v>749</v>
      </c>
      <c r="L43" s="209">
        <f t="shared" si="1"/>
        <v>161</v>
      </c>
      <c r="M43" s="191" t="e">
        <f>'BY Class'!K40</f>
        <v>#REF!</v>
      </c>
      <c r="N43" s="187" t="e">
        <f>'BY Class'!L40</f>
        <v>#REF!</v>
      </c>
      <c r="O43" s="188">
        <f>'BY Class'!J40</f>
        <v>0</v>
      </c>
      <c r="P43" s="204" t="e">
        <f>'BY Class'!P40</f>
        <v>#REF!</v>
      </c>
      <c r="Q43" s="216"/>
      <c r="R43" s="216"/>
      <c r="S43" s="216"/>
      <c r="T43" s="216"/>
      <c r="U43" s="216"/>
      <c r="V43" s="216"/>
      <c r="W43" s="216"/>
      <c r="X43" s="216"/>
      <c r="Y43" s="216"/>
      <c r="Z43" s="216"/>
    </row>
    <row r="44" spans="1:26" ht="15.75" customHeight="1">
      <c r="A44" s="192">
        <f>'BY Class'!B41</f>
        <v>178</v>
      </c>
      <c r="B44" s="193">
        <v>4.3543839235305501</v>
      </c>
      <c r="C44" s="198">
        <v>8.4070921743295806</v>
      </c>
      <c r="D44" s="194">
        <v>8</v>
      </c>
      <c r="E44" s="195">
        <v>0</v>
      </c>
      <c r="F44" s="196">
        <v>3.9472917492009598</v>
      </c>
      <c r="G44" s="192">
        <f t="shared" si="0"/>
        <v>178</v>
      </c>
      <c r="H44" s="198" t="s">
        <v>749</v>
      </c>
      <c r="I44" s="194" t="s">
        <v>749</v>
      </c>
      <c r="J44" s="195">
        <v>0</v>
      </c>
      <c r="K44" s="202" t="s">
        <v>749</v>
      </c>
      <c r="L44" s="210">
        <f t="shared" si="1"/>
        <v>178</v>
      </c>
      <c r="M44" s="198" t="e">
        <f>'BY Class'!K41</f>
        <v>#REF!</v>
      </c>
      <c r="N44" s="194" t="e">
        <f>'BY Class'!L41</f>
        <v>#REF!</v>
      </c>
      <c r="O44" s="195">
        <f>'BY Class'!J41</f>
        <v>0</v>
      </c>
      <c r="P44" s="202" t="e">
        <f>'BY Class'!P41</f>
        <v>#REF!</v>
      </c>
      <c r="Q44" s="216"/>
      <c r="R44" s="216"/>
      <c r="S44" s="216"/>
      <c r="T44" s="216"/>
      <c r="U44" s="216"/>
      <c r="V44" s="216"/>
      <c r="W44" s="216"/>
      <c r="X44" s="216"/>
      <c r="Y44" s="216"/>
      <c r="Z44" s="216"/>
    </row>
    <row r="45" spans="1:26" ht="15.75" customHeight="1">
      <c r="A45" s="178">
        <f>'BY Class'!B42</f>
        <v>181</v>
      </c>
      <c r="B45" s="187">
        <v>-0.83728274313613005</v>
      </c>
      <c r="C45" s="184">
        <v>8.4070921743295806</v>
      </c>
      <c r="D45" s="180">
        <v>10</v>
      </c>
      <c r="E45" s="181">
        <v>0</v>
      </c>
      <c r="F45" s="189">
        <v>0.75562508253428495</v>
      </c>
      <c r="G45" s="178">
        <f t="shared" si="0"/>
        <v>181</v>
      </c>
      <c r="H45" s="187" t="s">
        <v>749</v>
      </c>
      <c r="I45" s="187" t="s">
        <v>749</v>
      </c>
      <c r="J45" s="203">
        <v>0</v>
      </c>
      <c r="K45" s="206" t="s">
        <v>749</v>
      </c>
      <c r="L45" s="209">
        <f t="shared" si="1"/>
        <v>181</v>
      </c>
      <c r="M45" s="184" t="e">
        <f>'BY Class'!K42</f>
        <v>#REF!</v>
      </c>
      <c r="N45" s="180" t="e">
        <f>'BY Class'!L42</f>
        <v>#REF!</v>
      </c>
      <c r="O45" s="181">
        <f>'BY Class'!J42</f>
        <v>6</v>
      </c>
      <c r="P45" s="206" t="e">
        <f>'BY Class'!P42</f>
        <v>#REF!</v>
      </c>
      <c r="Q45" s="216"/>
      <c r="R45" s="216"/>
      <c r="S45" s="216"/>
      <c r="T45" s="216"/>
      <c r="U45" s="216"/>
      <c r="V45" s="216"/>
      <c r="W45" s="216"/>
      <c r="X45" s="216"/>
      <c r="Y45" s="216"/>
      <c r="Z45" s="216"/>
    </row>
    <row r="46" spans="1:26" ht="15.75" customHeight="1">
      <c r="A46" s="185">
        <f>'BY Class'!B43</f>
        <v>186</v>
      </c>
      <c r="B46" s="187">
        <v>3.0806032597498798</v>
      </c>
      <c r="C46" s="191">
        <v>8.4070921743295806</v>
      </c>
      <c r="D46" s="187">
        <v>10.25</v>
      </c>
      <c r="E46" s="188">
        <v>0</v>
      </c>
      <c r="F46" s="189">
        <v>4.9235110854202899</v>
      </c>
      <c r="G46" s="185">
        <f t="shared" si="0"/>
        <v>186</v>
      </c>
      <c r="H46" s="187" t="s">
        <v>749</v>
      </c>
      <c r="I46" s="187" t="s">
        <v>749</v>
      </c>
      <c r="J46" s="203">
        <v>0</v>
      </c>
      <c r="K46" s="204" t="s">
        <v>749</v>
      </c>
      <c r="L46" s="209">
        <f t="shared" si="1"/>
        <v>186</v>
      </c>
      <c r="M46" s="191" t="e">
        <f>'BY Class'!K45</f>
        <v>#REF!</v>
      </c>
      <c r="N46" s="187" t="e">
        <f>'BY Class'!L45</f>
        <v>#REF!</v>
      </c>
      <c r="O46" s="188">
        <f>'BY Class'!J45</f>
        <v>0</v>
      </c>
      <c r="P46" s="204" t="e">
        <f>'BY Class'!P45</f>
        <v>#REF!</v>
      </c>
      <c r="Q46" s="216"/>
      <c r="R46" s="216"/>
      <c r="S46" s="216"/>
      <c r="T46" s="216"/>
      <c r="U46" s="216"/>
      <c r="V46" s="216"/>
      <c r="W46" s="216"/>
      <c r="X46" s="216"/>
      <c r="Y46" s="216"/>
      <c r="Z46" s="216"/>
    </row>
    <row r="47" spans="1:26" ht="15.75" customHeight="1">
      <c r="A47" s="185">
        <f>'BY Class'!B44</f>
        <v>190</v>
      </c>
      <c r="B47" s="187">
        <v>1.91755852670515</v>
      </c>
      <c r="C47" s="191">
        <v>8.4070921743295806</v>
      </c>
      <c r="D47" s="187">
        <v>9.5</v>
      </c>
      <c r="E47" s="188">
        <v>0</v>
      </c>
      <c r="F47" s="189">
        <v>3.0104663523755701</v>
      </c>
      <c r="G47" s="185">
        <f t="shared" si="0"/>
        <v>190</v>
      </c>
      <c r="H47" s="187" t="s">
        <v>749</v>
      </c>
      <c r="I47" s="187" t="s">
        <v>749</v>
      </c>
      <c r="J47" s="203">
        <v>0</v>
      </c>
      <c r="K47" s="204" t="s">
        <v>749</v>
      </c>
      <c r="L47" s="209">
        <f t="shared" si="1"/>
        <v>190</v>
      </c>
      <c r="M47" s="191" t="e">
        <f>'BY Class'!K46</f>
        <v>#REF!</v>
      </c>
      <c r="N47" s="187" t="e">
        <f>'BY Class'!L46</f>
        <v>#REF!</v>
      </c>
      <c r="O47" s="188">
        <f>'BY Class'!J46</f>
        <v>0</v>
      </c>
      <c r="P47" s="204" t="e">
        <f>'BY Class'!P46</f>
        <v>#REF!</v>
      </c>
      <c r="Q47" s="216"/>
      <c r="R47" s="216"/>
      <c r="S47" s="216"/>
      <c r="T47" s="216"/>
      <c r="U47" s="216"/>
      <c r="V47" s="216"/>
      <c r="W47" s="216"/>
      <c r="X47" s="216"/>
      <c r="Y47" s="216"/>
      <c r="Z47" s="216"/>
    </row>
    <row r="48" spans="1:26" ht="15.75" customHeight="1">
      <c r="A48" s="185">
        <f>'BY Class'!B45</f>
        <v>196</v>
      </c>
      <c r="B48" s="187">
        <v>-2.9622827431361101</v>
      </c>
      <c r="C48" s="191">
        <v>8.4070921743295806</v>
      </c>
      <c r="D48" s="187">
        <v>10</v>
      </c>
      <c r="E48" s="188">
        <v>0</v>
      </c>
      <c r="F48" s="189">
        <v>-1.36937491746569</v>
      </c>
      <c r="G48" s="185">
        <f t="shared" si="0"/>
        <v>196</v>
      </c>
      <c r="H48" s="187" t="s">
        <v>749</v>
      </c>
      <c r="I48" s="187" t="s">
        <v>749</v>
      </c>
      <c r="J48" s="203">
        <v>0</v>
      </c>
      <c r="K48" s="204" t="s">
        <v>749</v>
      </c>
      <c r="L48" s="209">
        <f t="shared" si="1"/>
        <v>196</v>
      </c>
      <c r="M48" s="191" t="e">
        <f>'BY Class'!K47</f>
        <v>#REF!</v>
      </c>
      <c r="N48" s="187" t="e">
        <f>'BY Class'!L47</f>
        <v>#REF!</v>
      </c>
      <c r="O48" s="188">
        <f>'BY Class'!J47</f>
        <v>0</v>
      </c>
      <c r="P48" s="204" t="e">
        <f>'BY Class'!P47</f>
        <v>#REF!</v>
      </c>
      <c r="Q48" s="216"/>
      <c r="R48" s="216"/>
      <c r="S48" s="216"/>
      <c r="T48" s="216"/>
      <c r="U48" s="216"/>
      <c r="V48" s="216"/>
      <c r="W48" s="216"/>
      <c r="X48" s="216"/>
      <c r="Y48" s="216"/>
      <c r="Z48" s="216"/>
    </row>
    <row r="49" spans="1:26" ht="15.75" customHeight="1">
      <c r="A49" s="185">
        <f>'BY Class'!B46</f>
        <v>197</v>
      </c>
      <c r="B49" s="187">
        <v>3.6712545572275799</v>
      </c>
      <c r="C49" s="191">
        <v>5.6047281162197198</v>
      </c>
      <c r="D49" s="187">
        <v>9</v>
      </c>
      <c r="E49" s="188">
        <v>0</v>
      </c>
      <c r="F49" s="189">
        <v>7.0665264410078601</v>
      </c>
      <c r="G49" s="185">
        <f t="shared" si="0"/>
        <v>197</v>
      </c>
      <c r="H49" s="187" t="s">
        <v>749</v>
      </c>
      <c r="I49" s="187" t="s">
        <v>749</v>
      </c>
      <c r="J49" s="203">
        <v>0</v>
      </c>
      <c r="K49" s="204" t="s">
        <v>749</v>
      </c>
      <c r="L49" s="209">
        <f t="shared" si="1"/>
        <v>197</v>
      </c>
      <c r="M49" s="191" t="e">
        <f>'BY Class'!#REF!</f>
        <v>#REF!</v>
      </c>
      <c r="N49" s="187" t="e">
        <f>'BY Class'!#REF!</f>
        <v>#REF!</v>
      </c>
      <c r="O49" s="188" t="e">
        <f>'BY Class'!#REF!</f>
        <v>#REF!</v>
      </c>
      <c r="P49" s="204" t="e">
        <f>'BY Class'!#REF!</f>
        <v>#REF!</v>
      </c>
      <c r="Q49" s="216"/>
      <c r="R49" s="216"/>
      <c r="S49" s="216"/>
      <c r="T49" s="216"/>
      <c r="U49" s="216"/>
      <c r="V49" s="216"/>
      <c r="W49" s="216"/>
      <c r="X49" s="216"/>
      <c r="Y49" s="216"/>
      <c r="Z49" s="216"/>
    </row>
    <row r="50" spans="1:26" ht="15.75" customHeight="1">
      <c r="A50" s="185">
        <f>'BY Class'!B47</f>
        <v>198</v>
      </c>
      <c r="B50" s="187">
        <v>3.5210472568638802</v>
      </c>
      <c r="C50" s="191">
        <v>8.4070921743295806</v>
      </c>
      <c r="D50" s="187">
        <v>9.65</v>
      </c>
      <c r="E50" s="188">
        <v>0</v>
      </c>
      <c r="F50" s="189">
        <v>4.7639550825342996</v>
      </c>
      <c r="G50" s="185">
        <f t="shared" si="0"/>
        <v>198</v>
      </c>
      <c r="H50" s="187" t="s">
        <v>749</v>
      </c>
      <c r="I50" s="187" t="s">
        <v>749</v>
      </c>
      <c r="J50" s="203">
        <v>0</v>
      </c>
      <c r="K50" s="204" t="s">
        <v>749</v>
      </c>
      <c r="L50" s="209">
        <f t="shared" si="1"/>
        <v>198</v>
      </c>
      <c r="M50" s="191" t="e">
        <f>'BY Class'!K48</f>
        <v>#REF!</v>
      </c>
      <c r="N50" s="187" t="e">
        <f>'BY Class'!L48</f>
        <v>#REF!</v>
      </c>
      <c r="O50" s="188">
        <f>'BY Class'!J48</f>
        <v>7</v>
      </c>
      <c r="P50" s="204" t="e">
        <f>'BY Class'!P48</f>
        <v>#REF!</v>
      </c>
      <c r="Q50" s="216"/>
      <c r="R50" s="216"/>
      <c r="S50" s="216"/>
      <c r="T50" s="216"/>
      <c r="U50" s="216"/>
      <c r="V50" s="216"/>
      <c r="W50" s="216"/>
      <c r="X50" s="216"/>
      <c r="Y50" s="216"/>
      <c r="Z50" s="216"/>
    </row>
    <row r="51" spans="1:26" ht="15.75" customHeight="1">
      <c r="A51" s="185">
        <f>'BY Class'!B48</f>
        <v>199</v>
      </c>
      <c r="B51" s="187">
        <v>-2.0700786411759902</v>
      </c>
      <c r="C51" s="191">
        <v>8.4070921743295806</v>
      </c>
      <c r="D51" s="187">
        <v>7.4666666666666703</v>
      </c>
      <c r="E51" s="188">
        <v>0</v>
      </c>
      <c r="F51" s="189">
        <v>-3.0105041488389102</v>
      </c>
      <c r="G51" s="185">
        <f t="shared" si="0"/>
        <v>199</v>
      </c>
      <c r="H51" s="187" t="s">
        <v>749</v>
      </c>
      <c r="I51" s="187" t="s">
        <v>749</v>
      </c>
      <c r="J51" s="203">
        <v>0</v>
      </c>
      <c r="K51" s="204" t="s">
        <v>749</v>
      </c>
      <c r="L51" s="209">
        <f t="shared" si="1"/>
        <v>199</v>
      </c>
      <c r="M51" s="191" t="e">
        <f>'BY Class'!K49</f>
        <v>#REF!</v>
      </c>
      <c r="N51" s="187" t="e">
        <f>'BY Class'!L49</f>
        <v>#REF!</v>
      </c>
      <c r="O51" s="188">
        <f>'BY Class'!J49</f>
        <v>3</v>
      </c>
      <c r="P51" s="204" t="e">
        <f>'BY Class'!P49</f>
        <v>#REF!</v>
      </c>
      <c r="Q51" s="216"/>
      <c r="R51" s="216"/>
      <c r="S51" s="216"/>
      <c r="T51" s="216"/>
      <c r="U51" s="216"/>
      <c r="V51" s="216"/>
      <c r="W51" s="216"/>
      <c r="X51" s="216"/>
      <c r="Y51" s="216"/>
      <c r="Z51" s="216"/>
    </row>
    <row r="52" spans="1:26" ht="15.75" customHeight="1">
      <c r="A52" s="197">
        <f>'BY Class'!B49</f>
        <v>200</v>
      </c>
      <c r="B52" s="193">
        <v>-0.138784832555641</v>
      </c>
      <c r="C52" s="194">
        <v>8.4070921743295806</v>
      </c>
      <c r="D52" s="194">
        <v>9.5</v>
      </c>
      <c r="E52" s="201">
        <v>0</v>
      </c>
      <c r="F52" s="202">
        <v>0.954122993114775</v>
      </c>
      <c r="G52" s="192">
        <f t="shared" si="0"/>
        <v>200</v>
      </c>
      <c r="H52" s="194" t="s">
        <v>749</v>
      </c>
      <c r="I52" s="194" t="s">
        <v>749</v>
      </c>
      <c r="J52" s="201">
        <v>0</v>
      </c>
      <c r="K52" s="202" t="s">
        <v>749</v>
      </c>
      <c r="L52" s="210">
        <f t="shared" si="1"/>
        <v>200</v>
      </c>
      <c r="M52" s="198" t="e">
        <f>'BY Class'!K50</f>
        <v>#REF!</v>
      </c>
      <c r="N52" s="194" t="e">
        <f>'BY Class'!L50</f>
        <v>#REF!</v>
      </c>
      <c r="O52" s="195">
        <f>'BY Class'!J50</f>
        <v>0</v>
      </c>
      <c r="P52" s="213" t="e">
        <f>'BY Class'!P50</f>
        <v>#REF!</v>
      </c>
      <c r="Q52" s="216"/>
      <c r="R52" s="216"/>
      <c r="S52" s="216"/>
      <c r="T52" s="216"/>
      <c r="U52" s="216"/>
      <c r="V52" s="216"/>
      <c r="W52" s="216"/>
      <c r="X52" s="216"/>
      <c r="Y52" s="216"/>
      <c r="Z52" s="216"/>
    </row>
    <row r="53" spans="1:26" ht="15.75" customHeight="1">
      <c r="A53" s="190">
        <f>'BY Class'!B50</f>
        <v>201</v>
      </c>
      <c r="B53" s="186">
        <v>0.47938392353053499</v>
      </c>
      <c r="C53" s="187">
        <v>8.4070921743295806</v>
      </c>
      <c r="D53" s="187">
        <v>9.7166666666666703</v>
      </c>
      <c r="E53" s="203">
        <v>0</v>
      </c>
      <c r="F53" s="204">
        <v>1.7889584158676199</v>
      </c>
      <c r="G53" s="185">
        <f t="shared" si="0"/>
        <v>201</v>
      </c>
      <c r="H53" s="187" t="s">
        <v>749</v>
      </c>
      <c r="I53" s="187" t="s">
        <v>749</v>
      </c>
      <c r="J53" s="203">
        <v>0</v>
      </c>
      <c r="K53" s="204" t="s">
        <v>749</v>
      </c>
      <c r="L53" s="209">
        <f t="shared" si="1"/>
        <v>201</v>
      </c>
      <c r="M53" s="191" t="e">
        <f>'BY Class'!K51</f>
        <v>#REF!</v>
      </c>
      <c r="N53" s="187" t="e">
        <f>'BY Class'!L51</f>
        <v>#REF!</v>
      </c>
      <c r="O53" s="188">
        <f>'BY Class'!J51</f>
        <v>0</v>
      </c>
      <c r="P53" s="214" t="e">
        <f>'BY Class'!P51</f>
        <v>#REF!</v>
      </c>
      <c r="Q53" s="216"/>
      <c r="R53" s="216"/>
      <c r="S53" s="216"/>
      <c r="T53" s="216"/>
      <c r="U53" s="216"/>
      <c r="V53" s="216"/>
      <c r="W53" s="216"/>
      <c r="X53" s="216"/>
      <c r="Y53" s="216"/>
      <c r="Z53" s="216"/>
    </row>
    <row r="54" spans="1:26" ht="15.75" customHeight="1">
      <c r="A54" s="190">
        <f>'BY Class'!B51</f>
        <v>202</v>
      </c>
      <c r="B54" s="186">
        <v>-1.5206160764694501</v>
      </c>
      <c r="C54" s="187">
        <v>8.4070921743295806</v>
      </c>
      <c r="D54" s="187">
        <v>8</v>
      </c>
      <c r="E54" s="203">
        <v>0</v>
      </c>
      <c r="F54" s="204">
        <v>-1.92770825079903</v>
      </c>
      <c r="G54" s="185">
        <f t="shared" si="0"/>
        <v>202</v>
      </c>
      <c r="H54" s="187" t="s">
        <v>749</v>
      </c>
      <c r="I54" s="187" t="s">
        <v>749</v>
      </c>
      <c r="J54" s="203">
        <v>0</v>
      </c>
      <c r="K54" s="204" t="s">
        <v>749</v>
      </c>
      <c r="L54" s="209">
        <f t="shared" si="1"/>
        <v>202</v>
      </c>
      <c r="M54" s="191" t="e">
        <f>'BY Class'!K52</f>
        <v>#REF!</v>
      </c>
      <c r="N54" s="187" t="e">
        <f>'BY Class'!L52</f>
        <v>#REF!</v>
      </c>
      <c r="O54" s="188">
        <f>'BY Class'!J52</f>
        <v>0</v>
      </c>
      <c r="P54" s="214" t="e">
        <f>'BY Class'!P52</f>
        <v>#REF!</v>
      </c>
      <c r="Q54" s="216"/>
      <c r="R54" s="216"/>
      <c r="S54" s="216"/>
      <c r="T54" s="216"/>
      <c r="U54" s="216"/>
      <c r="V54" s="216"/>
      <c r="W54" s="216"/>
      <c r="X54" s="216"/>
      <c r="Y54" s="216"/>
      <c r="Z54" s="216"/>
    </row>
    <row r="55" spans="1:26" ht="15.75" customHeight="1">
      <c r="A55" s="190">
        <f>'BY Class'!B52</f>
        <v>203</v>
      </c>
      <c r="B55" s="186">
        <v>-3.5556180704775402</v>
      </c>
      <c r="C55" s="187">
        <v>8.4070921743295806</v>
      </c>
      <c r="D55" s="187">
        <v>6.5</v>
      </c>
      <c r="E55" s="203">
        <v>0</v>
      </c>
      <c r="F55" s="204">
        <v>-5.4627102448071199</v>
      </c>
      <c r="G55" s="185">
        <f t="shared" si="0"/>
        <v>203</v>
      </c>
      <c r="H55" s="187" t="s">
        <v>749</v>
      </c>
      <c r="I55" s="187" t="s">
        <v>749</v>
      </c>
      <c r="J55" s="203">
        <v>0</v>
      </c>
      <c r="K55" s="204" t="s">
        <v>749</v>
      </c>
      <c r="L55" s="209">
        <f t="shared" si="1"/>
        <v>203</v>
      </c>
      <c r="M55" s="191" t="e">
        <f>'BY Class'!K53</f>
        <v>#REF!</v>
      </c>
      <c r="N55" s="187" t="e">
        <f>'BY Class'!L53</f>
        <v>#REF!</v>
      </c>
      <c r="O55" s="188">
        <f>'BY Class'!J53</f>
        <v>0</v>
      </c>
      <c r="P55" s="214" t="e">
        <f>'BY Class'!P53</f>
        <v>#REF!</v>
      </c>
      <c r="Q55" s="216"/>
      <c r="R55" s="216"/>
      <c r="S55" s="216"/>
      <c r="T55" s="216"/>
      <c r="U55" s="216"/>
      <c r="V55" s="216"/>
      <c r="W55" s="216"/>
      <c r="X55" s="216"/>
      <c r="Y55" s="216"/>
      <c r="Z55" s="216"/>
    </row>
    <row r="56" spans="1:26" ht="15.75" customHeight="1">
      <c r="A56" s="190">
        <f>'BY Class'!B53</f>
        <v>204</v>
      </c>
      <c r="B56" s="186">
        <v>0</v>
      </c>
      <c r="C56" s="187">
        <v>4.2035460871647903</v>
      </c>
      <c r="D56" s="187">
        <v>4.5</v>
      </c>
      <c r="E56" s="203">
        <v>0</v>
      </c>
      <c r="F56" s="204">
        <v>0.296453912835208</v>
      </c>
      <c r="G56" s="185">
        <f t="shared" si="0"/>
        <v>204</v>
      </c>
      <c r="H56" s="187" t="s">
        <v>749</v>
      </c>
      <c r="I56" s="187" t="s">
        <v>749</v>
      </c>
      <c r="J56" s="203">
        <v>0</v>
      </c>
      <c r="K56" s="204" t="s">
        <v>749</v>
      </c>
      <c r="L56" s="209">
        <f t="shared" si="1"/>
        <v>204</v>
      </c>
      <c r="M56" s="191" t="e">
        <f>'BY Class'!#REF!</f>
        <v>#REF!</v>
      </c>
      <c r="N56" s="187" t="e">
        <f>'BY Class'!#REF!</f>
        <v>#REF!</v>
      </c>
      <c r="O56" s="188" t="e">
        <f>'BY Class'!#REF!</f>
        <v>#REF!</v>
      </c>
      <c r="P56" s="214" t="e">
        <f>'BY Class'!#REF!</f>
        <v>#REF!</v>
      </c>
      <c r="Q56" s="216"/>
      <c r="R56" s="216"/>
      <c r="S56" s="216"/>
      <c r="T56" s="216"/>
      <c r="U56" s="216"/>
      <c r="V56" s="216"/>
      <c r="W56" s="216"/>
      <c r="X56" s="216"/>
      <c r="Y56" s="216"/>
      <c r="Z56" s="216"/>
    </row>
    <row r="57" spans="1:26" ht="15.75" customHeight="1">
      <c r="A57" s="190">
        <f>'BY Class'!B54</f>
        <v>205</v>
      </c>
      <c r="B57" s="186">
        <v>0</v>
      </c>
      <c r="C57" s="187">
        <v>8.4070921743295806</v>
      </c>
      <c r="D57" s="187">
        <v>9.25</v>
      </c>
      <c r="E57" s="203">
        <v>0</v>
      </c>
      <c r="F57" s="204">
        <v>0.842907825670416</v>
      </c>
      <c r="G57" s="185">
        <f t="shared" si="0"/>
        <v>205</v>
      </c>
      <c r="H57" s="187" t="s">
        <v>749</v>
      </c>
      <c r="I57" s="187" t="s">
        <v>749</v>
      </c>
      <c r="J57" s="203">
        <v>0</v>
      </c>
      <c r="K57" s="204" t="s">
        <v>749</v>
      </c>
      <c r="L57" s="209">
        <f t="shared" si="1"/>
        <v>205</v>
      </c>
      <c r="M57" s="191" t="e">
        <f>'BY Class'!K54</f>
        <v>#REF!</v>
      </c>
      <c r="N57" s="187" t="e">
        <f>'BY Class'!L54</f>
        <v>#REF!</v>
      </c>
      <c r="O57" s="188">
        <f>'BY Class'!J54</f>
        <v>0</v>
      </c>
      <c r="P57" s="214" t="e">
        <f>'BY Class'!P54</f>
        <v>#REF!</v>
      </c>
      <c r="Q57" s="216"/>
      <c r="R57" s="216"/>
      <c r="S57" s="216"/>
      <c r="T57" s="216"/>
      <c r="U57" s="216"/>
      <c r="V57" s="216"/>
      <c r="W57" s="216"/>
      <c r="X57" s="216"/>
      <c r="Y57" s="216"/>
      <c r="Z57" s="216"/>
    </row>
    <row r="58" spans="1:26" ht="15.75" customHeight="1">
      <c r="A58" s="190">
        <f>'BY Class'!B55</f>
        <v>206</v>
      </c>
      <c r="B58" s="186">
        <v>-1.4867530376706899</v>
      </c>
      <c r="C58" s="187">
        <v>8.4070921743295806</v>
      </c>
      <c r="D58" s="187">
        <v>8.75</v>
      </c>
      <c r="E58" s="203">
        <v>0</v>
      </c>
      <c r="F58" s="204">
        <v>-1.14384521200027</v>
      </c>
      <c r="G58" s="185">
        <f t="shared" si="0"/>
        <v>206</v>
      </c>
      <c r="H58" s="187" t="s">
        <v>749</v>
      </c>
      <c r="I58" s="187" t="s">
        <v>749</v>
      </c>
      <c r="J58" s="203">
        <v>0</v>
      </c>
      <c r="K58" s="204" t="s">
        <v>749</v>
      </c>
      <c r="L58" s="209">
        <f t="shared" si="1"/>
        <v>206</v>
      </c>
      <c r="M58" s="191" t="e">
        <f>'BY Class'!K55</f>
        <v>#REF!</v>
      </c>
      <c r="N58" s="187" t="e">
        <f>'BY Class'!L55</f>
        <v>#REF!</v>
      </c>
      <c r="O58" s="188">
        <f>'BY Class'!J55</f>
        <v>0</v>
      </c>
      <c r="P58" s="214" t="e">
        <f>'BY Class'!P55</f>
        <v>#REF!</v>
      </c>
      <c r="Q58" s="216"/>
      <c r="R58" s="216"/>
      <c r="S58" s="216"/>
      <c r="T58" s="216"/>
      <c r="U58" s="216"/>
      <c r="V58" s="216"/>
      <c r="W58" s="216"/>
      <c r="X58" s="216"/>
      <c r="Y58" s="216"/>
      <c r="Z58" s="216"/>
    </row>
    <row r="59" spans="1:26" ht="15.75" customHeight="1">
      <c r="A59" s="190">
        <f>'BY Class'!B56</f>
        <v>207</v>
      </c>
      <c r="B59" s="186">
        <v>-0.78728274313610902</v>
      </c>
      <c r="C59" s="187">
        <v>8.4070921743295806</v>
      </c>
      <c r="D59" s="187">
        <v>5.25</v>
      </c>
      <c r="E59" s="203">
        <v>0</v>
      </c>
      <c r="F59" s="204">
        <v>-3.9443749174656899</v>
      </c>
      <c r="G59" s="185">
        <f t="shared" si="0"/>
        <v>207</v>
      </c>
      <c r="H59" s="187" t="s">
        <v>749</v>
      </c>
      <c r="I59" s="187" t="s">
        <v>749</v>
      </c>
      <c r="J59" s="203">
        <v>0</v>
      </c>
      <c r="K59" s="204" t="s">
        <v>749</v>
      </c>
      <c r="L59" s="209">
        <f t="shared" si="1"/>
        <v>207</v>
      </c>
      <c r="M59" s="191" t="e">
        <f>'BY Class'!K56</f>
        <v>#REF!</v>
      </c>
      <c r="N59" s="187" t="e">
        <f>'BY Class'!L56</f>
        <v>#REF!</v>
      </c>
      <c r="O59" s="188">
        <f>'BY Class'!J56</f>
        <v>0</v>
      </c>
      <c r="P59" s="214" t="e">
        <f>'BY Class'!P56</f>
        <v>#REF!</v>
      </c>
      <c r="Q59" s="216"/>
      <c r="R59" s="216"/>
      <c r="S59" s="216"/>
      <c r="T59" s="216"/>
      <c r="U59" s="216"/>
      <c r="V59" s="216"/>
      <c r="W59" s="216"/>
      <c r="X59" s="216"/>
      <c r="Y59" s="216"/>
      <c r="Z59" s="216"/>
    </row>
    <row r="60" spans="1:26" ht="15.75" customHeight="1">
      <c r="A60" s="183">
        <f>'BY Class'!B57</f>
        <v>208</v>
      </c>
      <c r="B60" s="179">
        <v>0</v>
      </c>
      <c r="C60" s="180">
        <v>8.4070921743295806</v>
      </c>
      <c r="D60" s="180">
        <v>9.0833333333333304</v>
      </c>
      <c r="E60" s="205">
        <v>0</v>
      </c>
      <c r="F60" s="206">
        <v>0.67624115900374804</v>
      </c>
      <c r="G60" s="178">
        <f t="shared" si="0"/>
        <v>208</v>
      </c>
      <c r="H60" s="180" t="s">
        <v>749</v>
      </c>
      <c r="I60" s="180" t="s">
        <v>749</v>
      </c>
      <c r="J60" s="205">
        <v>0</v>
      </c>
      <c r="K60" s="206" t="s">
        <v>749</v>
      </c>
      <c r="L60" s="208">
        <f t="shared" si="1"/>
        <v>208</v>
      </c>
      <c r="M60" s="184" t="e">
        <f>'BY Class'!#REF!</f>
        <v>#REF!</v>
      </c>
      <c r="N60" s="180" t="e">
        <f>'BY Class'!#REF!</f>
        <v>#REF!</v>
      </c>
      <c r="O60" s="181" t="e">
        <f>'BY Class'!#REF!</f>
        <v>#REF!</v>
      </c>
      <c r="P60" s="215" t="e">
        <f>'BY Class'!#REF!</f>
        <v>#REF!</v>
      </c>
      <c r="Q60" s="216"/>
      <c r="R60" s="216"/>
      <c r="S60" s="216"/>
      <c r="T60" s="216"/>
      <c r="U60" s="216"/>
      <c r="V60" s="216"/>
      <c r="W60" s="216"/>
      <c r="X60" s="216"/>
      <c r="Y60" s="216"/>
      <c r="Z60" s="216"/>
    </row>
    <row r="61" spans="1:26" ht="15.75" customHeight="1">
      <c r="A61" s="185">
        <f>'BY Class'!B58</f>
        <v>209</v>
      </c>
      <c r="B61" s="186">
        <v>0.52886564332728503</v>
      </c>
      <c r="C61" s="191">
        <v>8.4070921743295806</v>
      </c>
      <c r="D61" s="187">
        <v>7.4999999999999902</v>
      </c>
      <c r="E61" s="203">
        <v>0</v>
      </c>
      <c r="F61" s="204">
        <v>-0.37822653100231102</v>
      </c>
      <c r="G61" s="185">
        <f t="shared" si="0"/>
        <v>209</v>
      </c>
      <c r="H61" s="187" t="s">
        <v>749</v>
      </c>
      <c r="I61" s="187" t="s">
        <v>749</v>
      </c>
      <c r="J61" s="203">
        <v>0</v>
      </c>
      <c r="K61" s="204" t="s">
        <v>749</v>
      </c>
      <c r="L61" s="209">
        <f t="shared" si="1"/>
        <v>209</v>
      </c>
      <c r="M61" s="191" t="e">
        <f>'BY Class'!K57</f>
        <v>#REF!</v>
      </c>
      <c r="N61" s="187" t="e">
        <f>'BY Class'!L57</f>
        <v>#REF!</v>
      </c>
      <c r="O61" s="188">
        <f>'BY Class'!J57</f>
        <v>0</v>
      </c>
      <c r="P61" s="214" t="e">
        <f>'BY Class'!P57</f>
        <v>#REF!</v>
      </c>
      <c r="Q61" s="216"/>
      <c r="R61" s="216"/>
      <c r="S61" s="216"/>
      <c r="T61" s="216"/>
      <c r="U61" s="216"/>
      <c r="V61" s="216"/>
      <c r="W61" s="216"/>
      <c r="X61" s="216"/>
      <c r="Y61" s="216"/>
      <c r="Z61" s="216"/>
    </row>
    <row r="62" spans="1:26" ht="15.75" customHeight="1">
      <c r="A62" s="185">
        <f>'BY Class'!B59</f>
        <v>210</v>
      </c>
      <c r="B62" s="186">
        <v>2.4787505786198301</v>
      </c>
      <c r="C62" s="191">
        <v>8.4070921743295806</v>
      </c>
      <c r="D62" s="187">
        <v>8.2999999999999901</v>
      </c>
      <c r="E62" s="203">
        <v>0</v>
      </c>
      <c r="F62" s="204">
        <v>2.37165840429024</v>
      </c>
      <c r="G62" s="185">
        <f t="shared" si="0"/>
        <v>210</v>
      </c>
      <c r="H62" s="187" t="s">
        <v>749</v>
      </c>
      <c r="I62" s="187" t="s">
        <v>749</v>
      </c>
      <c r="J62" s="203">
        <v>0</v>
      </c>
      <c r="K62" s="204" t="s">
        <v>749</v>
      </c>
      <c r="L62" s="209">
        <f t="shared" si="1"/>
        <v>210</v>
      </c>
      <c r="M62" s="191" t="e">
        <f>'BY Class'!K58</f>
        <v>#REF!</v>
      </c>
      <c r="N62" s="187" t="e">
        <f>'BY Class'!L58</f>
        <v>#REF!</v>
      </c>
      <c r="O62" s="188">
        <f>'BY Class'!J58</f>
        <v>0</v>
      </c>
      <c r="P62" s="214" t="e">
        <f>'BY Class'!P58</f>
        <v>#REF!</v>
      </c>
      <c r="Q62" s="216"/>
      <c r="R62" s="216"/>
      <c r="S62" s="216"/>
      <c r="T62" s="216"/>
      <c r="U62" s="216"/>
      <c r="V62" s="216"/>
      <c r="W62" s="216"/>
      <c r="X62" s="216"/>
      <c r="Y62" s="216"/>
      <c r="Z62" s="216"/>
    </row>
    <row r="63" spans="1:26" ht="15.75" customHeight="1">
      <c r="A63" s="185">
        <f>'BY Class'!B68</f>
        <v>0</v>
      </c>
      <c r="B63" s="186"/>
      <c r="C63" s="191"/>
      <c r="D63" s="187"/>
      <c r="E63" s="203"/>
      <c r="F63" s="204"/>
      <c r="G63" s="185">
        <f t="shared" si="0"/>
        <v>0</v>
      </c>
      <c r="H63" s="187"/>
      <c r="I63" s="187"/>
      <c r="J63" s="203"/>
      <c r="K63" s="204"/>
      <c r="L63" s="209">
        <f t="shared" si="1"/>
        <v>0</v>
      </c>
      <c r="M63" s="191"/>
      <c r="N63" s="187"/>
      <c r="O63" s="188"/>
      <c r="P63" s="214"/>
      <c r="Q63" s="216"/>
      <c r="R63" s="216"/>
      <c r="S63" s="216"/>
      <c r="T63" s="216"/>
      <c r="U63" s="216"/>
      <c r="V63" s="216"/>
      <c r="W63" s="216"/>
      <c r="X63" s="216"/>
      <c r="Y63" s="216"/>
      <c r="Z63" s="216"/>
    </row>
    <row r="64" spans="1:26" ht="15.75" customHeight="1">
      <c r="A64" s="192"/>
      <c r="B64" s="193"/>
      <c r="C64" s="198"/>
      <c r="D64" s="194"/>
      <c r="E64" s="201"/>
      <c r="F64" s="202"/>
      <c r="G64" s="192"/>
      <c r="H64" s="194"/>
      <c r="I64" s="194"/>
      <c r="J64" s="201"/>
      <c r="K64" s="202"/>
      <c r="L64" s="210"/>
      <c r="M64" s="198"/>
      <c r="N64" s="194"/>
      <c r="O64" s="195"/>
      <c r="P64" s="213"/>
      <c r="Q64" s="216"/>
      <c r="R64" s="216"/>
      <c r="S64" s="216"/>
      <c r="T64" s="216"/>
      <c r="U64" s="216"/>
      <c r="V64" s="216"/>
      <c r="W64" s="216"/>
      <c r="X64" s="216"/>
      <c r="Y64" s="216"/>
      <c r="Z64" s="216"/>
    </row>
    <row r="65" spans="1:26" ht="15.75" hidden="1" customHeight="1">
      <c r="A65" s="185"/>
      <c r="B65" s="186"/>
      <c r="C65" s="191"/>
      <c r="D65" s="187"/>
      <c r="E65" s="188"/>
      <c r="F65" s="189"/>
      <c r="G65" s="185"/>
      <c r="H65" s="191"/>
      <c r="I65" s="187"/>
      <c r="J65" s="188"/>
      <c r="K65" s="204"/>
      <c r="L65" s="209"/>
      <c r="M65" s="191"/>
      <c r="N65" s="187"/>
      <c r="O65" s="188"/>
      <c r="P65" s="204"/>
      <c r="Q65" s="216"/>
      <c r="R65" s="216"/>
      <c r="S65" s="216"/>
      <c r="T65" s="216"/>
      <c r="U65" s="216"/>
      <c r="V65" s="216"/>
      <c r="W65" s="216"/>
      <c r="X65" s="216"/>
      <c r="Y65" s="216"/>
      <c r="Z65" s="216"/>
    </row>
    <row r="66" spans="1:26" ht="15.75" hidden="1" customHeight="1">
      <c r="A66" s="185">
        <v>20</v>
      </c>
      <c r="B66" s="186">
        <v>3.6712545572275799</v>
      </c>
      <c r="C66" s="191">
        <v>5.6047281162197198</v>
      </c>
      <c r="D66" s="187">
        <v>9</v>
      </c>
      <c r="E66" s="188">
        <v>0</v>
      </c>
      <c r="F66" s="189">
        <v>7.0665264410078601</v>
      </c>
      <c r="G66" s="185">
        <v>20</v>
      </c>
      <c r="H66" s="191"/>
      <c r="I66" s="187"/>
      <c r="J66" s="188"/>
      <c r="K66" s="204"/>
      <c r="L66" s="209">
        <v>20</v>
      </c>
      <c r="M66" s="191"/>
      <c r="N66" s="187"/>
      <c r="O66" s="188"/>
      <c r="P66" s="204"/>
      <c r="Q66" s="216"/>
      <c r="R66" s="216"/>
      <c r="S66" s="216"/>
      <c r="T66" s="216"/>
      <c r="U66" s="216"/>
      <c r="V66" s="216"/>
      <c r="W66" s="216"/>
      <c r="X66" s="216"/>
      <c r="Y66" s="216"/>
      <c r="Z66" s="216"/>
    </row>
    <row r="67" spans="1:26" ht="15.75" hidden="1" customHeight="1">
      <c r="A67" s="185">
        <v>43</v>
      </c>
      <c r="B67" s="186" t="s">
        <v>146</v>
      </c>
      <c r="C67" s="191"/>
      <c r="D67" s="187"/>
      <c r="E67" s="188"/>
      <c r="F67" s="189" t="s">
        <v>146</v>
      </c>
      <c r="G67" s="185">
        <v>43</v>
      </c>
      <c r="H67" s="191"/>
      <c r="I67" s="187"/>
      <c r="J67" s="188"/>
      <c r="K67" s="204"/>
      <c r="L67" s="209">
        <v>43</v>
      </c>
      <c r="M67" s="191"/>
      <c r="N67" s="187"/>
      <c r="O67" s="188"/>
      <c r="P67" s="204"/>
      <c r="Q67" s="216"/>
      <c r="R67" s="216"/>
      <c r="S67" s="216"/>
      <c r="T67" s="216"/>
      <c r="U67" s="216"/>
      <c r="V67" s="216"/>
      <c r="W67" s="216"/>
      <c r="X67" s="216"/>
      <c r="Y67" s="216"/>
      <c r="Z67" s="216"/>
    </row>
    <row r="68" spans="1:26" ht="15.75" hidden="1" customHeight="1">
      <c r="A68" s="185">
        <v>61</v>
      </c>
      <c r="B68" s="929" t="s">
        <v>146</v>
      </c>
      <c r="C68" s="191"/>
      <c r="D68" s="187"/>
      <c r="E68" s="188"/>
      <c r="F68" s="189" t="s">
        <v>146</v>
      </c>
      <c r="G68" s="185">
        <v>61</v>
      </c>
      <c r="H68" s="191"/>
      <c r="I68" s="187"/>
      <c r="J68" s="188"/>
      <c r="K68" s="204"/>
      <c r="L68" s="209">
        <v>61</v>
      </c>
      <c r="M68" s="191"/>
      <c r="N68" s="187"/>
      <c r="O68" s="188"/>
      <c r="P68" s="204"/>
      <c r="Q68" s="216"/>
      <c r="R68" s="216"/>
      <c r="S68" s="216"/>
      <c r="T68" s="216"/>
      <c r="U68" s="216"/>
      <c r="V68" s="216"/>
      <c r="W68" s="216"/>
      <c r="X68" s="216"/>
      <c r="Y68" s="216"/>
      <c r="Z68" s="216"/>
    </row>
    <row r="69" spans="1:26" ht="15.75" hidden="1" customHeight="1">
      <c r="A69" s="192"/>
      <c r="B69" s="193"/>
      <c r="C69" s="198"/>
      <c r="D69" s="194"/>
      <c r="E69" s="195"/>
      <c r="F69" s="196"/>
      <c r="G69" s="192"/>
      <c r="H69" s="198"/>
      <c r="I69" s="194"/>
      <c r="J69" s="195"/>
      <c r="K69" s="202"/>
      <c r="L69" s="210"/>
      <c r="M69" s="198"/>
      <c r="N69" s="194"/>
      <c r="O69" s="195"/>
      <c r="P69" s="202"/>
      <c r="Q69" s="216"/>
      <c r="R69" s="216"/>
      <c r="S69" s="216"/>
      <c r="T69" s="216"/>
      <c r="U69" s="216"/>
      <c r="V69" s="216"/>
      <c r="W69" s="216"/>
      <c r="X69" s="216"/>
      <c r="Y69" s="216"/>
      <c r="Z69" s="216"/>
    </row>
    <row r="70" spans="1:26" ht="15.75" hidden="1" customHeight="1">
      <c r="A70" s="190">
        <v>88</v>
      </c>
      <c r="B70" s="186" t="s">
        <v>146</v>
      </c>
      <c r="C70" s="180">
        <v>12.610638261494399</v>
      </c>
      <c r="D70" s="217">
        <v>13.5833333333333</v>
      </c>
      <c r="E70" s="181"/>
      <c r="F70" s="215">
        <v>0.97269507183895798</v>
      </c>
      <c r="G70" s="190">
        <v>88</v>
      </c>
      <c r="H70" s="184"/>
      <c r="I70" s="217"/>
      <c r="J70" s="205"/>
      <c r="K70" s="206"/>
      <c r="L70" s="190">
        <v>88</v>
      </c>
      <c r="M70" s="184"/>
      <c r="N70" s="217"/>
      <c r="O70" s="181"/>
      <c r="P70" s="206"/>
      <c r="Q70" s="216"/>
      <c r="R70" s="216"/>
      <c r="S70" s="216"/>
      <c r="T70" s="216"/>
      <c r="U70" s="216"/>
      <c r="V70" s="216"/>
      <c r="W70" s="216"/>
      <c r="X70" s="216"/>
      <c r="Y70" s="216"/>
      <c r="Z70" s="216"/>
    </row>
    <row r="71" spans="1:26" ht="15.75" hidden="1" customHeight="1">
      <c r="A71" s="190">
        <v>123</v>
      </c>
      <c r="B71" s="186" t="s">
        <v>146</v>
      </c>
      <c r="C71" s="187">
        <v>12.610638261494399</v>
      </c>
      <c r="D71" s="218">
        <v>10.033333333333299</v>
      </c>
      <c r="E71" s="188"/>
      <c r="F71" s="214">
        <v>-2.5773049281610398</v>
      </c>
      <c r="G71" s="190">
        <v>123</v>
      </c>
      <c r="H71" s="191"/>
      <c r="I71" s="218"/>
      <c r="J71" s="203"/>
      <c r="K71" s="204"/>
      <c r="L71" s="190">
        <v>123</v>
      </c>
      <c r="M71" s="191"/>
      <c r="N71" s="218"/>
      <c r="O71" s="188"/>
      <c r="P71" s="204"/>
      <c r="Q71" s="216"/>
      <c r="R71" s="216"/>
      <c r="S71" s="216"/>
      <c r="T71" s="216"/>
      <c r="U71" s="216"/>
      <c r="V71" s="216"/>
      <c r="W71" s="216"/>
      <c r="X71" s="216"/>
      <c r="Y71" s="216"/>
      <c r="Z71" s="216"/>
    </row>
    <row r="72" spans="1:26" ht="15.75" hidden="1" customHeight="1">
      <c r="A72" s="190">
        <v>154</v>
      </c>
      <c r="B72" s="186" t="s">
        <v>146</v>
      </c>
      <c r="C72" s="187">
        <v>12.610638261494399</v>
      </c>
      <c r="D72" s="218">
        <v>11.3333333333333</v>
      </c>
      <c r="E72" s="188"/>
      <c r="F72" s="214">
        <v>-1.27730492816104</v>
      </c>
      <c r="G72" s="190">
        <v>154</v>
      </c>
      <c r="H72" s="191"/>
      <c r="I72" s="218"/>
      <c r="J72" s="203"/>
      <c r="K72" s="204"/>
      <c r="L72" s="190">
        <v>154</v>
      </c>
      <c r="M72" s="191"/>
      <c r="N72" s="218"/>
      <c r="O72" s="188"/>
      <c r="P72" s="204"/>
      <c r="Q72" s="216"/>
      <c r="R72" s="216"/>
      <c r="S72" s="216"/>
      <c r="T72" s="216"/>
      <c r="U72" s="216"/>
      <c r="V72" s="216"/>
      <c r="W72" s="216"/>
      <c r="X72" s="216"/>
      <c r="Y72" s="216"/>
      <c r="Z72" s="216"/>
    </row>
    <row r="73" spans="1:26" ht="15.75" hidden="1" customHeight="1">
      <c r="A73" s="190">
        <v>116</v>
      </c>
      <c r="B73" s="186" t="s">
        <v>146</v>
      </c>
      <c r="C73" s="187">
        <v>8.4070921743295806</v>
      </c>
      <c r="D73" s="218">
        <v>3.5</v>
      </c>
      <c r="E73" s="188"/>
      <c r="F73" s="214">
        <v>-4.9070921743295797</v>
      </c>
      <c r="G73" s="190">
        <v>116</v>
      </c>
      <c r="H73" s="191"/>
      <c r="I73" s="218"/>
      <c r="J73" s="203"/>
      <c r="K73" s="204"/>
      <c r="L73" s="190">
        <v>116</v>
      </c>
      <c r="M73" s="191"/>
      <c r="N73" s="218"/>
      <c r="O73" s="188"/>
      <c r="P73" s="204"/>
      <c r="Q73" s="216"/>
      <c r="R73" s="216"/>
      <c r="S73" s="216"/>
      <c r="T73" s="216"/>
      <c r="U73" s="216"/>
      <c r="V73" s="216"/>
      <c r="W73" s="216"/>
      <c r="X73" s="216"/>
      <c r="Y73" s="216"/>
      <c r="Z73" s="216"/>
    </row>
    <row r="74" spans="1:26" ht="15.75" hidden="1" customHeight="1">
      <c r="A74" s="197">
        <v>180</v>
      </c>
      <c r="B74" s="193" t="s">
        <v>146</v>
      </c>
      <c r="C74" s="194">
        <v>12.610638261494399</v>
      </c>
      <c r="D74" s="219">
        <v>13.133333333333301</v>
      </c>
      <c r="E74" s="195"/>
      <c r="F74" s="213">
        <v>0.52269507183895303</v>
      </c>
      <c r="G74" s="197">
        <v>180</v>
      </c>
      <c r="H74" s="198"/>
      <c r="I74" s="219"/>
      <c r="J74" s="201"/>
      <c r="K74" s="202"/>
      <c r="L74" s="197">
        <v>180</v>
      </c>
      <c r="M74" s="198"/>
      <c r="N74" s="219"/>
      <c r="O74" s="195"/>
      <c r="P74" s="202"/>
      <c r="Q74" s="216"/>
      <c r="R74" s="216"/>
      <c r="S74" s="216"/>
      <c r="T74" s="216"/>
      <c r="U74" s="216"/>
      <c r="V74" s="216"/>
      <c r="W74" s="216"/>
      <c r="X74" s="216"/>
      <c r="Y74" s="216"/>
      <c r="Z74" s="216"/>
    </row>
    <row r="75" spans="1:26" ht="15.75" hidden="1" customHeight="1">
      <c r="A75" s="220"/>
      <c r="B75" s="186"/>
      <c r="C75" s="187"/>
      <c r="D75" s="218"/>
      <c r="E75" s="188"/>
      <c r="F75" s="214"/>
      <c r="G75" s="220"/>
      <c r="H75" s="191"/>
      <c r="I75" s="218"/>
      <c r="J75" s="203"/>
      <c r="K75" s="204"/>
      <c r="L75" s="220"/>
      <c r="M75" s="191"/>
      <c r="N75" s="218"/>
      <c r="O75" s="188"/>
      <c r="P75" s="204"/>
      <c r="Q75" s="216"/>
      <c r="R75" s="216"/>
      <c r="S75" s="216"/>
      <c r="T75" s="216"/>
      <c r="U75" s="216"/>
      <c r="V75" s="216"/>
      <c r="W75" s="216"/>
      <c r="X75" s="216"/>
      <c r="Y75" s="216"/>
      <c r="Z75" s="216"/>
    </row>
    <row r="76" spans="1:26" ht="15.75" hidden="1" customHeight="1">
      <c r="A76" s="220">
        <v>187</v>
      </c>
      <c r="B76" s="186" t="s">
        <v>146</v>
      </c>
      <c r="C76" s="187">
        <v>12.610638261494399</v>
      </c>
      <c r="D76" s="218">
        <v>0</v>
      </c>
      <c r="E76" s="221"/>
      <c r="F76" s="214"/>
      <c r="G76" s="220">
        <v>187</v>
      </c>
      <c r="H76" s="191"/>
      <c r="I76" s="218"/>
      <c r="J76" s="230"/>
      <c r="K76" s="204"/>
      <c r="L76" s="220">
        <v>187</v>
      </c>
      <c r="M76" s="191"/>
      <c r="N76" s="218"/>
      <c r="O76" s="221"/>
      <c r="P76" s="204"/>
      <c r="Q76" s="216"/>
      <c r="R76" s="216"/>
      <c r="S76" s="216"/>
      <c r="T76" s="216"/>
      <c r="U76" s="216"/>
      <c r="V76" s="216"/>
      <c r="W76" s="216"/>
      <c r="X76" s="216"/>
      <c r="Y76" s="216"/>
      <c r="Z76" s="216"/>
    </row>
    <row r="77" spans="1:26" ht="15.75" hidden="1" customHeight="1">
      <c r="A77" s="220">
        <v>186</v>
      </c>
      <c r="B77" s="186" t="s">
        <v>146</v>
      </c>
      <c r="C77" s="187">
        <v>8.4070921743295806</v>
      </c>
      <c r="D77" s="218">
        <v>9.8000000000000007</v>
      </c>
      <c r="E77" s="221"/>
      <c r="F77" s="214"/>
      <c r="G77" s="220">
        <v>186</v>
      </c>
      <c r="H77" s="191"/>
      <c r="I77" s="218"/>
      <c r="J77" s="230"/>
      <c r="K77" s="204"/>
      <c r="L77" s="220">
        <v>186</v>
      </c>
      <c r="M77" s="191"/>
      <c r="N77" s="218"/>
      <c r="O77" s="221"/>
      <c r="P77" s="204"/>
      <c r="Q77" s="216"/>
      <c r="R77" s="216"/>
      <c r="S77" s="216"/>
      <c r="T77" s="216"/>
      <c r="U77" s="216"/>
      <c r="V77" s="216"/>
      <c r="W77" s="216"/>
      <c r="X77" s="216"/>
      <c r="Y77" s="216"/>
      <c r="Z77" s="216"/>
    </row>
    <row r="78" spans="1:26" ht="15.75" hidden="1" customHeight="1">
      <c r="A78" s="220" t="s">
        <v>147</v>
      </c>
      <c r="B78" s="186" t="s">
        <v>146</v>
      </c>
      <c r="C78" s="187">
        <v>12.610638261494399</v>
      </c>
      <c r="D78" s="218">
        <v>2.2166666666666699</v>
      </c>
      <c r="E78" s="221"/>
      <c r="F78" s="214"/>
      <c r="G78" s="220" t="s">
        <v>147</v>
      </c>
      <c r="H78" s="191"/>
      <c r="I78" s="218"/>
      <c r="J78" s="230"/>
      <c r="K78" s="204"/>
      <c r="L78" s="220" t="s">
        <v>147</v>
      </c>
      <c r="M78" s="191"/>
      <c r="N78" s="218"/>
      <c r="O78" s="221"/>
      <c r="P78" s="204"/>
      <c r="Q78" s="216"/>
      <c r="R78" s="216"/>
      <c r="S78" s="216"/>
      <c r="T78" s="216"/>
      <c r="U78" s="216"/>
      <c r="V78" s="216"/>
      <c r="W78" s="216"/>
      <c r="X78" s="216"/>
      <c r="Y78" s="216"/>
      <c r="Z78" s="216"/>
    </row>
    <row r="79" spans="1:26" ht="15.75" hidden="1" customHeight="1">
      <c r="A79" s="222"/>
      <c r="B79" s="193"/>
      <c r="C79" s="194"/>
      <c r="D79" s="219"/>
      <c r="E79" s="195"/>
      <c r="F79" s="213"/>
      <c r="G79" s="222"/>
      <c r="H79" s="198"/>
      <c r="I79" s="219"/>
      <c r="J79" s="201"/>
      <c r="K79" s="202"/>
      <c r="L79" s="222"/>
      <c r="M79" s="198"/>
      <c r="N79" s="219"/>
      <c r="O79" s="195"/>
      <c r="P79" s="202"/>
      <c r="Q79" s="216"/>
      <c r="R79" s="216"/>
      <c r="S79" s="216"/>
      <c r="T79" s="216"/>
      <c r="U79" s="216"/>
      <c r="V79" s="216"/>
      <c r="W79" s="216"/>
      <c r="X79" s="216"/>
      <c r="Y79" s="216"/>
      <c r="Z79" s="216"/>
    </row>
    <row r="80" spans="1:26" ht="15.75" hidden="1" customHeight="1">
      <c r="A80" s="220">
        <v>184</v>
      </c>
      <c r="B80" s="186" t="s">
        <v>146</v>
      </c>
      <c r="C80" s="180">
        <v>8.4070921743295806</v>
      </c>
      <c r="D80" s="217">
        <v>8.5999999999999908</v>
      </c>
      <c r="E80" s="181"/>
      <c r="F80" s="223">
        <v>0.19290782567040701</v>
      </c>
      <c r="G80" s="220">
        <v>184</v>
      </c>
      <c r="H80" s="184"/>
      <c r="I80" s="217"/>
      <c r="J80" s="205"/>
      <c r="K80" s="231"/>
      <c r="L80" s="220">
        <v>184</v>
      </c>
      <c r="M80" s="184"/>
      <c r="N80" s="217"/>
      <c r="O80" s="181"/>
      <c r="P80" s="231"/>
      <c r="Q80" s="233">
        <v>8.4070921743295806</v>
      </c>
      <c r="R80" s="233">
        <v>8.5999999999999908</v>
      </c>
      <c r="S80" s="216"/>
      <c r="T80" s="216"/>
      <c r="U80" s="216"/>
      <c r="V80" s="216"/>
      <c r="W80" s="216"/>
      <c r="X80" s="216"/>
      <c r="Y80" s="216"/>
      <c r="Z80" s="216"/>
    </row>
    <row r="81" spans="1:26" ht="15.75" hidden="1" customHeight="1">
      <c r="A81" s="220" t="s">
        <v>148</v>
      </c>
      <c r="B81" s="186" t="s">
        <v>146</v>
      </c>
      <c r="C81" s="187">
        <v>12.610638261494399</v>
      </c>
      <c r="D81" s="218">
        <v>14.2</v>
      </c>
      <c r="E81" s="188"/>
      <c r="F81" s="223">
        <v>1.58936173850562</v>
      </c>
      <c r="G81" s="220" t="s">
        <v>148</v>
      </c>
      <c r="H81" s="191"/>
      <c r="I81" s="218"/>
      <c r="J81" s="203"/>
      <c r="K81" s="231"/>
      <c r="L81" s="220" t="s">
        <v>148</v>
      </c>
      <c r="M81" s="191"/>
      <c r="N81" s="218"/>
      <c r="O81" s="188"/>
      <c r="P81" s="231"/>
      <c r="Q81" s="233">
        <v>12.610638261494399</v>
      </c>
      <c r="R81" s="233">
        <v>14.2</v>
      </c>
      <c r="S81" s="216"/>
      <c r="T81" s="216"/>
      <c r="U81" s="216"/>
      <c r="V81" s="216"/>
      <c r="W81" s="216"/>
      <c r="X81" s="216"/>
      <c r="Y81" s="216"/>
      <c r="Z81" s="216"/>
    </row>
    <row r="82" spans="1:26" ht="15.75" hidden="1" customHeight="1">
      <c r="A82" s="220">
        <v>193</v>
      </c>
      <c r="B82" s="186" t="s">
        <v>146</v>
      </c>
      <c r="C82" s="187">
        <v>12.610638261494399</v>
      </c>
      <c r="D82" s="218">
        <v>14.7</v>
      </c>
      <c r="E82" s="188"/>
      <c r="F82" s="223">
        <v>2.08936173850562</v>
      </c>
      <c r="G82" s="220">
        <v>193</v>
      </c>
      <c r="H82" s="191"/>
      <c r="I82" s="218"/>
      <c r="J82" s="203"/>
      <c r="K82" s="231"/>
      <c r="L82" s="220">
        <v>193</v>
      </c>
      <c r="M82" s="191"/>
      <c r="N82" s="218"/>
      <c r="O82" s="188"/>
      <c r="P82" s="231"/>
      <c r="Q82" s="233">
        <v>12.610638261494399</v>
      </c>
      <c r="R82" s="233">
        <v>14.7</v>
      </c>
      <c r="S82" s="216"/>
      <c r="T82" s="216"/>
      <c r="U82" s="216"/>
      <c r="V82" s="216"/>
      <c r="W82" s="216"/>
      <c r="X82" s="216"/>
      <c r="Y82" s="216"/>
      <c r="Z82" s="216"/>
    </row>
    <row r="83" spans="1:26" ht="15.75" hidden="1" customHeight="1">
      <c r="A83" s="220" t="s">
        <v>50</v>
      </c>
      <c r="B83" s="186" t="s">
        <v>146</v>
      </c>
      <c r="C83" s="187">
        <v>12.610638261494399</v>
      </c>
      <c r="D83" s="218">
        <v>14.45</v>
      </c>
      <c r="E83" s="188"/>
      <c r="F83" s="223">
        <v>1.83936173850562</v>
      </c>
      <c r="G83" s="220" t="s">
        <v>50</v>
      </c>
      <c r="H83" s="191"/>
      <c r="I83" s="218"/>
      <c r="J83" s="203"/>
      <c r="K83" s="231"/>
      <c r="L83" s="220" t="s">
        <v>50</v>
      </c>
      <c r="M83" s="191"/>
      <c r="N83" s="218"/>
      <c r="O83" s="188"/>
      <c r="P83" s="231"/>
      <c r="Q83" s="233">
        <v>12.610638261494399</v>
      </c>
      <c r="R83" s="233">
        <v>14.45</v>
      </c>
      <c r="S83" s="216"/>
      <c r="T83" s="216"/>
      <c r="U83" s="216"/>
      <c r="V83" s="216"/>
      <c r="W83" s="216"/>
      <c r="X83" s="216"/>
      <c r="Y83" s="216"/>
      <c r="Z83" s="216"/>
    </row>
    <row r="84" spans="1:26" ht="15.75" hidden="1" customHeight="1">
      <c r="A84" s="222" t="s">
        <v>149</v>
      </c>
      <c r="B84" s="193" t="s">
        <v>146</v>
      </c>
      <c r="C84" s="194">
        <v>6.3053191307471899</v>
      </c>
      <c r="D84" s="219">
        <v>6.95</v>
      </c>
      <c r="E84" s="195"/>
      <c r="F84" s="224">
        <v>0.64468086925281498</v>
      </c>
      <c r="G84" s="222" t="s">
        <v>149</v>
      </c>
      <c r="H84" s="198"/>
      <c r="I84" s="219"/>
      <c r="J84" s="201"/>
      <c r="K84" s="232"/>
      <c r="L84" s="222" t="s">
        <v>149</v>
      </c>
      <c r="M84" s="198"/>
      <c r="N84" s="219"/>
      <c r="O84" s="195"/>
      <c r="P84" s="232"/>
      <c r="Q84" s="233">
        <v>6.3053191307471899</v>
      </c>
      <c r="R84" s="233">
        <v>6.95</v>
      </c>
      <c r="S84" s="216"/>
      <c r="T84" s="216"/>
      <c r="U84" s="216"/>
      <c r="V84" s="216"/>
      <c r="W84" s="216"/>
      <c r="X84" s="216"/>
      <c r="Y84" s="216"/>
      <c r="Z84" s="216"/>
    </row>
    <row r="85" spans="1:26" ht="15.75" customHeight="1">
      <c r="A85" s="225"/>
      <c r="B85" s="103"/>
      <c r="C85" s="103"/>
      <c r="D85" s="103"/>
      <c r="E85" s="103"/>
      <c r="F85" s="1"/>
      <c r="G85" s="225"/>
      <c r="H85" s="103"/>
      <c r="I85" s="103"/>
      <c r="J85" s="103"/>
      <c r="K85" s="1"/>
      <c r="L85" s="225"/>
      <c r="M85" s="103"/>
      <c r="N85" s="103"/>
      <c r="O85" s="103"/>
      <c r="P85" s="1"/>
      <c r="Q85" s="233"/>
      <c r="R85" s="216"/>
      <c r="S85" s="216"/>
      <c r="T85" s="216"/>
      <c r="U85" s="216"/>
      <c r="V85" s="216"/>
      <c r="W85" s="216"/>
      <c r="X85" s="216"/>
      <c r="Y85" s="216"/>
      <c r="Z85" s="216"/>
    </row>
    <row r="86" spans="1:26" ht="15.75" customHeight="1">
      <c r="A86" s="226">
        <v>8.4070921743295806</v>
      </c>
      <c r="B86" s="227" t="s">
        <v>750</v>
      </c>
      <c r="C86" s="228"/>
      <c r="D86" s="228"/>
      <c r="E86" s="229"/>
      <c r="F86" s="1"/>
      <c r="G86" s="226">
        <v>9.0913333333333295</v>
      </c>
      <c r="H86" s="227" t="s">
        <v>750</v>
      </c>
      <c r="I86" s="228"/>
      <c r="J86" s="229"/>
      <c r="K86" s="1"/>
      <c r="L86" s="226">
        <v>10.326487637635401</v>
      </c>
      <c r="M86" s="227" t="s">
        <v>750</v>
      </c>
      <c r="N86" s="228"/>
      <c r="O86" s="229"/>
      <c r="P86" s="1"/>
      <c r="Q86" s="234"/>
      <c r="R86" s="216"/>
      <c r="S86" s="216"/>
      <c r="T86" s="216"/>
      <c r="U86" s="216"/>
      <c r="V86" s="216"/>
      <c r="W86" s="216"/>
      <c r="X86" s="216"/>
      <c r="Y86" s="216"/>
      <c r="Z86" s="216"/>
    </row>
    <row r="87" spans="1:26" ht="15.75" customHeight="1">
      <c r="A87" s="21"/>
      <c r="B87" s="103"/>
      <c r="C87" s="103"/>
      <c r="D87" s="103"/>
      <c r="E87" s="103"/>
      <c r="F87" s="1"/>
      <c r="G87" s="21"/>
      <c r="H87" s="103"/>
      <c r="I87" s="103"/>
      <c r="J87" s="103"/>
      <c r="K87" s="1"/>
      <c r="L87" s="21"/>
      <c r="M87" s="103"/>
      <c r="N87" s="103"/>
      <c r="O87" s="103"/>
      <c r="P87" s="1"/>
      <c r="Q87" s="216"/>
      <c r="R87" s="216"/>
      <c r="S87" s="216"/>
      <c r="T87" s="216"/>
      <c r="U87" s="216"/>
      <c r="V87" s="216"/>
      <c r="W87" s="216"/>
      <c r="X87" s="216"/>
      <c r="Y87" s="216"/>
      <c r="Z87" s="216"/>
    </row>
    <row r="88" spans="1:26" ht="15.75" customHeight="1">
      <c r="A88" s="169"/>
      <c r="B88" s="169"/>
      <c r="C88" s="169"/>
      <c r="D88" s="169"/>
      <c r="E88" s="169"/>
      <c r="F88" s="169"/>
      <c r="G88" s="169"/>
      <c r="H88" s="169"/>
      <c r="I88" s="169"/>
      <c r="J88" s="169"/>
      <c r="K88" s="169"/>
      <c r="L88" s="169"/>
      <c r="M88" s="169"/>
      <c r="N88" s="169"/>
      <c r="O88" s="169"/>
      <c r="P88" s="169"/>
      <c r="Q88" s="216"/>
      <c r="R88" s="216"/>
      <c r="S88" s="216"/>
      <c r="T88" s="216"/>
      <c r="U88" s="216"/>
      <c r="V88" s="216"/>
      <c r="W88" s="216"/>
      <c r="X88" s="216"/>
      <c r="Y88" s="216"/>
      <c r="Z88" s="216"/>
    </row>
    <row r="89" spans="1:26" ht="15.75" customHeight="1">
      <c r="A89" s="169"/>
      <c r="B89" s="169"/>
      <c r="C89" s="169"/>
      <c r="D89" s="169"/>
      <c r="E89" s="169"/>
      <c r="F89" s="169"/>
      <c r="G89" s="169"/>
      <c r="H89" s="169"/>
      <c r="I89" s="169"/>
      <c r="J89" s="169"/>
      <c r="K89" s="169"/>
      <c r="L89" s="169"/>
      <c r="M89" s="169"/>
      <c r="N89" s="169"/>
      <c r="O89" s="169"/>
      <c r="P89" s="169"/>
      <c r="Q89" s="216"/>
      <c r="R89" s="216"/>
      <c r="S89" s="216"/>
      <c r="T89" s="216"/>
      <c r="U89" s="216"/>
      <c r="V89" s="216"/>
      <c r="W89" s="216"/>
      <c r="X89" s="216"/>
      <c r="Y89" s="216"/>
      <c r="Z89" s="216"/>
    </row>
    <row r="90" spans="1:26" ht="15.75" customHeight="1">
      <c r="A90" s="169"/>
      <c r="B90" s="169"/>
      <c r="C90" s="169"/>
      <c r="D90" s="169"/>
      <c r="E90" s="169"/>
      <c r="F90" s="169"/>
      <c r="G90" s="169"/>
      <c r="H90" s="169"/>
      <c r="I90" s="169"/>
      <c r="J90" s="169"/>
      <c r="K90" s="169"/>
      <c r="L90" s="169"/>
      <c r="M90" s="169"/>
      <c r="N90" s="169"/>
      <c r="O90" s="169"/>
      <c r="P90" s="169"/>
      <c r="Q90" s="216"/>
      <c r="R90" s="216"/>
      <c r="S90" s="216"/>
      <c r="T90" s="216"/>
      <c r="U90" s="216"/>
      <c r="V90" s="216"/>
      <c r="W90" s="216"/>
      <c r="X90" s="216"/>
      <c r="Y90" s="216"/>
      <c r="Z90" s="216"/>
    </row>
    <row r="91" spans="1:26" ht="15.75" customHeight="1">
      <c r="A91" s="169"/>
      <c r="B91" s="169"/>
      <c r="C91" s="169"/>
      <c r="D91" s="169"/>
      <c r="E91" s="169"/>
      <c r="F91" s="169"/>
      <c r="G91" s="169"/>
      <c r="H91" s="169"/>
      <c r="I91" s="169"/>
      <c r="J91" s="169"/>
      <c r="K91" s="169"/>
      <c r="L91" s="169"/>
      <c r="M91" s="169"/>
      <c r="N91" s="169"/>
      <c r="O91" s="169"/>
      <c r="P91" s="169"/>
      <c r="Q91" s="216"/>
      <c r="R91" s="216"/>
      <c r="S91" s="216"/>
      <c r="T91" s="216"/>
      <c r="U91" s="216"/>
      <c r="V91" s="216"/>
      <c r="W91" s="216"/>
      <c r="X91" s="216"/>
      <c r="Y91" s="216"/>
      <c r="Z91" s="216"/>
    </row>
    <row r="92" spans="1:26" ht="15.75" customHeight="1">
      <c r="A92" s="169"/>
      <c r="B92" s="169"/>
      <c r="C92" s="169"/>
      <c r="D92" s="169"/>
      <c r="E92" s="169"/>
      <c r="F92" s="169"/>
      <c r="G92" s="169"/>
      <c r="H92" s="169"/>
      <c r="I92" s="169"/>
      <c r="J92" s="169"/>
      <c r="K92" s="169"/>
      <c r="L92" s="169"/>
      <c r="M92" s="169"/>
      <c r="N92" s="169"/>
      <c r="O92" s="169"/>
      <c r="P92" s="169"/>
      <c r="Q92" s="216"/>
      <c r="R92" s="216"/>
      <c r="S92" s="216"/>
      <c r="T92" s="216"/>
      <c r="U92" s="216"/>
      <c r="V92" s="216"/>
      <c r="W92" s="216"/>
      <c r="X92" s="216"/>
      <c r="Y92" s="216"/>
      <c r="Z92" s="216"/>
    </row>
    <row r="93" spans="1:26" ht="15.75" customHeight="1">
      <c r="A93" s="169"/>
      <c r="B93" s="169"/>
      <c r="C93" s="169"/>
      <c r="D93" s="169"/>
      <c r="E93" s="169"/>
      <c r="F93" s="169"/>
      <c r="G93" s="169"/>
      <c r="H93" s="169"/>
      <c r="I93" s="169"/>
      <c r="J93" s="169"/>
      <c r="K93" s="169"/>
      <c r="L93" s="169"/>
      <c r="M93" s="169"/>
      <c r="N93" s="169"/>
      <c r="O93" s="169"/>
      <c r="P93" s="169"/>
      <c r="Q93" s="216"/>
      <c r="R93" s="216"/>
      <c r="S93" s="216"/>
      <c r="T93" s="216"/>
      <c r="U93" s="216"/>
      <c r="V93" s="216"/>
      <c r="W93" s="216"/>
      <c r="X93" s="216"/>
      <c r="Y93" s="216"/>
      <c r="Z93" s="216"/>
    </row>
    <row r="94" spans="1:26" ht="15.75" customHeight="1">
      <c r="A94" s="169"/>
      <c r="B94" s="169"/>
      <c r="C94" s="169"/>
      <c r="D94" s="169"/>
      <c r="E94" s="169"/>
      <c r="F94" s="169"/>
      <c r="G94" s="169"/>
      <c r="H94" s="169"/>
      <c r="I94" s="169"/>
      <c r="J94" s="169"/>
      <c r="K94" s="169"/>
      <c r="L94" s="169"/>
      <c r="M94" s="169"/>
      <c r="N94" s="169"/>
      <c r="O94" s="169"/>
      <c r="P94" s="169"/>
      <c r="Q94" s="216"/>
      <c r="R94" s="216"/>
      <c r="S94" s="216"/>
      <c r="T94" s="216"/>
      <c r="U94" s="216"/>
      <c r="V94" s="216"/>
      <c r="W94" s="216"/>
      <c r="X94" s="216"/>
      <c r="Y94" s="216"/>
      <c r="Z94" s="216"/>
    </row>
    <row r="95" spans="1:26" ht="15.75" customHeight="1">
      <c r="A95" s="169"/>
      <c r="B95" s="169"/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P95" s="169"/>
      <c r="Q95" s="216"/>
      <c r="R95" s="216"/>
      <c r="S95" s="216"/>
      <c r="T95" s="216"/>
      <c r="U95" s="216"/>
      <c r="V95" s="216"/>
      <c r="W95" s="216"/>
      <c r="X95" s="216"/>
      <c r="Y95" s="216"/>
      <c r="Z95" s="216"/>
    </row>
    <row r="96" spans="1:26" ht="15.75" customHeight="1">
      <c r="A96" s="169"/>
      <c r="B96" s="169"/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216"/>
      <c r="R96" s="216"/>
      <c r="S96" s="216"/>
      <c r="T96" s="216"/>
      <c r="U96" s="216"/>
      <c r="V96" s="216"/>
      <c r="W96" s="216"/>
      <c r="X96" s="216"/>
      <c r="Y96" s="216"/>
      <c r="Z96" s="216"/>
    </row>
    <row r="97" spans="1:26" ht="15.75" customHeight="1">
      <c r="A97" s="169"/>
      <c r="B97" s="169"/>
      <c r="C97" s="169"/>
      <c r="D97" s="169"/>
      <c r="E97" s="169"/>
      <c r="F97" s="169"/>
      <c r="G97" s="169"/>
      <c r="H97" s="169"/>
      <c r="I97" s="169"/>
      <c r="J97" s="169"/>
      <c r="K97" s="169"/>
      <c r="L97" s="169"/>
      <c r="M97" s="169"/>
      <c r="N97" s="169"/>
      <c r="O97" s="169"/>
      <c r="P97" s="169"/>
      <c r="Q97" s="216"/>
      <c r="R97" s="216"/>
      <c r="S97" s="216"/>
      <c r="T97" s="216"/>
      <c r="U97" s="216"/>
      <c r="V97" s="216"/>
      <c r="W97" s="216"/>
      <c r="X97" s="216"/>
      <c r="Y97" s="216"/>
      <c r="Z97" s="216"/>
    </row>
    <row r="98" spans="1:26" ht="15.75" customHeight="1">
      <c r="A98" s="169"/>
      <c r="B98" s="169"/>
      <c r="C98" s="169"/>
      <c r="D98" s="169"/>
      <c r="E98" s="169"/>
      <c r="F98" s="169"/>
      <c r="G98" s="169"/>
      <c r="H98" s="169"/>
      <c r="I98" s="169"/>
      <c r="J98" s="169"/>
      <c r="K98" s="169"/>
      <c r="L98" s="169"/>
      <c r="M98" s="169"/>
      <c r="N98" s="169"/>
      <c r="O98" s="169"/>
      <c r="P98" s="169"/>
      <c r="Q98" s="216"/>
      <c r="R98" s="216"/>
      <c r="S98" s="216"/>
      <c r="T98" s="216"/>
      <c r="U98" s="216"/>
      <c r="V98" s="216"/>
      <c r="W98" s="216"/>
      <c r="X98" s="216"/>
      <c r="Y98" s="216"/>
      <c r="Z98" s="216"/>
    </row>
    <row r="99" spans="1:26" ht="15.75" customHeight="1">
      <c r="A99" s="169"/>
      <c r="B99" s="169"/>
      <c r="C99" s="169"/>
      <c r="D99" s="169"/>
      <c r="E99" s="169"/>
      <c r="F99" s="169"/>
      <c r="G99" s="169"/>
      <c r="H99" s="169"/>
      <c r="I99" s="169"/>
      <c r="J99" s="169"/>
      <c r="K99" s="169"/>
      <c r="L99" s="169"/>
      <c r="M99" s="169"/>
      <c r="N99" s="169"/>
      <c r="O99" s="169"/>
      <c r="P99" s="169"/>
      <c r="Q99" s="216"/>
      <c r="R99" s="216"/>
      <c r="S99" s="216"/>
      <c r="T99" s="216"/>
      <c r="U99" s="216"/>
      <c r="V99" s="216"/>
      <c r="W99" s="216"/>
      <c r="X99" s="216"/>
      <c r="Y99" s="216"/>
      <c r="Z99" s="216"/>
    </row>
    <row r="100" spans="1:26" ht="15.75" customHeight="1">
      <c r="A100" s="169"/>
      <c r="B100" s="169"/>
      <c r="C100" s="169"/>
      <c r="D100" s="169"/>
      <c r="E100" s="169"/>
      <c r="F100" s="169"/>
      <c r="G100" s="169"/>
      <c r="H100" s="169"/>
      <c r="I100" s="169"/>
      <c r="J100" s="169"/>
      <c r="K100" s="169"/>
      <c r="L100" s="169"/>
      <c r="M100" s="169"/>
      <c r="N100" s="169"/>
      <c r="O100" s="169"/>
      <c r="P100" s="169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</row>
    <row r="101" spans="1:26" ht="15.75" customHeight="1">
      <c r="A101" s="169"/>
      <c r="B101" s="169"/>
      <c r="C101" s="169"/>
      <c r="D101" s="169"/>
      <c r="E101" s="169"/>
      <c r="F101" s="169"/>
      <c r="G101" s="169"/>
      <c r="H101" s="169"/>
      <c r="I101" s="169"/>
      <c r="J101" s="169"/>
      <c r="K101" s="169"/>
      <c r="L101" s="169"/>
      <c r="M101" s="169"/>
      <c r="N101" s="169"/>
      <c r="O101" s="169"/>
      <c r="P101" s="169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</row>
    <row r="102" spans="1:26" ht="15.75" customHeight="1">
      <c r="A102" s="169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</row>
    <row r="103" spans="1:26" ht="15.75" customHeight="1">
      <c r="A103" s="169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</row>
    <row r="104" spans="1:26" ht="15.75" customHeight="1">
      <c r="A104" s="169"/>
      <c r="B104" s="169"/>
      <c r="C104" s="169"/>
      <c r="D104" s="169"/>
      <c r="E104" s="169"/>
      <c r="F104" s="169"/>
      <c r="G104" s="169"/>
      <c r="H104" s="169"/>
      <c r="I104" s="169"/>
      <c r="J104" s="169"/>
      <c r="K104" s="169"/>
      <c r="L104" s="169"/>
      <c r="M104" s="169"/>
      <c r="N104" s="169"/>
      <c r="O104" s="169"/>
      <c r="P104" s="169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</row>
    <row r="105" spans="1:26" ht="15.75" customHeight="1">
      <c r="A105" s="169"/>
      <c r="B105" s="169"/>
      <c r="C105" s="169"/>
      <c r="D105" s="169"/>
      <c r="E105" s="169"/>
      <c r="F105" s="169"/>
      <c r="G105" s="169"/>
      <c r="H105" s="169"/>
      <c r="I105" s="169"/>
      <c r="J105" s="169"/>
      <c r="K105" s="169"/>
      <c r="L105" s="169"/>
      <c r="M105" s="169"/>
      <c r="N105" s="169"/>
      <c r="O105" s="169"/>
      <c r="P105" s="169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</row>
    <row r="106" spans="1:26" ht="15.75" customHeight="1">
      <c r="A106" s="169"/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69"/>
      <c r="O106" s="169"/>
      <c r="P106" s="169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</row>
    <row r="107" spans="1:26" ht="15.75" customHeight="1">
      <c r="A107" s="169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</row>
    <row r="108" spans="1:26" ht="15.75" customHeight="1">
      <c r="A108" s="169"/>
      <c r="B108" s="169"/>
      <c r="C108" s="169"/>
      <c r="D108" s="169"/>
      <c r="E108" s="169"/>
      <c r="F108" s="169"/>
      <c r="G108" s="169"/>
      <c r="H108" s="169"/>
      <c r="I108" s="169"/>
      <c r="J108" s="169"/>
      <c r="K108" s="169"/>
      <c r="L108" s="169"/>
      <c r="M108" s="169"/>
      <c r="N108" s="169"/>
      <c r="O108" s="169"/>
      <c r="P108" s="169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</row>
    <row r="109" spans="1:26" ht="15.75" customHeight="1">
      <c r="A109" s="169"/>
      <c r="B109" s="169"/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</row>
    <row r="110" spans="1:26" ht="15.75" customHeight="1">
      <c r="A110" s="169"/>
      <c r="B110" s="169"/>
      <c r="C110" s="169"/>
      <c r="D110" s="169"/>
      <c r="E110" s="169"/>
      <c r="F110" s="169"/>
      <c r="G110" s="169"/>
      <c r="H110" s="169"/>
      <c r="I110" s="169"/>
      <c r="J110" s="169"/>
      <c r="K110" s="169"/>
      <c r="L110" s="169"/>
      <c r="M110" s="169"/>
      <c r="N110" s="169"/>
      <c r="O110" s="169"/>
      <c r="P110" s="169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</row>
    <row r="111" spans="1:26" ht="15.75" customHeight="1">
      <c r="A111" s="169"/>
      <c r="B111" s="169"/>
      <c r="C111" s="169"/>
      <c r="D111" s="169"/>
      <c r="E111" s="169"/>
      <c r="F111" s="169"/>
      <c r="G111" s="169"/>
      <c r="H111" s="169"/>
      <c r="I111" s="169"/>
      <c r="J111" s="169"/>
      <c r="K111" s="169"/>
      <c r="L111" s="169"/>
      <c r="M111" s="169"/>
      <c r="N111" s="169"/>
      <c r="O111" s="169"/>
      <c r="P111" s="169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</row>
    <row r="112" spans="1:26" ht="15.75" customHeight="1">
      <c r="A112" s="169"/>
      <c r="B112" s="169"/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</row>
    <row r="113" spans="1:26" ht="15.75" customHeight="1">
      <c r="A113" s="169"/>
      <c r="B113" s="169"/>
      <c r="C113" s="169"/>
      <c r="D113" s="169"/>
      <c r="E113" s="169"/>
      <c r="F113" s="169"/>
      <c r="G113" s="169"/>
      <c r="H113" s="169"/>
      <c r="I113" s="169"/>
      <c r="J113" s="169"/>
      <c r="K113" s="169"/>
      <c r="L113" s="169"/>
      <c r="M113" s="169"/>
      <c r="N113" s="169"/>
      <c r="O113" s="169"/>
      <c r="P113" s="169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</row>
    <row r="114" spans="1:26" ht="15.75" customHeight="1">
      <c r="A114" s="169"/>
      <c r="B114" s="169"/>
      <c r="C114" s="169"/>
      <c r="D114" s="169"/>
      <c r="E114" s="169"/>
      <c r="F114" s="169"/>
      <c r="G114" s="169"/>
      <c r="H114" s="169"/>
      <c r="I114" s="169"/>
      <c r="J114" s="169"/>
      <c r="K114" s="169"/>
      <c r="L114" s="169"/>
      <c r="M114" s="169"/>
      <c r="N114" s="169"/>
      <c r="O114" s="169"/>
      <c r="P114" s="169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</row>
    <row r="115" spans="1:26" ht="15.75" customHeight="1">
      <c r="A115" s="169"/>
      <c r="B115" s="169"/>
      <c r="C115" s="169"/>
      <c r="D115" s="169"/>
      <c r="E115" s="169"/>
      <c r="F115" s="169"/>
      <c r="G115" s="169"/>
      <c r="H115" s="169"/>
      <c r="I115" s="169"/>
      <c r="J115" s="169"/>
      <c r="K115" s="169"/>
      <c r="L115" s="169"/>
      <c r="M115" s="169"/>
      <c r="N115" s="169"/>
      <c r="O115" s="169"/>
      <c r="P115" s="169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</row>
    <row r="116" spans="1:26" ht="15.75" customHeight="1">
      <c r="A116" s="169"/>
      <c r="B116" s="169"/>
      <c r="C116" s="169"/>
      <c r="D116" s="169"/>
      <c r="E116" s="169"/>
      <c r="F116" s="169"/>
      <c r="G116" s="169"/>
      <c r="H116" s="169"/>
      <c r="I116" s="169"/>
      <c r="J116" s="169"/>
      <c r="K116" s="169"/>
      <c r="L116" s="169"/>
      <c r="M116" s="169"/>
      <c r="N116" s="169"/>
      <c r="O116" s="169"/>
      <c r="P116" s="169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</row>
    <row r="117" spans="1:26" ht="15.75" customHeight="1">
      <c r="A117" s="169"/>
      <c r="B117" s="169"/>
      <c r="C117" s="169"/>
      <c r="D117" s="169"/>
      <c r="E117" s="169"/>
      <c r="F117" s="169"/>
      <c r="G117" s="169"/>
      <c r="H117" s="169"/>
      <c r="I117" s="169"/>
      <c r="J117" s="169"/>
      <c r="K117" s="169"/>
      <c r="L117" s="169"/>
      <c r="M117" s="169"/>
      <c r="N117" s="169"/>
      <c r="O117" s="169"/>
      <c r="P117" s="169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</row>
    <row r="118" spans="1:26" ht="15.75" customHeight="1">
      <c r="A118" s="169"/>
      <c r="B118" s="169"/>
      <c r="C118" s="169"/>
      <c r="D118" s="169"/>
      <c r="E118" s="169"/>
      <c r="F118" s="169"/>
      <c r="G118" s="169"/>
      <c r="H118" s="169"/>
      <c r="I118" s="169"/>
      <c r="J118" s="169"/>
      <c r="K118" s="169"/>
      <c r="L118" s="169"/>
      <c r="M118" s="169"/>
      <c r="N118" s="169"/>
      <c r="O118" s="169"/>
      <c r="P118" s="169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</row>
    <row r="119" spans="1:26" ht="15.75" customHeight="1">
      <c r="A119" s="169"/>
      <c r="B119" s="169"/>
      <c r="C119" s="169"/>
      <c r="D119" s="169"/>
      <c r="E119" s="169"/>
      <c r="F119" s="169"/>
      <c r="G119" s="169"/>
      <c r="H119" s="169"/>
      <c r="I119" s="169"/>
      <c r="J119" s="169"/>
      <c r="K119" s="169"/>
      <c r="L119" s="169"/>
      <c r="M119" s="169"/>
      <c r="N119" s="169"/>
      <c r="O119" s="169"/>
      <c r="P119" s="169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</row>
    <row r="120" spans="1:26" ht="15.75" customHeight="1">
      <c r="A120" s="169"/>
      <c r="B120" s="169"/>
      <c r="C120" s="169"/>
      <c r="D120" s="169"/>
      <c r="E120" s="169"/>
      <c r="F120" s="169"/>
      <c r="G120" s="169"/>
      <c r="H120" s="169"/>
      <c r="I120" s="169"/>
      <c r="J120" s="169"/>
      <c r="K120" s="169"/>
      <c r="L120" s="169"/>
      <c r="M120" s="169"/>
      <c r="N120" s="169"/>
      <c r="O120" s="169"/>
      <c r="P120" s="169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</row>
    <row r="121" spans="1:26" ht="15.75" customHeight="1">
      <c r="A121" s="169"/>
      <c r="B121" s="169"/>
      <c r="C121" s="169"/>
      <c r="D121" s="169"/>
      <c r="E121" s="169"/>
      <c r="F121" s="169"/>
      <c r="G121" s="169"/>
      <c r="H121" s="169"/>
      <c r="I121" s="169"/>
      <c r="J121" s="169"/>
      <c r="K121" s="169"/>
      <c r="L121" s="169"/>
      <c r="M121" s="169"/>
      <c r="N121" s="169"/>
      <c r="O121" s="169"/>
      <c r="P121" s="169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</row>
    <row r="122" spans="1:26" ht="15.75" customHeight="1">
      <c r="A122" s="169"/>
      <c r="B122" s="169"/>
      <c r="C122" s="169"/>
      <c r="D122" s="169"/>
      <c r="E122" s="169"/>
      <c r="F122" s="169"/>
      <c r="G122" s="169"/>
      <c r="H122" s="169"/>
      <c r="I122" s="169"/>
      <c r="J122" s="169"/>
      <c r="K122" s="169"/>
      <c r="L122" s="169"/>
      <c r="M122" s="169"/>
      <c r="N122" s="169"/>
      <c r="O122" s="169"/>
      <c r="P122" s="169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</row>
    <row r="123" spans="1:26" ht="15.75" customHeight="1">
      <c r="A123" s="169"/>
      <c r="B123" s="169"/>
      <c r="C123" s="169"/>
      <c r="D123" s="169"/>
      <c r="E123" s="169"/>
      <c r="F123" s="169"/>
      <c r="G123" s="169"/>
      <c r="H123" s="169"/>
      <c r="I123" s="169"/>
      <c r="J123" s="169"/>
      <c r="K123" s="169"/>
      <c r="L123" s="169"/>
      <c r="M123" s="169"/>
      <c r="N123" s="169"/>
      <c r="O123" s="169"/>
      <c r="P123" s="169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</row>
    <row r="124" spans="1:26" ht="15.75" customHeight="1">
      <c r="A124" s="169"/>
      <c r="B124" s="169"/>
      <c r="C124" s="169"/>
      <c r="D124" s="169"/>
      <c r="E124" s="169"/>
      <c r="F124" s="169"/>
      <c r="G124" s="169"/>
      <c r="H124" s="169"/>
      <c r="I124" s="169"/>
      <c r="J124" s="169"/>
      <c r="K124" s="169"/>
      <c r="L124" s="169"/>
      <c r="M124" s="169"/>
      <c r="N124" s="169"/>
      <c r="O124" s="169"/>
      <c r="P124" s="169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</row>
    <row r="125" spans="1:26" ht="15.75" customHeight="1">
      <c r="A125" s="169"/>
      <c r="B125" s="169"/>
      <c r="C125" s="169"/>
      <c r="D125" s="169"/>
      <c r="E125" s="169"/>
      <c r="F125" s="169"/>
      <c r="G125" s="169"/>
      <c r="H125" s="169"/>
      <c r="I125" s="169"/>
      <c r="J125" s="169"/>
      <c r="K125" s="169"/>
      <c r="L125" s="169"/>
      <c r="M125" s="169"/>
      <c r="N125" s="169"/>
      <c r="O125" s="169"/>
      <c r="P125" s="169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</row>
    <row r="126" spans="1:26" ht="15.75" customHeight="1">
      <c r="A126" s="169"/>
      <c r="B126" s="169"/>
      <c r="C126" s="169"/>
      <c r="D126" s="169"/>
      <c r="E126" s="169"/>
      <c r="F126" s="169"/>
      <c r="G126" s="169"/>
      <c r="H126" s="169"/>
      <c r="I126" s="169"/>
      <c r="J126" s="169"/>
      <c r="K126" s="169"/>
      <c r="L126" s="169"/>
      <c r="M126" s="169"/>
      <c r="N126" s="169"/>
      <c r="O126" s="169"/>
      <c r="P126" s="169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</row>
    <row r="127" spans="1:26" ht="15.75" customHeight="1">
      <c r="A127" s="169"/>
      <c r="B127" s="169"/>
      <c r="C127" s="169"/>
      <c r="D127" s="169"/>
      <c r="E127" s="169"/>
      <c r="F127" s="169"/>
      <c r="G127" s="169"/>
      <c r="H127" s="169"/>
      <c r="I127" s="169"/>
      <c r="J127" s="169"/>
      <c r="K127" s="169"/>
      <c r="L127" s="169"/>
      <c r="M127" s="169"/>
      <c r="N127" s="169"/>
      <c r="O127" s="169"/>
      <c r="P127" s="169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</row>
    <row r="128" spans="1:26" ht="15.75" customHeight="1">
      <c r="A128" s="169"/>
      <c r="B128" s="169"/>
      <c r="C128" s="169"/>
      <c r="D128" s="169"/>
      <c r="E128" s="169"/>
      <c r="F128" s="169"/>
      <c r="G128" s="169"/>
      <c r="H128" s="169"/>
      <c r="I128" s="169"/>
      <c r="J128" s="169"/>
      <c r="K128" s="169"/>
      <c r="L128" s="169"/>
      <c r="M128" s="169"/>
      <c r="N128" s="169"/>
      <c r="O128" s="169"/>
      <c r="P128" s="169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</row>
    <row r="129" spans="1:26" ht="15.75" customHeight="1">
      <c r="A129" s="169"/>
      <c r="B129" s="169"/>
      <c r="C129" s="169"/>
      <c r="D129" s="169"/>
      <c r="E129" s="169"/>
      <c r="F129" s="169"/>
      <c r="G129" s="169"/>
      <c r="H129" s="169"/>
      <c r="I129" s="169"/>
      <c r="J129" s="169"/>
      <c r="K129" s="169"/>
      <c r="L129" s="169"/>
      <c r="M129" s="169"/>
      <c r="N129" s="169"/>
      <c r="O129" s="169"/>
      <c r="P129" s="169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</row>
    <row r="130" spans="1:26" ht="15.75" customHeight="1">
      <c r="A130" s="169"/>
      <c r="B130" s="169"/>
      <c r="C130" s="169"/>
      <c r="D130" s="169"/>
      <c r="E130" s="169"/>
      <c r="F130" s="169"/>
      <c r="G130" s="169"/>
      <c r="H130" s="169"/>
      <c r="I130" s="169"/>
      <c r="J130" s="169"/>
      <c r="K130" s="169"/>
      <c r="L130" s="169"/>
      <c r="M130" s="169"/>
      <c r="N130" s="169"/>
      <c r="O130" s="169"/>
      <c r="P130" s="169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</row>
    <row r="131" spans="1:26" ht="15.75" customHeight="1">
      <c r="A131" s="169"/>
      <c r="B131" s="169"/>
      <c r="C131" s="169"/>
      <c r="D131" s="169"/>
      <c r="E131" s="169"/>
      <c r="F131" s="169"/>
      <c r="G131" s="169"/>
      <c r="H131" s="169"/>
      <c r="I131" s="169"/>
      <c r="J131" s="169"/>
      <c r="K131" s="169"/>
      <c r="L131" s="169"/>
      <c r="M131" s="169"/>
      <c r="N131" s="169"/>
      <c r="O131" s="169"/>
      <c r="P131" s="169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</row>
    <row r="132" spans="1:26" ht="15.75" customHeight="1">
      <c r="A132" s="169"/>
      <c r="B132" s="169"/>
      <c r="C132" s="169"/>
      <c r="D132" s="169"/>
      <c r="E132" s="169"/>
      <c r="F132" s="169"/>
      <c r="G132" s="169"/>
      <c r="H132" s="169"/>
      <c r="I132" s="169"/>
      <c r="J132" s="169"/>
      <c r="K132" s="169"/>
      <c r="L132" s="169"/>
      <c r="M132" s="169"/>
      <c r="N132" s="169"/>
      <c r="O132" s="169"/>
      <c r="P132" s="169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</row>
    <row r="133" spans="1:26" ht="15.75" customHeight="1">
      <c r="A133" s="169"/>
      <c r="B133" s="169"/>
      <c r="C133" s="169"/>
      <c r="D133" s="169"/>
      <c r="E133" s="169"/>
      <c r="F133" s="169"/>
      <c r="G133" s="169"/>
      <c r="H133" s="169"/>
      <c r="I133" s="169"/>
      <c r="J133" s="169"/>
      <c r="K133" s="169"/>
      <c r="L133" s="169"/>
      <c r="M133" s="169"/>
      <c r="N133" s="169"/>
      <c r="O133" s="169"/>
      <c r="P133" s="169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</row>
    <row r="134" spans="1:26" ht="15.75" customHeight="1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  <c r="L134" s="169"/>
      <c r="M134" s="169"/>
      <c r="N134" s="169"/>
      <c r="O134" s="169"/>
      <c r="P134" s="169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</row>
    <row r="135" spans="1:26" ht="15.75" customHeight="1">
      <c r="A135" s="169"/>
      <c r="B135" s="169"/>
      <c r="C135" s="169"/>
      <c r="D135" s="169"/>
      <c r="E135" s="169"/>
      <c r="F135" s="169"/>
      <c r="G135" s="169"/>
      <c r="H135" s="169"/>
      <c r="I135" s="169"/>
      <c r="J135" s="169"/>
      <c r="K135" s="169"/>
      <c r="L135" s="169"/>
      <c r="M135" s="169"/>
      <c r="N135" s="169"/>
      <c r="O135" s="169"/>
      <c r="P135" s="169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</row>
    <row r="136" spans="1:26" ht="15.75" customHeight="1">
      <c r="A136" s="169"/>
      <c r="B136" s="169"/>
      <c r="C136" s="169"/>
      <c r="D136" s="169"/>
      <c r="E136" s="169"/>
      <c r="F136" s="169"/>
      <c r="G136" s="169"/>
      <c r="H136" s="169"/>
      <c r="I136" s="169"/>
      <c r="J136" s="169"/>
      <c r="K136" s="169"/>
      <c r="L136" s="169"/>
      <c r="M136" s="169"/>
      <c r="N136" s="169"/>
      <c r="O136" s="169"/>
      <c r="P136" s="169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</row>
    <row r="137" spans="1:26" ht="15.75" customHeight="1">
      <c r="A137" s="169"/>
      <c r="B137" s="169"/>
      <c r="C137" s="169"/>
      <c r="D137" s="169"/>
      <c r="E137" s="169"/>
      <c r="F137" s="169"/>
      <c r="G137" s="169"/>
      <c r="H137" s="169"/>
      <c r="I137" s="169"/>
      <c r="J137" s="169"/>
      <c r="K137" s="169"/>
      <c r="L137" s="169"/>
      <c r="M137" s="169"/>
      <c r="N137" s="169"/>
      <c r="O137" s="169"/>
      <c r="P137" s="169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</row>
    <row r="138" spans="1:26" ht="15.75" customHeight="1">
      <c r="A138" s="169"/>
      <c r="B138" s="169"/>
      <c r="C138" s="169"/>
      <c r="D138" s="169"/>
      <c r="E138" s="169"/>
      <c r="F138" s="169"/>
      <c r="G138" s="169"/>
      <c r="H138" s="169"/>
      <c r="I138" s="169"/>
      <c r="J138" s="169"/>
      <c r="K138" s="169"/>
      <c r="L138" s="169"/>
      <c r="M138" s="169"/>
      <c r="N138" s="169"/>
      <c r="O138" s="169"/>
      <c r="P138" s="169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</row>
    <row r="139" spans="1:26" ht="15.75" customHeight="1">
      <c r="A139" s="169"/>
      <c r="B139" s="169"/>
      <c r="C139" s="169"/>
      <c r="D139" s="169"/>
      <c r="E139" s="169"/>
      <c r="F139" s="169"/>
      <c r="G139" s="169"/>
      <c r="H139" s="169"/>
      <c r="I139" s="169"/>
      <c r="J139" s="169"/>
      <c r="K139" s="169"/>
      <c r="L139" s="169"/>
      <c r="M139" s="169"/>
      <c r="N139" s="169"/>
      <c r="O139" s="169"/>
      <c r="P139" s="169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</row>
    <row r="140" spans="1:26" ht="15.75" customHeight="1">
      <c r="A140" s="169"/>
      <c r="B140" s="169"/>
      <c r="C140" s="169"/>
      <c r="D140" s="169"/>
      <c r="E140" s="169"/>
      <c r="F140" s="169"/>
      <c r="G140" s="169"/>
      <c r="H140" s="169"/>
      <c r="I140" s="169"/>
      <c r="J140" s="169"/>
      <c r="K140" s="169"/>
      <c r="L140" s="169"/>
      <c r="M140" s="169"/>
      <c r="N140" s="169"/>
      <c r="O140" s="169"/>
      <c r="P140" s="169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</row>
    <row r="141" spans="1:26" ht="15.75" customHeight="1">
      <c r="A141" s="169"/>
      <c r="B141" s="169"/>
      <c r="C141" s="169"/>
      <c r="D141" s="169"/>
      <c r="E141" s="169"/>
      <c r="F141" s="169"/>
      <c r="G141" s="169"/>
      <c r="H141" s="169"/>
      <c r="I141" s="169"/>
      <c r="J141" s="169"/>
      <c r="K141" s="169"/>
      <c r="L141" s="169"/>
      <c r="M141" s="169"/>
      <c r="N141" s="169"/>
      <c r="O141" s="169"/>
      <c r="P141" s="169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</row>
    <row r="142" spans="1:26" ht="15.75" customHeight="1">
      <c r="A142" s="169"/>
      <c r="B142" s="169"/>
      <c r="C142" s="169"/>
      <c r="D142" s="169"/>
      <c r="E142" s="169"/>
      <c r="F142" s="169"/>
      <c r="G142" s="169"/>
      <c r="H142" s="169"/>
      <c r="I142" s="169"/>
      <c r="J142" s="169"/>
      <c r="K142" s="169"/>
      <c r="L142" s="169"/>
      <c r="M142" s="169"/>
      <c r="N142" s="169"/>
      <c r="O142" s="169"/>
      <c r="P142" s="169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</row>
    <row r="143" spans="1:26" ht="15.75" customHeight="1">
      <c r="A143" s="169"/>
      <c r="B143" s="169"/>
      <c r="C143" s="169"/>
      <c r="D143" s="169"/>
      <c r="E143" s="169"/>
      <c r="F143" s="169"/>
      <c r="G143" s="169"/>
      <c r="H143" s="169"/>
      <c r="I143" s="169"/>
      <c r="J143" s="169"/>
      <c r="K143" s="169"/>
      <c r="L143" s="169"/>
      <c r="M143" s="169"/>
      <c r="N143" s="169"/>
      <c r="O143" s="169"/>
      <c r="P143" s="169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</row>
    <row r="144" spans="1:26" ht="15.75" customHeight="1">
      <c r="A144" s="169"/>
      <c r="B144" s="169"/>
      <c r="C144" s="169"/>
      <c r="D144" s="169"/>
      <c r="E144" s="169"/>
      <c r="F144" s="169"/>
      <c r="G144" s="169"/>
      <c r="H144" s="169"/>
      <c r="I144" s="169"/>
      <c r="J144" s="169"/>
      <c r="K144" s="169"/>
      <c r="L144" s="169"/>
      <c r="M144" s="169"/>
      <c r="N144" s="169"/>
      <c r="O144" s="169"/>
      <c r="P144" s="169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</row>
    <row r="145" spans="1:26" ht="15.75" customHeight="1">
      <c r="A145" s="169"/>
      <c r="B145" s="169"/>
      <c r="C145" s="169"/>
      <c r="D145" s="169"/>
      <c r="E145" s="169"/>
      <c r="F145" s="169"/>
      <c r="G145" s="169"/>
      <c r="H145" s="169"/>
      <c r="I145" s="169"/>
      <c r="J145" s="169"/>
      <c r="K145" s="169"/>
      <c r="L145" s="169"/>
      <c r="M145" s="169"/>
      <c r="N145" s="169"/>
      <c r="O145" s="169"/>
      <c r="P145" s="169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</row>
    <row r="146" spans="1:26" ht="15.75" customHeight="1">
      <c r="A146" s="169"/>
      <c r="B146" s="169"/>
      <c r="C146" s="169"/>
      <c r="D146" s="169"/>
      <c r="E146" s="169"/>
      <c r="F146" s="169"/>
      <c r="G146" s="169"/>
      <c r="H146" s="169"/>
      <c r="I146" s="169"/>
      <c r="J146" s="169"/>
      <c r="K146" s="169"/>
      <c r="L146" s="169"/>
      <c r="M146" s="169"/>
      <c r="N146" s="169"/>
      <c r="O146" s="169"/>
      <c r="P146" s="169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</row>
    <row r="147" spans="1:26" ht="15.75" customHeight="1">
      <c r="A147" s="169"/>
      <c r="B147" s="169"/>
      <c r="C147" s="169"/>
      <c r="D147" s="169"/>
      <c r="E147" s="169"/>
      <c r="F147" s="169"/>
      <c r="G147" s="169"/>
      <c r="H147" s="169"/>
      <c r="I147" s="169"/>
      <c r="J147" s="169"/>
      <c r="K147" s="169"/>
      <c r="L147" s="169"/>
      <c r="M147" s="169"/>
      <c r="N147" s="169"/>
      <c r="O147" s="169"/>
      <c r="P147" s="169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</row>
    <row r="148" spans="1:26" ht="15.75" customHeight="1">
      <c r="A148" s="169"/>
      <c r="B148" s="169"/>
      <c r="C148" s="169"/>
      <c r="D148" s="169"/>
      <c r="E148" s="169"/>
      <c r="F148" s="169"/>
      <c r="G148" s="169"/>
      <c r="H148" s="169"/>
      <c r="I148" s="169"/>
      <c r="J148" s="169"/>
      <c r="K148" s="169"/>
      <c r="L148" s="169"/>
      <c r="M148" s="169"/>
      <c r="N148" s="169"/>
      <c r="O148" s="169"/>
      <c r="P148" s="169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</row>
    <row r="149" spans="1:26" ht="15.75" customHeight="1">
      <c r="A149" s="169"/>
      <c r="B149" s="169"/>
      <c r="C149" s="169"/>
      <c r="D149" s="169"/>
      <c r="E149" s="169"/>
      <c r="F149" s="169"/>
      <c r="G149" s="169"/>
      <c r="H149" s="169"/>
      <c r="I149" s="169"/>
      <c r="J149" s="169"/>
      <c r="K149" s="169"/>
      <c r="L149" s="169"/>
      <c r="M149" s="169"/>
      <c r="N149" s="169"/>
      <c r="O149" s="169"/>
      <c r="P149" s="169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</row>
    <row r="150" spans="1:26" ht="15.75" customHeight="1">
      <c r="A150" s="169"/>
      <c r="B150" s="169"/>
      <c r="C150" s="169"/>
      <c r="D150" s="169"/>
      <c r="E150" s="169"/>
      <c r="F150" s="169"/>
      <c r="G150" s="169"/>
      <c r="H150" s="169"/>
      <c r="I150" s="169"/>
      <c r="J150" s="169"/>
      <c r="K150" s="169"/>
      <c r="L150" s="169"/>
      <c r="M150" s="169"/>
      <c r="N150" s="169"/>
      <c r="O150" s="169"/>
      <c r="P150" s="169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</row>
    <row r="151" spans="1:26" ht="15.75" customHeight="1">
      <c r="A151" s="169"/>
      <c r="B151" s="169"/>
      <c r="C151" s="169"/>
      <c r="D151" s="169"/>
      <c r="E151" s="169"/>
      <c r="F151" s="169"/>
      <c r="G151" s="169"/>
      <c r="H151" s="169"/>
      <c r="I151" s="169"/>
      <c r="J151" s="169"/>
      <c r="K151" s="169"/>
      <c r="L151" s="169"/>
      <c r="M151" s="169"/>
      <c r="N151" s="169"/>
      <c r="O151" s="169"/>
      <c r="P151" s="169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</row>
    <row r="152" spans="1:26" ht="15.75" customHeight="1">
      <c r="A152" s="169"/>
      <c r="B152" s="169"/>
      <c r="C152" s="169"/>
      <c r="D152" s="169"/>
      <c r="E152" s="169"/>
      <c r="F152" s="169"/>
      <c r="G152" s="169"/>
      <c r="H152" s="169"/>
      <c r="I152" s="169"/>
      <c r="J152" s="169"/>
      <c r="K152" s="169"/>
      <c r="L152" s="169"/>
      <c r="M152" s="169"/>
      <c r="N152" s="169"/>
      <c r="O152" s="169"/>
      <c r="P152" s="169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</row>
    <row r="153" spans="1:26" ht="15.75" customHeight="1">
      <c r="A153" s="169"/>
      <c r="B153" s="169"/>
      <c r="C153" s="169"/>
      <c r="D153" s="169"/>
      <c r="E153" s="169"/>
      <c r="F153" s="169"/>
      <c r="G153" s="169"/>
      <c r="H153" s="169"/>
      <c r="I153" s="169"/>
      <c r="J153" s="169"/>
      <c r="K153" s="169"/>
      <c r="L153" s="169"/>
      <c r="M153" s="169"/>
      <c r="N153" s="169"/>
      <c r="O153" s="169"/>
      <c r="P153" s="169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</row>
    <row r="154" spans="1:26" ht="15.75" customHeight="1">
      <c r="A154" s="169"/>
      <c r="B154" s="169"/>
      <c r="C154" s="169"/>
      <c r="D154" s="169"/>
      <c r="E154" s="169"/>
      <c r="F154" s="169"/>
      <c r="G154" s="169"/>
      <c r="H154" s="169"/>
      <c r="I154" s="169"/>
      <c r="J154" s="169"/>
      <c r="K154" s="169"/>
      <c r="L154" s="169"/>
      <c r="M154" s="169"/>
      <c r="N154" s="169"/>
      <c r="O154" s="169"/>
      <c r="P154" s="169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</row>
    <row r="155" spans="1:26" ht="15.75" customHeight="1">
      <c r="A155" s="169"/>
      <c r="B155" s="169"/>
      <c r="C155" s="169"/>
      <c r="D155" s="169"/>
      <c r="E155" s="169"/>
      <c r="F155" s="169"/>
      <c r="G155" s="169"/>
      <c r="H155" s="169"/>
      <c r="I155" s="169"/>
      <c r="J155" s="169"/>
      <c r="K155" s="169"/>
      <c r="L155" s="169"/>
      <c r="M155" s="169"/>
      <c r="N155" s="169"/>
      <c r="O155" s="169"/>
      <c r="P155" s="169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</row>
    <row r="156" spans="1:26" ht="15.75" customHeight="1">
      <c r="A156" s="169"/>
      <c r="B156" s="169"/>
      <c r="C156" s="169"/>
      <c r="D156" s="169"/>
      <c r="E156" s="169"/>
      <c r="F156" s="169"/>
      <c r="G156" s="169"/>
      <c r="H156" s="169"/>
      <c r="I156" s="169"/>
      <c r="J156" s="169"/>
      <c r="K156" s="169"/>
      <c r="L156" s="169"/>
      <c r="M156" s="169"/>
      <c r="N156" s="169"/>
      <c r="O156" s="169"/>
      <c r="P156" s="169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</row>
    <row r="157" spans="1:26" ht="15.75" customHeight="1">
      <c r="A157" s="169"/>
      <c r="B157" s="169"/>
      <c r="C157" s="169"/>
      <c r="D157" s="169"/>
      <c r="E157" s="169"/>
      <c r="F157" s="169"/>
      <c r="G157" s="169"/>
      <c r="H157" s="169"/>
      <c r="I157" s="169"/>
      <c r="J157" s="169"/>
      <c r="K157" s="169"/>
      <c r="L157" s="169"/>
      <c r="M157" s="169"/>
      <c r="N157" s="169"/>
      <c r="O157" s="169"/>
      <c r="P157" s="169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</row>
    <row r="158" spans="1:26" ht="15.75" customHeight="1">
      <c r="A158" s="169"/>
      <c r="B158" s="169"/>
      <c r="C158" s="169"/>
      <c r="D158" s="169"/>
      <c r="E158" s="169"/>
      <c r="F158" s="169"/>
      <c r="G158" s="169"/>
      <c r="H158" s="169"/>
      <c r="I158" s="169"/>
      <c r="J158" s="169"/>
      <c r="K158" s="169"/>
      <c r="L158" s="169"/>
      <c r="M158" s="169"/>
      <c r="N158" s="169"/>
      <c r="O158" s="169"/>
      <c r="P158" s="169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</row>
    <row r="159" spans="1:26" ht="15.75" customHeight="1">
      <c r="A159" s="169"/>
      <c r="B159" s="169"/>
      <c r="C159" s="169"/>
      <c r="D159" s="169"/>
      <c r="E159" s="169"/>
      <c r="F159" s="169"/>
      <c r="G159" s="169"/>
      <c r="H159" s="169"/>
      <c r="I159" s="169"/>
      <c r="J159" s="169"/>
      <c r="K159" s="169"/>
      <c r="L159" s="169"/>
      <c r="M159" s="169"/>
      <c r="N159" s="169"/>
      <c r="O159" s="169"/>
      <c r="P159" s="169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</row>
    <row r="160" spans="1:26" ht="15.75" customHeight="1">
      <c r="A160" s="169"/>
      <c r="B160" s="169"/>
      <c r="C160" s="169"/>
      <c r="D160" s="169"/>
      <c r="E160" s="169"/>
      <c r="F160" s="169"/>
      <c r="G160" s="169"/>
      <c r="H160" s="169"/>
      <c r="I160" s="169"/>
      <c r="J160" s="169"/>
      <c r="K160" s="169"/>
      <c r="L160" s="169"/>
      <c r="M160" s="169"/>
      <c r="N160" s="169"/>
      <c r="O160" s="169"/>
      <c r="P160" s="169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</row>
    <row r="161" spans="1:26" ht="15.75" customHeight="1">
      <c r="A161" s="169"/>
      <c r="B161" s="169"/>
      <c r="C161" s="169"/>
      <c r="D161" s="169"/>
      <c r="E161" s="169"/>
      <c r="F161" s="169"/>
      <c r="G161" s="169"/>
      <c r="H161" s="169"/>
      <c r="I161" s="169"/>
      <c r="J161" s="169"/>
      <c r="K161" s="169"/>
      <c r="L161" s="169"/>
      <c r="M161" s="169"/>
      <c r="N161" s="169"/>
      <c r="O161" s="169"/>
      <c r="P161" s="169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</row>
    <row r="162" spans="1:26" ht="15.75" customHeight="1">
      <c r="A162" s="169"/>
      <c r="B162" s="169"/>
      <c r="C162" s="169"/>
      <c r="D162" s="169"/>
      <c r="E162" s="169"/>
      <c r="F162" s="169"/>
      <c r="G162" s="169"/>
      <c r="H162" s="169"/>
      <c r="I162" s="169"/>
      <c r="J162" s="169"/>
      <c r="K162" s="169"/>
      <c r="L162" s="169"/>
      <c r="M162" s="169"/>
      <c r="N162" s="169"/>
      <c r="O162" s="169"/>
      <c r="P162" s="169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</row>
    <row r="163" spans="1:26" ht="15.75" customHeight="1">
      <c r="A163" s="169"/>
      <c r="B163" s="169"/>
      <c r="C163" s="169"/>
      <c r="D163" s="169"/>
      <c r="E163" s="169"/>
      <c r="F163" s="169"/>
      <c r="G163" s="169"/>
      <c r="H163" s="169"/>
      <c r="I163" s="169"/>
      <c r="J163" s="169"/>
      <c r="K163" s="169"/>
      <c r="L163" s="169"/>
      <c r="M163" s="169"/>
      <c r="N163" s="169"/>
      <c r="O163" s="169"/>
      <c r="P163" s="169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</row>
    <row r="164" spans="1:26" ht="15.75" customHeight="1">
      <c r="A164" s="169"/>
      <c r="B164" s="169"/>
      <c r="C164" s="169"/>
      <c r="D164" s="169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</row>
    <row r="165" spans="1:26" ht="15.75" customHeight="1">
      <c r="A165" s="169"/>
      <c r="B165" s="169"/>
      <c r="C165" s="169"/>
      <c r="D165" s="169"/>
      <c r="E165" s="169"/>
      <c r="F165" s="169"/>
      <c r="G165" s="169"/>
      <c r="H165" s="169"/>
      <c r="I165" s="169"/>
      <c r="J165" s="169"/>
      <c r="K165" s="169"/>
      <c r="L165" s="169"/>
      <c r="M165" s="169"/>
      <c r="N165" s="169"/>
      <c r="O165" s="169"/>
      <c r="P165" s="169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</row>
    <row r="166" spans="1:26" ht="15.75" customHeight="1">
      <c r="A166" s="169"/>
      <c r="B166" s="169"/>
      <c r="C166" s="169"/>
      <c r="D166" s="169"/>
      <c r="E166" s="169"/>
      <c r="F166" s="169"/>
      <c r="G166" s="169"/>
      <c r="H166" s="169"/>
      <c r="I166" s="169"/>
      <c r="J166" s="169"/>
      <c r="K166" s="169"/>
      <c r="L166" s="169"/>
      <c r="M166" s="169"/>
      <c r="N166" s="169"/>
      <c r="O166" s="169"/>
      <c r="P166" s="169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</row>
    <row r="167" spans="1:26" ht="15.75" customHeight="1">
      <c r="A167" s="169"/>
      <c r="B167" s="169"/>
      <c r="C167" s="169"/>
      <c r="D167" s="169"/>
      <c r="E167" s="169"/>
      <c r="F167" s="169"/>
      <c r="G167" s="169"/>
      <c r="H167" s="169"/>
      <c r="I167" s="169"/>
      <c r="J167" s="169"/>
      <c r="K167" s="169"/>
      <c r="L167" s="169"/>
      <c r="M167" s="169"/>
      <c r="N167" s="169"/>
      <c r="O167" s="169"/>
      <c r="P167" s="169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</row>
    <row r="168" spans="1:26" ht="15.75" customHeight="1">
      <c r="A168" s="169"/>
      <c r="B168" s="169"/>
      <c r="C168" s="169"/>
      <c r="D168" s="169"/>
      <c r="E168" s="169"/>
      <c r="F168" s="169"/>
      <c r="G168" s="169"/>
      <c r="H168" s="169"/>
      <c r="I168" s="169"/>
      <c r="J168" s="169"/>
      <c r="K168" s="169"/>
      <c r="L168" s="169"/>
      <c r="M168" s="169"/>
      <c r="N168" s="169"/>
      <c r="O168" s="169"/>
      <c r="P168" s="169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</row>
    <row r="169" spans="1:26" ht="15.75" customHeight="1">
      <c r="A169" s="169"/>
      <c r="B169" s="169"/>
      <c r="C169" s="169"/>
      <c r="D169" s="169"/>
      <c r="E169" s="169"/>
      <c r="F169" s="169"/>
      <c r="G169" s="169"/>
      <c r="H169" s="169"/>
      <c r="I169" s="169"/>
      <c r="J169" s="169"/>
      <c r="K169" s="169"/>
      <c r="L169" s="169"/>
      <c r="M169" s="169"/>
      <c r="N169" s="169"/>
      <c r="O169" s="169"/>
      <c r="P169" s="169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</row>
    <row r="170" spans="1:26" ht="15.75" customHeight="1">
      <c r="A170" s="169"/>
      <c r="B170" s="169"/>
      <c r="C170" s="169"/>
      <c r="D170" s="169"/>
      <c r="E170" s="169"/>
      <c r="F170" s="169"/>
      <c r="G170" s="169"/>
      <c r="H170" s="169"/>
      <c r="I170" s="169"/>
      <c r="J170" s="169"/>
      <c r="K170" s="169"/>
      <c r="L170" s="169"/>
      <c r="M170" s="169"/>
      <c r="N170" s="169"/>
      <c r="O170" s="169"/>
      <c r="P170" s="169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</row>
    <row r="171" spans="1:26" ht="15.75" customHeight="1">
      <c r="A171" s="169"/>
      <c r="B171" s="169"/>
      <c r="C171" s="169"/>
      <c r="D171" s="169"/>
      <c r="E171" s="169"/>
      <c r="F171" s="169"/>
      <c r="G171" s="169"/>
      <c r="H171" s="169"/>
      <c r="I171" s="169"/>
      <c r="J171" s="169"/>
      <c r="K171" s="169"/>
      <c r="L171" s="169"/>
      <c r="M171" s="169"/>
      <c r="N171" s="169"/>
      <c r="O171" s="169"/>
      <c r="P171" s="169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</row>
    <row r="172" spans="1:26" ht="15.75" customHeight="1">
      <c r="A172" s="169"/>
      <c r="B172" s="169"/>
      <c r="C172" s="169"/>
      <c r="D172" s="169"/>
      <c r="E172" s="169"/>
      <c r="F172" s="169"/>
      <c r="G172" s="169"/>
      <c r="H172" s="169"/>
      <c r="I172" s="169"/>
      <c r="J172" s="169"/>
      <c r="K172" s="169"/>
      <c r="L172" s="169"/>
      <c r="M172" s="169"/>
      <c r="N172" s="169"/>
      <c r="O172" s="169"/>
      <c r="P172" s="169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</row>
    <row r="173" spans="1:26" ht="15.75" customHeight="1">
      <c r="A173" s="169"/>
      <c r="B173" s="169"/>
      <c r="C173" s="169"/>
      <c r="D173" s="169"/>
      <c r="E173" s="169"/>
      <c r="F173" s="169"/>
      <c r="G173" s="169"/>
      <c r="H173" s="169"/>
      <c r="I173" s="169"/>
      <c r="J173" s="169"/>
      <c r="K173" s="169"/>
      <c r="L173" s="169"/>
      <c r="M173" s="169"/>
      <c r="N173" s="169"/>
      <c r="O173" s="169"/>
      <c r="P173" s="169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</row>
    <row r="174" spans="1:26" ht="15.75" customHeight="1">
      <c r="A174" s="169"/>
      <c r="B174" s="169"/>
      <c r="C174" s="169"/>
      <c r="D174" s="169"/>
      <c r="E174" s="169"/>
      <c r="F174" s="169"/>
      <c r="G174" s="169"/>
      <c r="H174" s="169"/>
      <c r="I174" s="169"/>
      <c r="J174" s="169"/>
      <c r="K174" s="169"/>
      <c r="L174" s="169"/>
      <c r="M174" s="169"/>
      <c r="N174" s="169"/>
      <c r="O174" s="169"/>
      <c r="P174" s="169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</row>
    <row r="175" spans="1:26" ht="15.75" customHeight="1">
      <c r="A175" s="169"/>
      <c r="B175" s="169"/>
      <c r="C175" s="169"/>
      <c r="D175" s="169"/>
      <c r="E175" s="169"/>
      <c r="F175" s="169"/>
      <c r="G175" s="169"/>
      <c r="H175" s="169"/>
      <c r="I175" s="169"/>
      <c r="J175" s="169"/>
      <c r="K175" s="169"/>
      <c r="L175" s="169"/>
      <c r="M175" s="169"/>
      <c r="N175" s="169"/>
      <c r="O175" s="169"/>
      <c r="P175" s="169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</row>
    <row r="176" spans="1:26" ht="15.75" customHeight="1">
      <c r="A176" s="169"/>
      <c r="B176" s="169"/>
      <c r="C176" s="169"/>
      <c r="D176" s="169"/>
      <c r="E176" s="169"/>
      <c r="F176" s="169"/>
      <c r="G176" s="169"/>
      <c r="H176" s="169"/>
      <c r="I176" s="169"/>
      <c r="J176" s="169"/>
      <c r="K176" s="169"/>
      <c r="L176" s="169"/>
      <c r="M176" s="169"/>
      <c r="N176" s="169"/>
      <c r="O176" s="169"/>
      <c r="P176" s="169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</row>
    <row r="177" spans="1:26" ht="15.75" customHeight="1">
      <c r="A177" s="169"/>
      <c r="B177" s="169"/>
      <c r="C177" s="169"/>
      <c r="D177" s="169"/>
      <c r="E177" s="169"/>
      <c r="F177" s="169"/>
      <c r="G177" s="169"/>
      <c r="H177" s="169"/>
      <c r="I177" s="169"/>
      <c r="J177" s="169"/>
      <c r="K177" s="169"/>
      <c r="L177" s="169"/>
      <c r="M177" s="169"/>
      <c r="N177" s="169"/>
      <c r="O177" s="169"/>
      <c r="P177" s="169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</row>
    <row r="178" spans="1:26" ht="15.75" customHeight="1">
      <c r="A178" s="169"/>
      <c r="B178" s="169"/>
      <c r="C178" s="169"/>
      <c r="D178" s="169"/>
      <c r="E178" s="169"/>
      <c r="F178" s="169"/>
      <c r="G178" s="169"/>
      <c r="H178" s="169"/>
      <c r="I178" s="169"/>
      <c r="J178" s="169"/>
      <c r="K178" s="169"/>
      <c r="L178" s="169"/>
      <c r="M178" s="169"/>
      <c r="N178" s="169"/>
      <c r="O178" s="169"/>
      <c r="P178" s="169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</row>
    <row r="179" spans="1:26" ht="15.75" customHeight="1">
      <c r="A179" s="169"/>
      <c r="B179" s="169"/>
      <c r="C179" s="169"/>
      <c r="D179" s="169"/>
      <c r="E179" s="169"/>
      <c r="F179" s="169"/>
      <c r="G179" s="169"/>
      <c r="H179" s="169"/>
      <c r="I179" s="169"/>
      <c r="J179" s="169"/>
      <c r="K179" s="169"/>
      <c r="L179" s="169"/>
      <c r="M179" s="169"/>
      <c r="N179" s="169"/>
      <c r="O179" s="169"/>
      <c r="P179" s="169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</row>
    <row r="180" spans="1:26" ht="15.75" customHeight="1">
      <c r="A180" s="169"/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  <c r="N180" s="169"/>
      <c r="O180" s="169"/>
      <c r="P180" s="169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</row>
    <row r="181" spans="1:26" ht="15.75" customHeight="1">
      <c r="A181" s="169"/>
      <c r="B181" s="169"/>
      <c r="C181" s="169"/>
      <c r="D181" s="169"/>
      <c r="E181" s="169"/>
      <c r="F181" s="169"/>
      <c r="G181" s="169"/>
      <c r="H181" s="169"/>
      <c r="I181" s="169"/>
      <c r="J181" s="169"/>
      <c r="K181" s="169"/>
      <c r="L181" s="169"/>
      <c r="M181" s="169"/>
      <c r="N181" s="169"/>
      <c r="O181" s="169"/>
      <c r="P181" s="169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</row>
    <row r="182" spans="1:26" ht="15.75" customHeight="1">
      <c r="A182" s="169"/>
      <c r="B182" s="169"/>
      <c r="C182" s="169"/>
      <c r="D182" s="169"/>
      <c r="E182" s="169"/>
      <c r="F182" s="169"/>
      <c r="G182" s="169"/>
      <c r="H182" s="169"/>
      <c r="I182" s="169"/>
      <c r="J182" s="169"/>
      <c r="K182" s="169"/>
      <c r="L182" s="169"/>
      <c r="M182" s="169"/>
      <c r="N182" s="169"/>
      <c r="O182" s="169"/>
      <c r="P182" s="169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</row>
    <row r="183" spans="1:26" ht="15.75" customHeight="1">
      <c r="A183" s="169"/>
      <c r="B183" s="169"/>
      <c r="C183" s="169"/>
      <c r="D183" s="169"/>
      <c r="E183" s="169"/>
      <c r="F183" s="169"/>
      <c r="G183" s="169"/>
      <c r="H183" s="169"/>
      <c r="I183" s="169"/>
      <c r="J183" s="169"/>
      <c r="K183" s="169"/>
      <c r="L183" s="169"/>
      <c r="M183" s="169"/>
      <c r="N183" s="169"/>
      <c r="O183" s="169"/>
      <c r="P183" s="169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</row>
    <row r="184" spans="1:26" ht="15.75" customHeight="1">
      <c r="A184" s="169"/>
      <c r="B184" s="169"/>
      <c r="C184" s="169"/>
      <c r="D184" s="169"/>
      <c r="E184" s="169"/>
      <c r="F184" s="169"/>
      <c r="G184" s="169"/>
      <c r="H184" s="169"/>
      <c r="I184" s="169"/>
      <c r="J184" s="169"/>
      <c r="K184" s="169"/>
      <c r="L184" s="169"/>
      <c r="M184" s="169"/>
      <c r="N184" s="169"/>
      <c r="O184" s="169"/>
      <c r="P184" s="169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</row>
    <row r="185" spans="1:26" ht="15.75" customHeight="1">
      <c r="A185" s="169"/>
      <c r="B185" s="169"/>
      <c r="C185" s="169"/>
      <c r="D185" s="169"/>
      <c r="E185" s="169"/>
      <c r="F185" s="169"/>
      <c r="G185" s="169"/>
      <c r="H185" s="169"/>
      <c r="I185" s="169"/>
      <c r="J185" s="169"/>
      <c r="K185" s="169"/>
      <c r="L185" s="169"/>
      <c r="M185" s="169"/>
      <c r="N185" s="169"/>
      <c r="O185" s="169"/>
      <c r="P185" s="169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</row>
    <row r="186" spans="1:26" ht="15.75" customHeight="1">
      <c r="A186" s="169"/>
      <c r="B186" s="169"/>
      <c r="C186" s="169"/>
      <c r="D186" s="169"/>
      <c r="E186" s="169"/>
      <c r="F186" s="169"/>
      <c r="G186" s="169"/>
      <c r="H186" s="169"/>
      <c r="I186" s="169"/>
      <c r="J186" s="169"/>
      <c r="K186" s="169"/>
      <c r="L186" s="169"/>
      <c r="M186" s="169"/>
      <c r="N186" s="169"/>
      <c r="O186" s="169"/>
      <c r="P186" s="169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</row>
    <row r="187" spans="1:26" ht="15.75" customHeight="1">
      <c r="A187" s="169"/>
      <c r="B187" s="169"/>
      <c r="C187" s="169"/>
      <c r="D187" s="169"/>
      <c r="E187" s="169"/>
      <c r="F187" s="169"/>
      <c r="G187" s="169"/>
      <c r="H187" s="169"/>
      <c r="I187" s="169"/>
      <c r="J187" s="169"/>
      <c r="K187" s="169"/>
      <c r="L187" s="169"/>
      <c r="M187" s="169"/>
      <c r="N187" s="169"/>
      <c r="O187" s="169"/>
      <c r="P187" s="169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</row>
    <row r="188" spans="1:26" ht="15.75" customHeight="1">
      <c r="A188" s="169"/>
      <c r="B188" s="169"/>
      <c r="C188" s="169"/>
      <c r="D188" s="169"/>
      <c r="E188" s="169"/>
      <c r="F188" s="169"/>
      <c r="G188" s="169"/>
      <c r="H188" s="169"/>
      <c r="I188" s="169"/>
      <c r="J188" s="169"/>
      <c r="K188" s="169"/>
      <c r="L188" s="169"/>
      <c r="M188" s="169"/>
      <c r="N188" s="169"/>
      <c r="O188" s="169"/>
      <c r="P188" s="169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</row>
    <row r="189" spans="1:26" ht="15.75" customHeight="1">
      <c r="A189" s="169"/>
      <c r="B189" s="169"/>
      <c r="C189" s="169"/>
      <c r="D189" s="169"/>
      <c r="E189" s="169"/>
      <c r="F189" s="169"/>
      <c r="G189" s="169"/>
      <c r="H189" s="169"/>
      <c r="I189" s="169"/>
      <c r="J189" s="169"/>
      <c r="K189" s="169"/>
      <c r="L189" s="169"/>
      <c r="M189" s="169"/>
      <c r="N189" s="169"/>
      <c r="O189" s="169"/>
      <c r="P189" s="169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</row>
    <row r="190" spans="1:26" ht="15.75" customHeight="1">
      <c r="A190" s="169"/>
      <c r="B190" s="169"/>
      <c r="C190" s="169"/>
      <c r="D190" s="169"/>
      <c r="E190" s="169"/>
      <c r="F190" s="169"/>
      <c r="G190" s="169"/>
      <c r="H190" s="169"/>
      <c r="I190" s="169"/>
      <c r="J190" s="169"/>
      <c r="K190" s="169"/>
      <c r="L190" s="169"/>
      <c r="M190" s="169"/>
      <c r="N190" s="169"/>
      <c r="O190" s="169"/>
      <c r="P190" s="169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</row>
    <row r="191" spans="1:26" ht="15.75" customHeight="1">
      <c r="A191" s="169"/>
      <c r="B191" s="169"/>
      <c r="C191" s="169"/>
      <c r="D191" s="169"/>
      <c r="E191" s="169"/>
      <c r="F191" s="169"/>
      <c r="G191" s="169"/>
      <c r="H191" s="169"/>
      <c r="I191" s="169"/>
      <c r="J191" s="169"/>
      <c r="K191" s="169"/>
      <c r="L191" s="169"/>
      <c r="M191" s="169"/>
      <c r="N191" s="169"/>
      <c r="O191" s="169"/>
      <c r="P191" s="169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</row>
    <row r="192" spans="1:26" ht="15.75" customHeight="1">
      <c r="A192" s="169"/>
      <c r="B192" s="169"/>
      <c r="C192" s="169"/>
      <c r="D192" s="169"/>
      <c r="E192" s="169"/>
      <c r="F192" s="169"/>
      <c r="G192" s="169"/>
      <c r="H192" s="169"/>
      <c r="I192" s="169"/>
      <c r="J192" s="169"/>
      <c r="K192" s="169"/>
      <c r="L192" s="169"/>
      <c r="M192" s="169"/>
      <c r="N192" s="169"/>
      <c r="O192" s="169"/>
      <c r="P192" s="169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</row>
    <row r="193" spans="1:26" ht="15.75" customHeight="1">
      <c r="A193" s="169"/>
      <c r="B193" s="169"/>
      <c r="C193" s="169"/>
      <c r="D193" s="169"/>
      <c r="E193" s="169"/>
      <c r="F193" s="169"/>
      <c r="G193" s="169"/>
      <c r="H193" s="169"/>
      <c r="I193" s="169"/>
      <c r="J193" s="169"/>
      <c r="K193" s="169"/>
      <c r="L193" s="169"/>
      <c r="M193" s="169"/>
      <c r="N193" s="169"/>
      <c r="O193" s="169"/>
      <c r="P193" s="169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</row>
    <row r="194" spans="1:26" ht="15.75" customHeight="1">
      <c r="A194" s="169"/>
      <c r="B194" s="169"/>
      <c r="C194" s="169"/>
      <c r="D194" s="169"/>
      <c r="E194" s="169"/>
      <c r="F194" s="169"/>
      <c r="G194" s="169"/>
      <c r="H194" s="169"/>
      <c r="I194" s="169"/>
      <c r="J194" s="169"/>
      <c r="K194" s="169"/>
      <c r="L194" s="169"/>
      <c r="M194" s="169"/>
      <c r="N194" s="169"/>
      <c r="O194" s="169"/>
      <c r="P194" s="169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</row>
    <row r="195" spans="1:26" ht="15.75" customHeight="1">
      <c r="A195" s="169"/>
      <c r="B195" s="169"/>
      <c r="C195" s="169"/>
      <c r="D195" s="169"/>
      <c r="E195" s="169"/>
      <c r="F195" s="169"/>
      <c r="G195" s="169"/>
      <c r="H195" s="169"/>
      <c r="I195" s="169"/>
      <c r="J195" s="169"/>
      <c r="K195" s="169"/>
      <c r="L195" s="169"/>
      <c r="M195" s="169"/>
      <c r="N195" s="169"/>
      <c r="O195" s="169"/>
      <c r="P195" s="169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</row>
    <row r="196" spans="1:26" ht="15.75" customHeight="1">
      <c r="A196" s="169"/>
      <c r="B196" s="169"/>
      <c r="C196" s="169"/>
      <c r="D196" s="169"/>
      <c r="E196" s="169"/>
      <c r="F196" s="169"/>
      <c r="G196" s="169"/>
      <c r="H196" s="169"/>
      <c r="I196" s="169"/>
      <c r="J196" s="169"/>
      <c r="K196" s="169"/>
      <c r="L196" s="169"/>
      <c r="M196" s="169"/>
      <c r="N196" s="169"/>
      <c r="O196" s="169"/>
      <c r="P196" s="169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</row>
    <row r="197" spans="1:26" ht="15.75" customHeight="1">
      <c r="A197" s="169"/>
      <c r="B197" s="169"/>
      <c r="C197" s="169"/>
      <c r="D197" s="169"/>
      <c r="E197" s="169"/>
      <c r="F197" s="169"/>
      <c r="G197" s="169"/>
      <c r="H197" s="169"/>
      <c r="I197" s="169"/>
      <c r="J197" s="169"/>
      <c r="K197" s="169"/>
      <c r="L197" s="169"/>
      <c r="M197" s="169"/>
      <c r="N197" s="169"/>
      <c r="O197" s="169"/>
      <c r="P197" s="169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</row>
    <row r="198" spans="1:26" ht="15.75" customHeight="1">
      <c r="A198" s="169"/>
      <c r="B198" s="169"/>
      <c r="C198" s="169"/>
      <c r="D198" s="169"/>
      <c r="E198" s="169"/>
      <c r="F198" s="169"/>
      <c r="G198" s="169"/>
      <c r="H198" s="169"/>
      <c r="I198" s="169"/>
      <c r="J198" s="169"/>
      <c r="K198" s="169"/>
      <c r="L198" s="169"/>
      <c r="M198" s="169"/>
      <c r="N198" s="169"/>
      <c r="O198" s="169"/>
      <c r="P198" s="169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</row>
    <row r="199" spans="1:26" ht="15.75" customHeight="1">
      <c r="A199" s="169"/>
      <c r="B199" s="169"/>
      <c r="C199" s="169"/>
      <c r="D199" s="169"/>
      <c r="E199" s="169"/>
      <c r="F199" s="169"/>
      <c r="G199" s="169"/>
      <c r="H199" s="169"/>
      <c r="I199" s="169"/>
      <c r="J199" s="169"/>
      <c r="K199" s="169"/>
      <c r="L199" s="169"/>
      <c r="M199" s="169"/>
      <c r="N199" s="169"/>
      <c r="O199" s="169"/>
      <c r="P199" s="169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</row>
    <row r="200" spans="1:26" ht="15.75" customHeight="1">
      <c r="A200" s="169"/>
      <c r="B200" s="169"/>
      <c r="C200" s="169"/>
      <c r="D200" s="169"/>
      <c r="E200" s="169"/>
      <c r="F200" s="169"/>
      <c r="G200" s="169"/>
      <c r="H200" s="169"/>
      <c r="I200" s="169"/>
      <c r="J200" s="169"/>
      <c r="K200" s="169"/>
      <c r="L200" s="169"/>
      <c r="M200" s="169"/>
      <c r="N200" s="169"/>
      <c r="O200" s="169"/>
      <c r="P200" s="169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</row>
    <row r="201" spans="1:26" ht="15.75" customHeight="1">
      <c r="A201" s="169"/>
      <c r="B201" s="169"/>
      <c r="C201" s="169"/>
      <c r="D201" s="169"/>
      <c r="E201" s="169"/>
      <c r="F201" s="169"/>
      <c r="G201" s="169"/>
      <c r="H201" s="169"/>
      <c r="I201" s="169"/>
      <c r="J201" s="169"/>
      <c r="K201" s="169"/>
      <c r="L201" s="169"/>
      <c r="M201" s="169"/>
      <c r="N201" s="169"/>
      <c r="O201" s="169"/>
      <c r="P201" s="169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</row>
    <row r="202" spans="1:26" ht="15.75" customHeight="1">
      <c r="A202" s="169"/>
      <c r="B202" s="169"/>
      <c r="C202" s="169"/>
      <c r="D202" s="169"/>
      <c r="E202" s="169"/>
      <c r="F202" s="169"/>
      <c r="G202" s="169"/>
      <c r="H202" s="169"/>
      <c r="I202" s="169"/>
      <c r="J202" s="169"/>
      <c r="K202" s="169"/>
      <c r="L202" s="169"/>
      <c r="M202" s="169"/>
      <c r="N202" s="169"/>
      <c r="O202" s="169"/>
      <c r="P202" s="169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</row>
    <row r="203" spans="1:26" ht="15.75" customHeight="1">
      <c r="A203" s="169"/>
      <c r="B203" s="169"/>
      <c r="C203" s="169"/>
      <c r="D203" s="169"/>
      <c r="E203" s="169"/>
      <c r="F203" s="169"/>
      <c r="G203" s="169"/>
      <c r="H203" s="169"/>
      <c r="I203" s="169"/>
      <c r="J203" s="169"/>
      <c r="K203" s="169"/>
      <c r="L203" s="169"/>
      <c r="M203" s="169"/>
      <c r="N203" s="169"/>
      <c r="O203" s="169"/>
      <c r="P203" s="169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</row>
    <row r="204" spans="1:26" ht="15.75" customHeight="1">
      <c r="A204" s="169"/>
      <c r="B204" s="169"/>
      <c r="C204" s="169"/>
      <c r="D204" s="169"/>
      <c r="E204" s="169"/>
      <c r="F204" s="169"/>
      <c r="G204" s="169"/>
      <c r="H204" s="169"/>
      <c r="I204" s="169"/>
      <c r="J204" s="169"/>
      <c r="K204" s="169"/>
      <c r="L204" s="169"/>
      <c r="M204" s="169"/>
      <c r="N204" s="169"/>
      <c r="O204" s="169"/>
      <c r="P204" s="169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</row>
    <row r="205" spans="1:26" ht="15.75" customHeight="1">
      <c r="A205" s="169"/>
      <c r="B205" s="169"/>
      <c r="C205" s="169"/>
      <c r="D205" s="169"/>
      <c r="E205" s="169"/>
      <c r="F205" s="169"/>
      <c r="G205" s="169"/>
      <c r="H205" s="169"/>
      <c r="I205" s="169"/>
      <c r="J205" s="169"/>
      <c r="K205" s="169"/>
      <c r="L205" s="169"/>
      <c r="M205" s="169"/>
      <c r="N205" s="169"/>
      <c r="O205" s="169"/>
      <c r="P205" s="169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</row>
    <row r="206" spans="1:26" ht="15.75" customHeight="1">
      <c r="A206" s="169"/>
      <c r="B206" s="169"/>
      <c r="C206" s="169"/>
      <c r="D206" s="169"/>
      <c r="E206" s="169"/>
      <c r="F206" s="169"/>
      <c r="G206" s="169"/>
      <c r="H206" s="169"/>
      <c r="I206" s="169"/>
      <c r="J206" s="169"/>
      <c r="K206" s="169"/>
      <c r="L206" s="169"/>
      <c r="M206" s="169"/>
      <c r="N206" s="169"/>
      <c r="O206" s="169"/>
      <c r="P206" s="169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</row>
    <row r="207" spans="1:26" ht="15.75" customHeight="1">
      <c r="A207" s="169"/>
      <c r="B207" s="169"/>
      <c r="C207" s="169"/>
      <c r="D207" s="169"/>
      <c r="E207" s="169"/>
      <c r="F207" s="169"/>
      <c r="G207" s="169"/>
      <c r="H207" s="169"/>
      <c r="I207" s="169"/>
      <c r="J207" s="169"/>
      <c r="K207" s="169"/>
      <c r="L207" s="169"/>
      <c r="M207" s="169"/>
      <c r="N207" s="169"/>
      <c r="O207" s="169"/>
      <c r="P207" s="169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</row>
    <row r="208" spans="1:26" ht="15.75" customHeight="1">
      <c r="A208" s="169"/>
      <c r="B208" s="169"/>
      <c r="C208" s="169"/>
      <c r="D208" s="169"/>
      <c r="E208" s="169"/>
      <c r="F208" s="169"/>
      <c r="G208" s="169"/>
      <c r="H208" s="169"/>
      <c r="I208" s="169"/>
      <c r="J208" s="169"/>
      <c r="K208" s="169"/>
      <c r="L208" s="169"/>
      <c r="M208" s="169"/>
      <c r="N208" s="169"/>
      <c r="O208" s="169"/>
      <c r="P208" s="169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</row>
    <row r="209" spans="1:26" ht="15.75" customHeight="1">
      <c r="A209" s="169"/>
      <c r="B209" s="169"/>
      <c r="C209" s="169"/>
      <c r="D209" s="169"/>
      <c r="E209" s="169"/>
      <c r="F209" s="169"/>
      <c r="G209" s="169"/>
      <c r="H209" s="169"/>
      <c r="I209" s="169"/>
      <c r="J209" s="169"/>
      <c r="K209" s="169"/>
      <c r="L209" s="169"/>
      <c r="M209" s="169"/>
      <c r="N209" s="169"/>
      <c r="O209" s="169"/>
      <c r="P209" s="169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</row>
    <row r="210" spans="1:26" ht="15.75" customHeight="1">
      <c r="A210" s="169"/>
      <c r="B210" s="169"/>
      <c r="C210" s="169"/>
      <c r="D210" s="169"/>
      <c r="E210" s="169"/>
      <c r="F210" s="169"/>
      <c r="G210" s="169"/>
      <c r="H210" s="169"/>
      <c r="I210" s="169"/>
      <c r="J210" s="169"/>
      <c r="K210" s="169"/>
      <c r="L210" s="169"/>
      <c r="M210" s="169"/>
      <c r="N210" s="169"/>
      <c r="O210" s="169"/>
      <c r="P210" s="169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</row>
    <row r="211" spans="1:26" ht="15.75" customHeight="1">
      <c r="A211" s="169"/>
      <c r="B211" s="169"/>
      <c r="C211" s="169"/>
      <c r="D211" s="169"/>
      <c r="E211" s="169"/>
      <c r="F211" s="169"/>
      <c r="G211" s="169"/>
      <c r="H211" s="169"/>
      <c r="I211" s="169"/>
      <c r="J211" s="169"/>
      <c r="K211" s="169"/>
      <c r="L211" s="169"/>
      <c r="M211" s="169"/>
      <c r="N211" s="169"/>
      <c r="O211" s="169"/>
      <c r="P211" s="169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</row>
    <row r="212" spans="1:26" ht="15.75" customHeight="1">
      <c r="A212" s="169"/>
      <c r="B212" s="169"/>
      <c r="C212" s="169"/>
      <c r="D212" s="169"/>
      <c r="E212" s="169"/>
      <c r="F212" s="169"/>
      <c r="G212" s="169"/>
      <c r="H212" s="169"/>
      <c r="I212" s="169"/>
      <c r="J212" s="169"/>
      <c r="K212" s="169"/>
      <c r="L212" s="169"/>
      <c r="M212" s="169"/>
      <c r="N212" s="169"/>
      <c r="O212" s="169"/>
      <c r="P212" s="169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</row>
    <row r="213" spans="1:26" ht="15.75" customHeight="1">
      <c r="A213" s="169"/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  <c r="N213" s="169"/>
      <c r="O213" s="169"/>
      <c r="P213" s="169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</row>
    <row r="214" spans="1:26" ht="15.75" customHeight="1">
      <c r="A214" s="169"/>
      <c r="B214" s="169"/>
      <c r="C214" s="169"/>
      <c r="D214" s="169"/>
      <c r="E214" s="169"/>
      <c r="F214" s="169"/>
      <c r="G214" s="169"/>
      <c r="H214" s="169"/>
      <c r="I214" s="169"/>
      <c r="J214" s="169"/>
      <c r="K214" s="169"/>
      <c r="L214" s="169"/>
      <c r="M214" s="169"/>
      <c r="N214" s="169"/>
      <c r="O214" s="169"/>
      <c r="P214" s="169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</row>
    <row r="215" spans="1:26" ht="15.75" customHeight="1">
      <c r="A215" s="169"/>
      <c r="B215" s="169"/>
      <c r="C215" s="169"/>
      <c r="D215" s="169"/>
      <c r="E215" s="169"/>
      <c r="F215" s="169"/>
      <c r="G215" s="169"/>
      <c r="H215" s="169"/>
      <c r="I215" s="169"/>
      <c r="J215" s="169"/>
      <c r="K215" s="169"/>
      <c r="L215" s="169"/>
      <c r="M215" s="169"/>
      <c r="N215" s="169"/>
      <c r="O215" s="169"/>
      <c r="P215" s="169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</row>
    <row r="216" spans="1:26" ht="15.75" customHeight="1">
      <c r="A216" s="169"/>
      <c r="B216" s="169"/>
      <c r="C216" s="169"/>
      <c r="D216" s="169"/>
      <c r="E216" s="169"/>
      <c r="F216" s="169"/>
      <c r="G216" s="169"/>
      <c r="H216" s="169"/>
      <c r="I216" s="169"/>
      <c r="J216" s="169"/>
      <c r="K216" s="169"/>
      <c r="L216" s="169"/>
      <c r="M216" s="169"/>
      <c r="N216" s="169"/>
      <c r="O216" s="169"/>
      <c r="P216" s="169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</row>
    <row r="217" spans="1:26" ht="15.75" customHeight="1">
      <c r="A217" s="169"/>
      <c r="B217" s="169"/>
      <c r="C217" s="169"/>
      <c r="D217" s="169"/>
      <c r="E217" s="169"/>
      <c r="F217" s="169"/>
      <c r="G217" s="169"/>
      <c r="H217" s="169"/>
      <c r="I217" s="169"/>
      <c r="J217" s="169"/>
      <c r="K217" s="169"/>
      <c r="L217" s="169"/>
      <c r="M217" s="169"/>
      <c r="N217" s="169"/>
      <c r="O217" s="169"/>
      <c r="P217" s="169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</row>
    <row r="218" spans="1:26" ht="15.75" customHeight="1">
      <c r="A218" s="169"/>
      <c r="B218" s="169"/>
      <c r="C218" s="169"/>
      <c r="D218" s="169"/>
      <c r="E218" s="169"/>
      <c r="F218" s="169"/>
      <c r="G218" s="169"/>
      <c r="H218" s="169"/>
      <c r="I218" s="169"/>
      <c r="J218" s="169"/>
      <c r="K218" s="169"/>
      <c r="L218" s="169"/>
      <c r="M218" s="169"/>
      <c r="N218" s="169"/>
      <c r="O218" s="169"/>
      <c r="P218" s="169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</row>
    <row r="219" spans="1:26" ht="15.75" customHeight="1">
      <c r="A219" s="169"/>
      <c r="B219" s="169"/>
      <c r="C219" s="169"/>
      <c r="D219" s="169"/>
      <c r="E219" s="169"/>
      <c r="F219" s="169"/>
      <c r="G219" s="169"/>
      <c r="H219" s="169"/>
      <c r="I219" s="169"/>
      <c r="J219" s="169"/>
      <c r="K219" s="169"/>
      <c r="L219" s="169"/>
      <c r="M219" s="169"/>
      <c r="N219" s="169"/>
      <c r="O219" s="169"/>
      <c r="P219" s="169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</row>
    <row r="220" spans="1:26" ht="15.75" customHeight="1">
      <c r="A220" s="169"/>
      <c r="B220" s="169"/>
      <c r="C220" s="169"/>
      <c r="D220" s="169"/>
      <c r="E220" s="169"/>
      <c r="F220" s="169"/>
      <c r="G220" s="169"/>
      <c r="H220" s="169"/>
      <c r="I220" s="169"/>
      <c r="J220" s="169"/>
      <c r="K220" s="169"/>
      <c r="L220" s="169"/>
      <c r="M220" s="169"/>
      <c r="N220" s="169"/>
      <c r="O220" s="169"/>
      <c r="P220" s="169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</row>
    <row r="221" spans="1:26" ht="15.75" customHeight="1">
      <c r="A221" s="169"/>
      <c r="B221" s="169"/>
      <c r="C221" s="169"/>
      <c r="D221" s="169"/>
      <c r="E221" s="169"/>
      <c r="F221" s="169"/>
      <c r="G221" s="169"/>
      <c r="H221" s="169"/>
      <c r="I221" s="169"/>
      <c r="J221" s="169"/>
      <c r="K221" s="169"/>
      <c r="L221" s="169"/>
      <c r="M221" s="169"/>
      <c r="N221" s="169"/>
      <c r="O221" s="169"/>
      <c r="P221" s="169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</row>
    <row r="222" spans="1:26" ht="15.75" customHeight="1">
      <c r="A222" s="169"/>
      <c r="B222" s="169"/>
      <c r="C222" s="169"/>
      <c r="D222" s="169"/>
      <c r="E222" s="169"/>
      <c r="F222" s="169"/>
      <c r="G222" s="169"/>
      <c r="H222" s="169"/>
      <c r="I222" s="169"/>
      <c r="J222" s="169"/>
      <c r="K222" s="169"/>
      <c r="L222" s="169"/>
      <c r="M222" s="169"/>
      <c r="N222" s="169"/>
      <c r="O222" s="169"/>
      <c r="P222" s="169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</row>
    <row r="223" spans="1:26" ht="15.75" customHeight="1">
      <c r="A223" s="169"/>
      <c r="B223" s="169"/>
      <c r="C223" s="169"/>
      <c r="D223" s="169"/>
      <c r="E223" s="169"/>
      <c r="F223" s="169"/>
      <c r="G223" s="169"/>
      <c r="H223" s="169"/>
      <c r="I223" s="169"/>
      <c r="J223" s="169"/>
      <c r="K223" s="169"/>
      <c r="L223" s="169"/>
      <c r="M223" s="169"/>
      <c r="N223" s="169"/>
      <c r="O223" s="169"/>
      <c r="P223" s="169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</row>
    <row r="224" spans="1:26" ht="15.75" customHeight="1">
      <c r="A224" s="169"/>
      <c r="B224" s="169"/>
      <c r="C224" s="169"/>
      <c r="D224" s="169"/>
      <c r="E224" s="169"/>
      <c r="F224" s="169"/>
      <c r="G224" s="169"/>
      <c r="H224" s="169"/>
      <c r="I224" s="169"/>
      <c r="J224" s="169"/>
      <c r="K224" s="169"/>
      <c r="L224" s="169"/>
      <c r="M224" s="169"/>
      <c r="N224" s="169"/>
      <c r="O224" s="169"/>
      <c r="P224" s="169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</row>
    <row r="225" spans="1:26" ht="15.75" customHeight="1">
      <c r="A225" s="169"/>
      <c r="B225" s="169"/>
      <c r="C225" s="169"/>
      <c r="D225" s="169"/>
      <c r="E225" s="169"/>
      <c r="F225" s="169"/>
      <c r="G225" s="169"/>
      <c r="H225" s="169"/>
      <c r="I225" s="169"/>
      <c r="J225" s="169"/>
      <c r="K225" s="169"/>
      <c r="L225" s="169"/>
      <c r="M225" s="169"/>
      <c r="N225" s="169"/>
      <c r="O225" s="169"/>
      <c r="P225" s="169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</row>
    <row r="226" spans="1:26" ht="15.75" customHeight="1">
      <c r="A226" s="169"/>
      <c r="B226" s="169"/>
      <c r="C226" s="169"/>
      <c r="D226" s="169"/>
      <c r="E226" s="169"/>
      <c r="F226" s="169"/>
      <c r="G226" s="169"/>
      <c r="H226" s="169"/>
      <c r="I226" s="169"/>
      <c r="J226" s="169"/>
      <c r="K226" s="169"/>
      <c r="L226" s="169"/>
      <c r="M226" s="169"/>
      <c r="N226" s="169"/>
      <c r="O226" s="169"/>
      <c r="P226" s="169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</row>
    <row r="227" spans="1:26" ht="15.75" customHeight="1">
      <c r="A227" s="169"/>
      <c r="B227" s="169"/>
      <c r="C227" s="169"/>
      <c r="D227" s="169"/>
      <c r="E227" s="169"/>
      <c r="F227" s="169"/>
      <c r="G227" s="169"/>
      <c r="H227" s="169"/>
      <c r="I227" s="169"/>
      <c r="J227" s="169"/>
      <c r="K227" s="169"/>
      <c r="L227" s="169"/>
      <c r="M227" s="169"/>
      <c r="N227" s="169"/>
      <c r="O227" s="169"/>
      <c r="P227" s="169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</row>
    <row r="228" spans="1:26" ht="15.75" customHeight="1">
      <c r="A228" s="169"/>
      <c r="B228" s="169"/>
      <c r="C228" s="169"/>
      <c r="D228" s="169"/>
      <c r="E228" s="169"/>
      <c r="F228" s="169"/>
      <c r="G228" s="169"/>
      <c r="H228" s="169"/>
      <c r="I228" s="169"/>
      <c r="J228" s="169"/>
      <c r="K228" s="169"/>
      <c r="L228" s="169"/>
      <c r="M228" s="169"/>
      <c r="N228" s="169"/>
      <c r="O228" s="169"/>
      <c r="P228" s="169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</row>
    <row r="229" spans="1:26" ht="15.75" customHeight="1">
      <c r="A229" s="169"/>
      <c r="B229" s="169"/>
      <c r="C229" s="169"/>
      <c r="D229" s="169"/>
      <c r="E229" s="169"/>
      <c r="F229" s="169"/>
      <c r="G229" s="169"/>
      <c r="H229" s="169"/>
      <c r="I229" s="169"/>
      <c r="J229" s="169"/>
      <c r="K229" s="169"/>
      <c r="L229" s="169"/>
      <c r="M229" s="169"/>
      <c r="N229" s="169"/>
      <c r="O229" s="169"/>
      <c r="P229" s="169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</row>
    <row r="230" spans="1:26" ht="15.75" customHeight="1">
      <c r="A230" s="169"/>
      <c r="B230" s="169"/>
      <c r="C230" s="169"/>
      <c r="D230" s="169"/>
      <c r="E230" s="169"/>
      <c r="F230" s="169"/>
      <c r="G230" s="169"/>
      <c r="H230" s="169"/>
      <c r="I230" s="169"/>
      <c r="J230" s="169"/>
      <c r="K230" s="169"/>
      <c r="L230" s="169"/>
      <c r="M230" s="169"/>
      <c r="N230" s="169"/>
      <c r="O230" s="169"/>
      <c r="P230" s="169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</row>
    <row r="231" spans="1:26" ht="15.75" customHeight="1">
      <c r="A231" s="169"/>
      <c r="B231" s="169"/>
      <c r="C231" s="169"/>
      <c r="D231" s="169"/>
      <c r="E231" s="169"/>
      <c r="F231" s="169"/>
      <c r="G231" s="169"/>
      <c r="H231" s="169"/>
      <c r="I231" s="169"/>
      <c r="J231" s="169"/>
      <c r="K231" s="169"/>
      <c r="L231" s="169"/>
      <c r="M231" s="169"/>
      <c r="N231" s="169"/>
      <c r="O231" s="169"/>
      <c r="P231" s="169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</row>
    <row r="232" spans="1:26" ht="15.75" customHeight="1">
      <c r="A232" s="169"/>
      <c r="B232" s="169"/>
      <c r="C232" s="169"/>
      <c r="D232" s="169"/>
      <c r="E232" s="169"/>
      <c r="F232" s="169"/>
      <c r="G232" s="169"/>
      <c r="H232" s="169"/>
      <c r="I232" s="169"/>
      <c r="J232" s="169"/>
      <c r="K232" s="169"/>
      <c r="L232" s="169"/>
      <c r="M232" s="169"/>
      <c r="N232" s="169"/>
      <c r="O232" s="169"/>
      <c r="P232" s="169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</row>
    <row r="233" spans="1:26" ht="15.75" customHeight="1">
      <c r="A233" s="169"/>
      <c r="B233" s="169"/>
      <c r="C233" s="169"/>
      <c r="D233" s="169"/>
      <c r="E233" s="169"/>
      <c r="F233" s="169"/>
      <c r="G233" s="169"/>
      <c r="H233" s="169"/>
      <c r="I233" s="169"/>
      <c r="J233" s="169"/>
      <c r="K233" s="169"/>
      <c r="L233" s="169"/>
      <c r="M233" s="169"/>
      <c r="N233" s="169"/>
      <c r="O233" s="169"/>
      <c r="P233" s="169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</row>
    <row r="234" spans="1:26" ht="15.75" customHeight="1">
      <c r="A234" s="169"/>
      <c r="B234" s="169"/>
      <c r="C234" s="169"/>
      <c r="D234" s="169"/>
      <c r="E234" s="169"/>
      <c r="F234" s="169"/>
      <c r="G234" s="169"/>
      <c r="H234" s="169"/>
      <c r="I234" s="169"/>
      <c r="J234" s="169"/>
      <c r="K234" s="169"/>
      <c r="L234" s="169"/>
      <c r="M234" s="169"/>
      <c r="N234" s="169"/>
      <c r="O234" s="169"/>
      <c r="P234" s="169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</row>
    <row r="235" spans="1:26" ht="15.75" customHeight="1">
      <c r="A235" s="169"/>
      <c r="B235" s="169"/>
      <c r="C235" s="169"/>
      <c r="D235" s="169"/>
      <c r="E235" s="169"/>
      <c r="F235" s="169"/>
      <c r="G235" s="169"/>
      <c r="H235" s="169"/>
      <c r="I235" s="169"/>
      <c r="J235" s="169"/>
      <c r="K235" s="169"/>
      <c r="L235" s="169"/>
      <c r="M235" s="169"/>
      <c r="N235" s="169"/>
      <c r="O235" s="169"/>
      <c r="P235" s="169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</row>
    <row r="236" spans="1:26" ht="15.75" customHeight="1">
      <c r="A236" s="169"/>
      <c r="B236" s="169"/>
      <c r="C236" s="169"/>
      <c r="D236" s="169"/>
      <c r="E236" s="169"/>
      <c r="F236" s="169"/>
      <c r="G236" s="169"/>
      <c r="H236" s="169"/>
      <c r="I236" s="169"/>
      <c r="J236" s="169"/>
      <c r="K236" s="169"/>
      <c r="L236" s="169"/>
      <c r="M236" s="169"/>
      <c r="N236" s="169"/>
      <c r="O236" s="169"/>
      <c r="P236" s="169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</row>
    <row r="237" spans="1:26" ht="15.75" customHeight="1">
      <c r="A237" s="169"/>
      <c r="B237" s="169"/>
      <c r="C237" s="169"/>
      <c r="D237" s="169"/>
      <c r="E237" s="169"/>
      <c r="F237" s="169"/>
      <c r="G237" s="169"/>
      <c r="H237" s="169"/>
      <c r="I237" s="169"/>
      <c r="J237" s="169"/>
      <c r="K237" s="169"/>
      <c r="L237" s="169"/>
      <c r="M237" s="169"/>
      <c r="N237" s="169"/>
      <c r="O237" s="169"/>
      <c r="P237" s="169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</row>
    <row r="238" spans="1:26" ht="15.75" customHeight="1">
      <c r="A238" s="169"/>
      <c r="B238" s="169"/>
      <c r="C238" s="169"/>
      <c r="D238" s="169"/>
      <c r="E238" s="169"/>
      <c r="F238" s="169"/>
      <c r="G238" s="169"/>
      <c r="H238" s="169"/>
      <c r="I238" s="169"/>
      <c r="J238" s="169"/>
      <c r="K238" s="169"/>
      <c r="L238" s="169"/>
      <c r="M238" s="169"/>
      <c r="N238" s="169"/>
      <c r="O238" s="169"/>
      <c r="P238" s="169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</row>
    <row r="239" spans="1:26" ht="15.75" customHeight="1">
      <c r="A239" s="169"/>
      <c r="B239" s="169"/>
      <c r="C239" s="169"/>
      <c r="D239" s="169"/>
      <c r="E239" s="169"/>
      <c r="F239" s="169"/>
      <c r="G239" s="169"/>
      <c r="H239" s="169"/>
      <c r="I239" s="169"/>
      <c r="J239" s="169"/>
      <c r="K239" s="169"/>
      <c r="L239" s="169"/>
      <c r="M239" s="169"/>
      <c r="N239" s="169"/>
      <c r="O239" s="169"/>
      <c r="P239" s="169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</row>
    <row r="240" spans="1:26" ht="15.75" customHeight="1">
      <c r="A240" s="169"/>
      <c r="B240" s="169"/>
      <c r="C240" s="169"/>
      <c r="D240" s="169"/>
      <c r="E240" s="169"/>
      <c r="F240" s="169"/>
      <c r="G240" s="169"/>
      <c r="H240" s="169"/>
      <c r="I240" s="169"/>
      <c r="J240" s="169"/>
      <c r="K240" s="169"/>
      <c r="L240" s="169"/>
      <c r="M240" s="169"/>
      <c r="N240" s="169"/>
      <c r="O240" s="169"/>
      <c r="P240" s="169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</row>
    <row r="241" spans="1:26" ht="15.75" customHeight="1">
      <c r="A241" s="169"/>
      <c r="B241" s="169"/>
      <c r="C241" s="169"/>
      <c r="D241" s="169"/>
      <c r="E241" s="169"/>
      <c r="F241" s="169"/>
      <c r="G241" s="169"/>
      <c r="H241" s="169"/>
      <c r="I241" s="169"/>
      <c r="J241" s="169"/>
      <c r="K241" s="169"/>
      <c r="L241" s="169"/>
      <c r="M241" s="169"/>
      <c r="N241" s="169"/>
      <c r="O241" s="169"/>
      <c r="P241" s="169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</row>
    <row r="242" spans="1:26" ht="15.75" customHeight="1">
      <c r="A242" s="169"/>
      <c r="B242" s="169"/>
      <c r="C242" s="169"/>
      <c r="D242" s="169"/>
      <c r="E242" s="169"/>
      <c r="F242" s="169"/>
      <c r="G242" s="169"/>
      <c r="H242" s="169"/>
      <c r="I242" s="169"/>
      <c r="J242" s="169"/>
      <c r="K242" s="169"/>
      <c r="L242" s="169"/>
      <c r="M242" s="169"/>
      <c r="N242" s="169"/>
      <c r="O242" s="169"/>
      <c r="P242" s="169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</row>
    <row r="243" spans="1:26" ht="15.75" customHeight="1">
      <c r="A243" s="169"/>
      <c r="B243" s="169"/>
      <c r="C243" s="169"/>
      <c r="D243" s="169"/>
      <c r="E243" s="169"/>
      <c r="F243" s="169"/>
      <c r="G243" s="169"/>
      <c r="H243" s="169"/>
      <c r="I243" s="169"/>
      <c r="J243" s="169"/>
      <c r="K243" s="169"/>
      <c r="L243" s="169"/>
      <c r="M243" s="169"/>
      <c r="N243" s="169"/>
      <c r="O243" s="169"/>
      <c r="P243" s="169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</row>
    <row r="244" spans="1:26" ht="15.75" customHeight="1">
      <c r="A244" s="169"/>
      <c r="B244" s="169"/>
      <c r="C244" s="169"/>
      <c r="D244" s="169"/>
      <c r="E244" s="169"/>
      <c r="F244" s="169"/>
      <c r="G244" s="169"/>
      <c r="H244" s="169"/>
      <c r="I244" s="169"/>
      <c r="J244" s="169"/>
      <c r="K244" s="169"/>
      <c r="L244" s="169"/>
      <c r="M244" s="169"/>
      <c r="N244" s="169"/>
      <c r="O244" s="169"/>
      <c r="P244" s="169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</row>
    <row r="245" spans="1:26" ht="15.75" customHeight="1">
      <c r="A245" s="169"/>
      <c r="B245" s="169"/>
      <c r="C245" s="169"/>
      <c r="D245" s="169"/>
      <c r="E245" s="169"/>
      <c r="F245" s="169"/>
      <c r="G245" s="169"/>
      <c r="H245" s="169"/>
      <c r="I245" s="169"/>
      <c r="J245" s="169"/>
      <c r="K245" s="169"/>
      <c r="L245" s="169"/>
      <c r="M245" s="169"/>
      <c r="N245" s="169"/>
      <c r="O245" s="169"/>
      <c r="P245" s="169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</row>
    <row r="246" spans="1:26" ht="15.75" customHeight="1">
      <c r="A246" s="169"/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  <c r="N246" s="169"/>
      <c r="O246" s="169"/>
      <c r="P246" s="169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</row>
    <row r="247" spans="1:26" ht="15.75" customHeight="1">
      <c r="A247" s="169"/>
      <c r="B247" s="169"/>
      <c r="C247" s="169"/>
      <c r="D247" s="169"/>
      <c r="E247" s="169"/>
      <c r="F247" s="169"/>
      <c r="G247" s="169"/>
      <c r="H247" s="169"/>
      <c r="I247" s="169"/>
      <c r="J247" s="169"/>
      <c r="K247" s="169"/>
      <c r="L247" s="169"/>
      <c r="M247" s="169"/>
      <c r="N247" s="169"/>
      <c r="O247" s="169"/>
      <c r="P247" s="169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</row>
    <row r="248" spans="1:26" ht="15.75" customHeight="1">
      <c r="A248" s="169"/>
      <c r="B248" s="169"/>
      <c r="C248" s="169"/>
      <c r="D248" s="169"/>
      <c r="E248" s="169"/>
      <c r="F248" s="169"/>
      <c r="G248" s="169"/>
      <c r="H248" s="169"/>
      <c r="I248" s="169"/>
      <c r="J248" s="169"/>
      <c r="K248" s="169"/>
      <c r="L248" s="169"/>
      <c r="M248" s="169"/>
      <c r="N248" s="169"/>
      <c r="O248" s="169"/>
      <c r="P248" s="169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</row>
    <row r="249" spans="1:26" ht="15.75" customHeight="1">
      <c r="A249" s="169"/>
      <c r="B249" s="169"/>
      <c r="C249" s="169"/>
      <c r="D249" s="169"/>
      <c r="E249" s="169"/>
      <c r="F249" s="169"/>
      <c r="G249" s="169"/>
      <c r="H249" s="169"/>
      <c r="I249" s="169"/>
      <c r="J249" s="169"/>
      <c r="K249" s="169"/>
      <c r="L249" s="169"/>
      <c r="M249" s="169"/>
      <c r="N249" s="169"/>
      <c r="O249" s="169"/>
      <c r="P249" s="169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</row>
    <row r="250" spans="1:26" ht="15.75" customHeight="1">
      <c r="A250" s="169"/>
      <c r="B250" s="169"/>
      <c r="C250" s="169"/>
      <c r="D250" s="169"/>
      <c r="E250" s="169"/>
      <c r="F250" s="169"/>
      <c r="G250" s="169"/>
      <c r="H250" s="169"/>
      <c r="I250" s="169"/>
      <c r="J250" s="169"/>
      <c r="K250" s="169"/>
      <c r="L250" s="169"/>
      <c r="M250" s="169"/>
      <c r="N250" s="169"/>
      <c r="O250" s="169"/>
      <c r="P250" s="169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</row>
    <row r="251" spans="1:26" ht="15.75" customHeight="1">
      <c r="A251" s="169"/>
      <c r="B251" s="169"/>
      <c r="C251" s="169"/>
      <c r="D251" s="169"/>
      <c r="E251" s="169"/>
      <c r="F251" s="169"/>
      <c r="G251" s="169"/>
      <c r="H251" s="169"/>
      <c r="I251" s="169"/>
      <c r="J251" s="169"/>
      <c r="K251" s="169"/>
      <c r="L251" s="169"/>
      <c r="M251" s="169"/>
      <c r="N251" s="169"/>
      <c r="O251" s="169"/>
      <c r="P251" s="169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</row>
    <row r="252" spans="1:26" ht="15.75" customHeight="1">
      <c r="A252" s="169"/>
      <c r="B252" s="169"/>
      <c r="C252" s="169"/>
      <c r="D252" s="169"/>
      <c r="E252" s="169"/>
      <c r="F252" s="169"/>
      <c r="G252" s="169"/>
      <c r="H252" s="169"/>
      <c r="I252" s="169"/>
      <c r="J252" s="169"/>
      <c r="K252" s="169"/>
      <c r="L252" s="169"/>
      <c r="M252" s="169"/>
      <c r="N252" s="169"/>
      <c r="O252" s="169"/>
      <c r="P252" s="169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</row>
    <row r="253" spans="1:26" ht="15.75" customHeight="1">
      <c r="A253" s="169"/>
      <c r="B253" s="169"/>
      <c r="C253" s="169"/>
      <c r="D253" s="169"/>
      <c r="E253" s="169"/>
      <c r="F253" s="169"/>
      <c r="G253" s="169"/>
      <c r="H253" s="169"/>
      <c r="I253" s="169"/>
      <c r="J253" s="169"/>
      <c r="K253" s="169"/>
      <c r="L253" s="169"/>
      <c r="M253" s="169"/>
      <c r="N253" s="169"/>
      <c r="O253" s="169"/>
      <c r="P253" s="169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</row>
    <row r="254" spans="1:26" ht="15.75" customHeight="1">
      <c r="A254" s="169"/>
      <c r="B254" s="169"/>
      <c r="C254" s="169"/>
      <c r="D254" s="169"/>
      <c r="E254" s="169"/>
      <c r="F254" s="169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</row>
    <row r="255" spans="1:26" ht="15.75" customHeight="1">
      <c r="A255" s="169"/>
      <c r="B255" s="169"/>
      <c r="C255" s="169"/>
      <c r="D255" s="169"/>
      <c r="E255" s="169"/>
      <c r="F255" s="169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</row>
    <row r="256" spans="1:26" ht="15.75" customHeight="1">
      <c r="A256" s="169"/>
      <c r="B256" s="169"/>
      <c r="C256" s="169"/>
      <c r="D256" s="169"/>
      <c r="E256" s="169"/>
      <c r="F256" s="169"/>
      <c r="G256" s="169"/>
      <c r="H256" s="169"/>
      <c r="I256" s="169"/>
      <c r="J256" s="169"/>
      <c r="K256" s="169"/>
      <c r="L256" s="169"/>
      <c r="M256" s="169"/>
      <c r="N256" s="169"/>
      <c r="O256" s="169"/>
      <c r="P256" s="169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</row>
    <row r="257" spans="1:26" ht="15.75" customHeight="1">
      <c r="A257" s="169"/>
      <c r="B257" s="169"/>
      <c r="C257" s="169"/>
      <c r="D257" s="169"/>
      <c r="E257" s="169"/>
      <c r="F257" s="169"/>
      <c r="G257" s="169"/>
      <c r="H257" s="169"/>
      <c r="I257" s="169"/>
      <c r="J257" s="169"/>
      <c r="K257" s="169"/>
      <c r="L257" s="169"/>
      <c r="M257" s="169"/>
      <c r="N257" s="169"/>
      <c r="O257" s="169"/>
      <c r="P257" s="169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</row>
    <row r="258" spans="1:26" ht="15.75" customHeight="1">
      <c r="A258" s="169"/>
      <c r="B258" s="169"/>
      <c r="C258" s="169"/>
      <c r="D258" s="169"/>
      <c r="E258" s="169"/>
      <c r="F258" s="169"/>
      <c r="G258" s="169"/>
      <c r="H258" s="169"/>
      <c r="I258" s="169"/>
      <c r="J258" s="169"/>
      <c r="K258" s="169"/>
      <c r="L258" s="169"/>
      <c r="M258" s="169"/>
      <c r="N258" s="169"/>
      <c r="O258" s="169"/>
      <c r="P258" s="169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</row>
    <row r="259" spans="1:26" ht="15.75" customHeight="1">
      <c r="A259" s="169"/>
      <c r="B259" s="169"/>
      <c r="C259" s="169"/>
      <c r="D259" s="169"/>
      <c r="E259" s="169"/>
      <c r="F259" s="169"/>
      <c r="G259" s="169"/>
      <c r="H259" s="169"/>
      <c r="I259" s="169"/>
      <c r="J259" s="169"/>
      <c r="K259" s="169"/>
      <c r="L259" s="169"/>
      <c r="M259" s="169"/>
      <c r="N259" s="169"/>
      <c r="O259" s="169"/>
      <c r="P259" s="169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</row>
    <row r="260" spans="1:26" ht="15.75" customHeight="1">
      <c r="A260" s="169"/>
      <c r="B260" s="169"/>
      <c r="C260" s="169"/>
      <c r="D260" s="169"/>
      <c r="E260" s="169"/>
      <c r="F260" s="169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</row>
    <row r="261" spans="1:26" ht="15.75" customHeight="1">
      <c r="A261" s="169"/>
      <c r="B261" s="169"/>
      <c r="C261" s="169"/>
      <c r="D261" s="169"/>
      <c r="E261" s="169"/>
      <c r="F261" s="169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</row>
    <row r="262" spans="1:26" ht="15.75" customHeight="1">
      <c r="A262" s="169"/>
      <c r="B262" s="169"/>
      <c r="C262" s="169"/>
      <c r="D262" s="169"/>
      <c r="E262" s="169"/>
      <c r="F262" s="169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</row>
    <row r="263" spans="1:26" ht="15.75" customHeight="1">
      <c r="A263" s="169"/>
      <c r="B263" s="169"/>
      <c r="C263" s="169"/>
      <c r="D263" s="169"/>
      <c r="E263" s="169"/>
      <c r="F263" s="169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</row>
    <row r="264" spans="1:26" ht="15.75" customHeight="1">
      <c r="A264" s="169"/>
      <c r="B264" s="169"/>
      <c r="C264" s="169"/>
      <c r="D264" s="169"/>
      <c r="E264" s="169"/>
      <c r="F264" s="169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</row>
    <row r="265" spans="1:26" ht="15.75" customHeight="1">
      <c r="A265" s="169"/>
      <c r="B265" s="169"/>
      <c r="C265" s="169"/>
      <c r="D265" s="169"/>
      <c r="E265" s="169"/>
      <c r="F265" s="169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</row>
    <row r="266" spans="1:26" ht="15.75" customHeight="1">
      <c r="A266" s="169"/>
      <c r="B266" s="169"/>
      <c r="C266" s="169"/>
      <c r="D266" s="169"/>
      <c r="E266" s="169"/>
      <c r="F266" s="169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</row>
    <row r="267" spans="1:26" ht="15.75" customHeight="1">
      <c r="A267" s="169"/>
      <c r="B267" s="169"/>
      <c r="C267" s="169"/>
      <c r="D267" s="169"/>
      <c r="E267" s="169"/>
      <c r="F267" s="169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</row>
    <row r="268" spans="1:26" ht="15.75" customHeight="1">
      <c r="A268" s="169"/>
      <c r="B268" s="169"/>
      <c r="C268" s="169"/>
      <c r="D268" s="169"/>
      <c r="E268" s="169"/>
      <c r="F268" s="169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</row>
    <row r="269" spans="1:26" ht="15.75" customHeight="1">
      <c r="A269" s="169"/>
      <c r="B269" s="169"/>
      <c r="C269" s="169"/>
      <c r="D269" s="169"/>
      <c r="E269" s="169"/>
      <c r="F269" s="169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</row>
    <row r="270" spans="1:26" ht="15.75" customHeight="1">
      <c r="A270" s="169"/>
      <c r="B270" s="169"/>
      <c r="C270" s="169"/>
      <c r="D270" s="169"/>
      <c r="E270" s="169"/>
      <c r="F270" s="169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</row>
    <row r="271" spans="1:26" ht="15.75" customHeight="1">
      <c r="A271" s="169"/>
      <c r="B271" s="169"/>
      <c r="C271" s="169"/>
      <c r="D271" s="169"/>
      <c r="E271" s="169"/>
      <c r="F271" s="169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</row>
    <row r="272" spans="1:26" ht="15.75" customHeight="1">
      <c r="A272" s="169"/>
      <c r="B272" s="169"/>
      <c r="C272" s="169"/>
      <c r="D272" s="169"/>
      <c r="E272" s="169"/>
      <c r="F272" s="169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</row>
    <row r="273" spans="1:26" ht="15.75" customHeight="1">
      <c r="A273" s="169"/>
      <c r="B273" s="169"/>
      <c r="C273" s="169"/>
      <c r="D273" s="169"/>
      <c r="E273" s="169"/>
      <c r="F273" s="169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</row>
    <row r="274" spans="1:26" ht="15.75" customHeight="1">
      <c r="A274" s="169"/>
      <c r="B274" s="169"/>
      <c r="C274" s="169"/>
      <c r="D274" s="169"/>
      <c r="E274" s="169"/>
      <c r="F274" s="169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</row>
    <row r="275" spans="1:26" ht="15.75" customHeight="1">
      <c r="A275" s="169"/>
      <c r="B275" s="169"/>
      <c r="C275" s="169"/>
      <c r="D275" s="169"/>
      <c r="E275" s="169"/>
      <c r="F275" s="169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</row>
    <row r="276" spans="1:26" ht="15.75" customHeight="1">
      <c r="A276" s="169"/>
      <c r="B276" s="169"/>
      <c r="C276" s="169"/>
      <c r="D276" s="169"/>
      <c r="E276" s="169"/>
      <c r="F276" s="169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</row>
    <row r="277" spans="1:26" ht="15.75" customHeight="1">
      <c r="A277" s="169"/>
      <c r="B277" s="169"/>
      <c r="C277" s="169"/>
      <c r="D277" s="169"/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</row>
    <row r="278" spans="1:26" ht="15.75" customHeight="1">
      <c r="A278" s="169"/>
      <c r="B278" s="169"/>
      <c r="C278" s="169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</row>
    <row r="279" spans="1:26" ht="15.75" customHeight="1">
      <c r="A279" s="169"/>
      <c r="B279" s="169"/>
      <c r="C279" s="169"/>
      <c r="D279" s="169"/>
      <c r="E279" s="169"/>
      <c r="F279" s="169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</row>
    <row r="280" spans="1:26" ht="15.75" customHeight="1">
      <c r="A280" s="169"/>
      <c r="B280" s="169"/>
      <c r="C280" s="169"/>
      <c r="D280" s="169"/>
      <c r="E280" s="169"/>
      <c r="F280" s="169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</row>
    <row r="281" spans="1:26" ht="15.75" customHeight="1">
      <c r="A281" s="169"/>
      <c r="B281" s="169"/>
      <c r="C281" s="169"/>
      <c r="D281" s="169"/>
      <c r="E281" s="169"/>
      <c r="F281" s="169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</row>
    <row r="282" spans="1:26" ht="15.75" customHeight="1">
      <c r="A282" s="169"/>
      <c r="B282" s="169"/>
      <c r="C282" s="169"/>
      <c r="D282" s="169"/>
      <c r="E282" s="169"/>
      <c r="F282" s="169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</row>
    <row r="283" spans="1:26" ht="15.75" customHeight="1">
      <c r="A283" s="169"/>
      <c r="B283" s="169"/>
      <c r="C283" s="169"/>
      <c r="D283" s="169"/>
      <c r="E283" s="169"/>
      <c r="F283" s="169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</row>
    <row r="284" spans="1:26" ht="15.75" customHeight="1">
      <c r="A284" s="169"/>
      <c r="B284" s="169"/>
      <c r="C284" s="169"/>
      <c r="D284" s="169"/>
      <c r="E284" s="169"/>
      <c r="F284" s="169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</row>
    <row r="285" spans="1:26" ht="15.75" customHeight="1">
      <c r="A285" s="169"/>
      <c r="B285" s="169"/>
      <c r="C285" s="169"/>
      <c r="D285" s="169"/>
      <c r="E285" s="169"/>
      <c r="F285" s="169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</row>
    <row r="286" spans="1:26" ht="15.75" customHeight="1">
      <c r="A286" s="169"/>
      <c r="B286" s="169"/>
      <c r="C286" s="169"/>
      <c r="D286" s="169"/>
      <c r="E286" s="169"/>
      <c r="F286" s="169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</row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P1"/>
    <mergeCell ref="B3:F3"/>
    <mergeCell ref="G3:K3"/>
    <mergeCell ref="L3:P3"/>
  </mergeCells>
  <phoneticPr fontId="65" type="noConversion"/>
  <pageMargins left="0.69930555555555596" right="0.69930555555555596" top="0.75" bottom="0.75" header="0" footer="0"/>
  <pageSetup paperSize="9" scale="55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/>
  </sheetViews>
  <sheetFormatPr defaultColWidth="11.09765625" defaultRowHeight="15" customHeight="1"/>
  <cols>
    <col min="1" max="21" width="44.59765625" customWidth="1"/>
  </cols>
  <sheetData>
    <row r="1" spans="1:26" ht="49.5" customHeight="1">
      <c r="A1" s="168">
        <v>78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 spans="1:26" ht="49.5" customHeight="1">
      <c r="A2" s="168">
        <v>161</v>
      </c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spans="1:26" ht="49.5" customHeight="1">
      <c r="A3" s="168">
        <v>207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 spans="1:26" ht="49.5" customHeight="1">
      <c r="A4" s="168">
        <v>153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 spans="1:26" ht="49.5" customHeight="1">
      <c r="A5" s="168">
        <v>134</v>
      </c>
      <c r="B5" s="168"/>
      <c r="C5" s="168"/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 spans="1:26" ht="49.5" customHeight="1">
      <c r="A6" s="168">
        <v>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 spans="1:26" ht="49.5" customHeight="1">
      <c r="A7" s="168">
        <v>181</v>
      </c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 spans="1:26" ht="49.5" customHeight="1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 spans="1:26" ht="49.5" customHeight="1">
      <c r="A9" s="168"/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 spans="1:26" ht="49.5" customHeight="1">
      <c r="A10" s="168"/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</row>
    <row r="11" spans="1:26" ht="49.5" customHeight="1">
      <c r="A11" s="168"/>
      <c r="B11" s="168"/>
      <c r="C11" s="168"/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 spans="1:26" ht="49.5" customHeight="1">
      <c r="A12" s="168"/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 spans="1:26" ht="49.5" customHeight="1">
      <c r="A13" s="168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 spans="1:26" ht="49.5" customHeight="1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 spans="1:26" ht="49.5" customHeight="1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 spans="1:26" ht="49.5" customHeight="1">
      <c r="A16" s="168"/>
      <c r="B16" s="168"/>
      <c r="C16" s="168"/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spans="1:26" ht="49.5" customHeight="1">
      <c r="A17" s="168"/>
      <c r="B17" s="168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 spans="1:26" ht="49.5" customHeight="1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 spans="1:26" ht="49.5" customHeight="1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spans="1:26" ht="49.5" customHeight="1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spans="1:26" ht="49.5" customHeight="1">
      <c r="A21" s="168"/>
      <c r="B21" s="168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spans="1:26" ht="49.5" customHeight="1">
      <c r="A22" s="168"/>
      <c r="B22" s="168"/>
      <c r="C22" s="168"/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spans="1:26" ht="49.5" customHeight="1">
      <c r="A23" s="168"/>
      <c r="B23" s="168"/>
      <c r="C23" s="168"/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spans="1:26" ht="49.5" customHeight="1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 spans="1:26" ht="49.5" customHeight="1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 spans="1:26" ht="49.5" customHeight="1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</row>
    <row r="27" spans="1:26" ht="49.5" customHeight="1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8" spans="1:26" ht="49.5" customHeight="1">
      <c r="A28" s="168"/>
      <c r="B28" s="168"/>
      <c r="C28" s="168"/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</row>
    <row r="29" spans="1:26" ht="49.5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 spans="1:26" ht="49.5" customHeight="1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 spans="1:26" ht="49.5" customHeight="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 spans="1:26" ht="49.5" customHeight="1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 spans="1:26" ht="49.5" customHeight="1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</row>
    <row r="34" spans="1:26" ht="49.5" customHeight="1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</row>
    <row r="35" spans="1:26" ht="49.5" customHeight="1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</row>
    <row r="36" spans="1:26" ht="49.5" customHeight="1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</row>
    <row r="37" spans="1:26" ht="49.5" customHeight="1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</row>
    <row r="38" spans="1:26" ht="49.5" customHeight="1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</row>
    <row r="39" spans="1:26" ht="49.5" customHeight="1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</row>
    <row r="40" spans="1:26" ht="49.5" customHeight="1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</row>
    <row r="41" spans="1:26" ht="49.5" customHeight="1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</row>
    <row r="42" spans="1:26" ht="49.5" customHeight="1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</row>
    <row r="43" spans="1:26" ht="49.5" customHeight="1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</row>
    <row r="44" spans="1:26" ht="49.5" customHeight="1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</row>
    <row r="45" spans="1:26" ht="49.5" customHeight="1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</row>
    <row r="46" spans="1:26" ht="49.5" customHeight="1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</row>
    <row r="47" spans="1:26" ht="49.5" customHeight="1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</row>
    <row r="48" spans="1:26" ht="49.5" customHeight="1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 spans="1:26" ht="49.5" customHeight="1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</row>
    <row r="50" spans="1:26" ht="49.5" customHeight="1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</row>
    <row r="51" spans="1:26" ht="49.5" customHeight="1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</row>
    <row r="52" spans="1:26" ht="49.5" customHeight="1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49.5" customHeight="1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 spans="1:26" ht="49.5" customHeight="1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</row>
    <row r="55" spans="1:26" ht="49.5" customHeight="1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 spans="1:26" ht="49.5" customHeight="1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</row>
    <row r="57" spans="1:26" ht="49.5" customHeight="1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</row>
    <row r="58" spans="1:26" ht="49.5" customHeight="1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</row>
    <row r="59" spans="1:26" ht="49.5" customHeight="1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</row>
    <row r="60" spans="1:26" ht="49.5" customHeight="1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</row>
    <row r="61" spans="1:26" ht="49.5" customHeight="1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49.5" customHeight="1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</row>
    <row r="63" spans="1:26" ht="49.5" customHeight="1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</row>
    <row r="64" spans="1:26" ht="49.5" customHeight="1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</row>
    <row r="65" spans="1:26" ht="49.5" customHeight="1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</row>
    <row r="66" spans="1:26" ht="49.5" customHeight="1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</row>
    <row r="67" spans="1:26" ht="49.5" customHeight="1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</row>
    <row r="68" spans="1:26" ht="49.5" customHeight="1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</row>
    <row r="69" spans="1:26" ht="49.5" customHeight="1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</row>
    <row r="70" spans="1:26" ht="49.5" customHeight="1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</row>
    <row r="71" spans="1:26" ht="49.5" customHeight="1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</row>
    <row r="72" spans="1:26" ht="49.5" customHeight="1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</row>
    <row r="73" spans="1:26" ht="49.5" customHeight="1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 spans="1:26" ht="49.5" customHeight="1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 spans="1:26" ht="49.5" customHeight="1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</row>
    <row r="76" spans="1:26" ht="49.5" customHeight="1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</row>
    <row r="77" spans="1:26" ht="49.5" customHeight="1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 spans="1:26" ht="49.5" customHeight="1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</row>
    <row r="79" spans="1:26" ht="49.5" customHeight="1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</row>
    <row r="80" spans="1:26" ht="49.5" customHeight="1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 spans="1:26" ht="49.5" customHeight="1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 spans="1:26" ht="49.5" customHeight="1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 spans="1:26" ht="49.5" customHeight="1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 spans="1:26" ht="49.5" customHeight="1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 spans="1:26" ht="49.5" customHeight="1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 spans="1:26" ht="49.5" customHeight="1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 spans="1:26" ht="49.5" customHeight="1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</row>
    <row r="88" spans="1:26" ht="49.5" customHeight="1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 spans="1:26" ht="49.5" customHeight="1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 spans="1:26" ht="49.5" customHeight="1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 spans="1:26" ht="49.5" customHeight="1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 spans="1:26" ht="49.5" customHeight="1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 spans="1:26" ht="49.5" customHeight="1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 spans="1:26" ht="49.5" customHeight="1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 spans="1:26" ht="49.5" customHeight="1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 spans="1:26" ht="49.5" customHeight="1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 spans="1:26" ht="49.5" customHeight="1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 spans="1:26" ht="49.5" customHeight="1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 spans="1:26" ht="49.5" customHeight="1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 spans="1:26" ht="49.5" customHeight="1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 spans="1:26" ht="49.5" customHeight="1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 spans="1:26" ht="49.5" customHeight="1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 spans="1:26" ht="49.5" customHeight="1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 spans="1:26" ht="49.5" customHeight="1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 spans="1:26" ht="49.5" customHeight="1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 spans="1:26" ht="49.5" customHeight="1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</row>
    <row r="107" spans="1:26" ht="49.5" customHeight="1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</row>
    <row r="108" spans="1:26" ht="49.5" customHeight="1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</row>
    <row r="109" spans="1:26" ht="49.5" customHeight="1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</row>
    <row r="110" spans="1:26" ht="49.5" customHeight="1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</row>
    <row r="111" spans="1:26" ht="49.5" customHeight="1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</row>
    <row r="112" spans="1:26" ht="49.5" customHeight="1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</row>
    <row r="113" spans="1:26" ht="49.5" customHeight="1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</row>
    <row r="114" spans="1:26" ht="49.5" customHeight="1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</row>
    <row r="115" spans="1:26" ht="49.5" customHeight="1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</row>
    <row r="116" spans="1:26" ht="49.5" customHeight="1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</row>
    <row r="117" spans="1:26" ht="49.5" customHeight="1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</row>
    <row r="118" spans="1:26" ht="49.5" customHeight="1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</row>
    <row r="119" spans="1:26" ht="49.5" customHeight="1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</row>
    <row r="120" spans="1:26" ht="49.5" customHeight="1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</row>
    <row r="121" spans="1:26" ht="49.5" customHeight="1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</row>
    <row r="122" spans="1:26" ht="49.5" customHeight="1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</row>
    <row r="123" spans="1:26" ht="49.5" customHeight="1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</row>
    <row r="124" spans="1:26" ht="49.5" customHeight="1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 spans="1:26" ht="49.5" customHeight="1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</row>
    <row r="126" spans="1:26" ht="49.5" customHeight="1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</row>
    <row r="127" spans="1:26" ht="49.5" customHeight="1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</row>
    <row r="128" spans="1:26" ht="49.5" customHeight="1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</row>
    <row r="129" spans="1:26" ht="49.5" customHeight="1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</row>
    <row r="130" spans="1:26" ht="49.5" customHeight="1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</row>
    <row r="131" spans="1:26" ht="49.5" customHeight="1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</row>
    <row r="132" spans="1:26" ht="49.5" customHeight="1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</row>
    <row r="133" spans="1:26" ht="49.5" customHeight="1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</row>
    <row r="134" spans="1:26" ht="49.5" customHeight="1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</row>
    <row r="135" spans="1:26" ht="49.5" customHeight="1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 spans="1:26" ht="49.5" customHeight="1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</row>
    <row r="137" spans="1:26" ht="49.5" customHeight="1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</row>
    <row r="138" spans="1:26" ht="49.5" customHeight="1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</row>
    <row r="139" spans="1:26" ht="49.5" customHeight="1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</row>
    <row r="140" spans="1:26" ht="49.5" customHeight="1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 spans="1:26" ht="49.5" customHeight="1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</row>
    <row r="142" spans="1:26" ht="49.5" customHeight="1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</row>
    <row r="143" spans="1:26" ht="49.5" customHeight="1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</row>
    <row r="144" spans="1:26" ht="49.5" customHeight="1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</row>
    <row r="145" spans="1:26" ht="49.5" customHeight="1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</row>
    <row r="146" spans="1:26" ht="49.5" customHeight="1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</row>
    <row r="147" spans="1:26" ht="49.5" customHeight="1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</row>
    <row r="148" spans="1:26" ht="49.5" customHeight="1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</row>
    <row r="149" spans="1:26" ht="49.5" customHeight="1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</row>
    <row r="150" spans="1:26" ht="49.5" customHeight="1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 spans="1:26" ht="49.5" customHeight="1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 spans="1:26" ht="49.5" customHeight="1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 spans="1:26" ht="49.5" customHeight="1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 spans="1:26" ht="49.5" customHeight="1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 spans="1:26" ht="49.5" customHeight="1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 spans="1:26" ht="49.5" customHeight="1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 spans="1:26" ht="49.5" customHeight="1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 spans="1:26" ht="49.5" customHeight="1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 spans="1:26" ht="49.5" customHeight="1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 spans="1:26" ht="49.5" customHeight="1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 spans="1:26" ht="49.5" customHeight="1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 spans="1:26" ht="49.5" customHeight="1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 spans="1:26" ht="49.5" customHeight="1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 spans="1:26" ht="49.5" customHeight="1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 spans="1:26" ht="49.5" customHeight="1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 spans="1:26" ht="49.5" customHeight="1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 spans="1:26" ht="49.5" customHeight="1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 spans="1:26" ht="49.5" customHeight="1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 spans="1:26" ht="49.5" customHeight="1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 spans="1:26" ht="49.5" customHeight="1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 spans="1:26" ht="49.5" customHeight="1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 spans="1:26" ht="49.5" customHeight="1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 spans="1:26" ht="49.5" customHeight="1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 spans="1:26" ht="49.5" customHeight="1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 spans="1:26" ht="49.5" customHeight="1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 spans="1:26" ht="49.5" customHeight="1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 spans="1:26" ht="49.5" customHeight="1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 spans="1:26" ht="49.5" customHeight="1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 spans="1:26" ht="49.5" customHeight="1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 spans="1:26" ht="49.5" customHeight="1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 spans="1:26" ht="49.5" customHeight="1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 spans="1:26" ht="49.5" customHeight="1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 spans="1:26" ht="49.5" customHeight="1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 spans="1:26" ht="49.5" customHeight="1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 spans="1:26" ht="49.5" customHeight="1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 spans="1:26" ht="49.5" customHeight="1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 spans="1:26" ht="49.5" customHeight="1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 spans="1:26" ht="49.5" customHeight="1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 spans="1:26" ht="49.5" customHeight="1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 spans="1:26" ht="49.5" customHeight="1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 spans="1:26" ht="49.5" customHeight="1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 spans="1:26" ht="49.5" customHeight="1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 spans="1:26" ht="49.5" customHeight="1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 spans="1:26" ht="49.5" customHeight="1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 spans="1:26" ht="49.5" customHeight="1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 spans="1:26" ht="49.5" customHeight="1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 spans="1:26" ht="49.5" customHeight="1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 spans="1:26" ht="49.5" customHeight="1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 spans="1:26" ht="49.5" customHeight="1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 spans="1:26" ht="49.5" customHeight="1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 spans="1:26" ht="49.5" customHeight="1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 spans="1:26" ht="49.5" customHeight="1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 spans="1:26" ht="49.5" customHeight="1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 spans="1:26" ht="49.5" customHeight="1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 spans="1:26" ht="49.5" customHeight="1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 spans="1:26" ht="49.5" customHeight="1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 spans="1:26" ht="49.5" customHeight="1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 spans="1:26" ht="49.5" customHeight="1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 spans="1:26" ht="49.5" customHeight="1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 spans="1:26" ht="49.5" customHeight="1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 spans="1:26" ht="49.5" customHeight="1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 spans="1:26" ht="49.5" customHeight="1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 spans="1:26" ht="49.5" customHeight="1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 spans="1:26" ht="49.5" customHeight="1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 spans="1:26" ht="49.5" customHeight="1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 spans="1:26" ht="49.5" customHeight="1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 spans="1:26" ht="49.5" customHeight="1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 spans="1:26" ht="49.5" customHeight="1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 spans="1:26" ht="49.5" customHeight="1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 spans="1:26" ht="49.5" customHeight="1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69930555555555596" right="0.69930555555555596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Z1000"/>
  <sheetViews>
    <sheetView workbookViewId="0">
      <selection sqref="A1:AH1"/>
    </sheetView>
  </sheetViews>
  <sheetFormatPr defaultColWidth="11.09765625" defaultRowHeight="15" customHeight="1"/>
  <cols>
    <col min="1" max="1" width="11.59765625" customWidth="1"/>
    <col min="2" max="2" width="13.59765625" customWidth="1"/>
    <col min="3" max="3" width="21.09765625" customWidth="1"/>
    <col min="4" max="4" width="7.09765625" customWidth="1"/>
    <col min="5" max="5" width="7.59765625" customWidth="1"/>
    <col min="6" max="6" width="8" customWidth="1"/>
    <col min="7" max="7" width="7.09765625" customWidth="1"/>
    <col min="8" max="8" width="4.296875" customWidth="1"/>
    <col min="9" max="9" width="20.296875" customWidth="1"/>
    <col min="10" max="10" width="18.09765625" customWidth="1"/>
    <col min="11" max="15" width="7.296875" customWidth="1"/>
    <col min="16" max="16" width="9" customWidth="1"/>
    <col min="17" max="21" width="6.796875" customWidth="1"/>
    <col min="22" max="22" width="9.796875" customWidth="1"/>
    <col min="23" max="28" width="8" customWidth="1"/>
    <col min="29" max="29" width="9.59765625" customWidth="1"/>
    <col min="30" max="31" width="6.296875" customWidth="1"/>
    <col min="32" max="32" width="15" customWidth="1"/>
    <col min="33" max="34" width="7.09765625" customWidth="1"/>
    <col min="35" max="35" width="3" customWidth="1"/>
    <col min="36" max="36" width="4.296875" customWidth="1"/>
    <col min="37" max="38" width="4.59765625" customWidth="1"/>
    <col min="39" max="43" width="7" customWidth="1"/>
    <col min="44" max="44" width="5.09765625" customWidth="1"/>
    <col min="45" max="45" width="6.09765625" customWidth="1"/>
    <col min="46" max="48" width="5.09765625" customWidth="1"/>
    <col min="49" max="49" width="13.59765625" customWidth="1"/>
    <col min="50" max="51" width="7" customWidth="1"/>
    <col min="52" max="52" width="29" customWidth="1"/>
  </cols>
  <sheetData>
    <row r="1" spans="1:52" ht="45" customHeight="1">
      <c r="A1" s="1005" t="s">
        <v>25</v>
      </c>
      <c r="B1" s="947"/>
      <c r="C1" s="947"/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/>
      <c r="O1" s="947"/>
      <c r="P1" s="947"/>
      <c r="Q1" s="947"/>
      <c r="R1" s="947"/>
      <c r="S1" s="947"/>
      <c r="T1" s="947"/>
      <c r="U1" s="947"/>
      <c r="V1" s="947"/>
      <c r="W1" s="947"/>
      <c r="X1" s="947"/>
      <c r="Y1" s="947"/>
      <c r="Z1" s="947"/>
      <c r="AA1" s="947"/>
      <c r="AB1" s="947"/>
      <c r="AC1" s="947"/>
      <c r="AD1" s="947"/>
      <c r="AE1" s="947"/>
      <c r="AF1" s="947"/>
      <c r="AG1" s="947"/>
      <c r="AH1" s="947"/>
      <c r="AI1" s="160"/>
      <c r="AJ1" s="160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</row>
    <row r="2" spans="1:52" ht="33" customHeight="1">
      <c r="A2" s="1005" t="s">
        <v>751</v>
      </c>
      <c r="B2" s="947"/>
      <c r="C2" s="947"/>
      <c r="D2" s="947"/>
      <c r="E2" s="947"/>
      <c r="F2" s="947"/>
      <c r="G2" s="947"/>
      <c r="H2" s="947"/>
      <c r="I2" s="947"/>
      <c r="J2" s="947"/>
      <c r="K2" s="947"/>
      <c r="L2" s="947"/>
      <c r="M2" s="947"/>
      <c r="N2" s="947"/>
      <c r="O2" s="947"/>
      <c r="P2" s="947"/>
      <c r="Q2" s="947"/>
      <c r="R2" s="947"/>
      <c r="S2" s="947"/>
      <c r="T2" s="947"/>
      <c r="U2" s="947"/>
      <c r="V2" s="947"/>
      <c r="W2" s="947"/>
      <c r="X2" s="947"/>
      <c r="Y2" s="947"/>
      <c r="Z2" s="947"/>
      <c r="AA2" s="947"/>
      <c r="AB2" s="947"/>
      <c r="AC2" s="947"/>
      <c r="AD2" s="947"/>
      <c r="AE2" s="947"/>
      <c r="AF2" s="947"/>
      <c r="AG2" s="947"/>
      <c r="AH2" s="947"/>
      <c r="AI2" s="160"/>
      <c r="AJ2" s="160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</row>
    <row r="3" spans="1:52" ht="19.5" customHeight="1">
      <c r="A3" s="21"/>
      <c r="B3" s="21"/>
      <c r="C3" s="21"/>
      <c r="D3" s="21"/>
      <c r="E3" s="21"/>
      <c r="F3" s="22"/>
      <c r="G3" s="21"/>
      <c r="H3" s="23"/>
      <c r="I3" s="21"/>
      <c r="J3" s="59"/>
      <c r="K3" s="60"/>
      <c r="L3" s="23"/>
      <c r="M3" s="23"/>
      <c r="N3" s="23"/>
      <c r="O3" s="23"/>
      <c r="P3" s="59"/>
      <c r="Q3" s="60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49"/>
      <c r="AG3" s="161"/>
      <c r="AH3" s="161"/>
      <c r="AI3" s="160"/>
      <c r="AJ3" s="160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</row>
    <row r="4" spans="1:52" ht="38.25" customHeight="1">
      <c r="A4" s="24"/>
      <c r="B4" s="24"/>
      <c r="C4" s="1026" t="s">
        <v>26</v>
      </c>
      <c r="D4" s="1027"/>
      <c r="E4" s="1027"/>
      <c r="F4" s="1027"/>
      <c r="G4" s="1027"/>
      <c r="H4" s="949"/>
      <c r="I4" s="1026" t="s">
        <v>752</v>
      </c>
      <c r="J4" s="949"/>
      <c r="K4" s="61" t="s">
        <v>753</v>
      </c>
      <c r="L4" s="62" t="s">
        <v>754</v>
      </c>
      <c r="M4" s="62" t="s">
        <v>755</v>
      </c>
      <c r="N4" s="62" t="s">
        <v>756</v>
      </c>
      <c r="O4" s="63" t="s">
        <v>757</v>
      </c>
      <c r="P4" s="64" t="s">
        <v>27</v>
      </c>
      <c r="Q4" s="104" t="s">
        <v>758</v>
      </c>
      <c r="R4" s="62" t="s">
        <v>759</v>
      </c>
      <c r="S4" s="63" t="s">
        <v>760</v>
      </c>
      <c r="T4" s="62" t="s">
        <v>761</v>
      </c>
      <c r="U4" s="63" t="s">
        <v>762</v>
      </c>
      <c r="V4" s="64" t="s">
        <v>28</v>
      </c>
      <c r="W4" s="105" t="s">
        <v>763</v>
      </c>
      <c r="X4" s="63" t="s">
        <v>764</v>
      </c>
      <c r="Y4" s="63" t="s">
        <v>765</v>
      </c>
      <c r="Z4" s="63" t="s">
        <v>766</v>
      </c>
      <c r="AA4" s="63" t="s">
        <v>767</v>
      </c>
      <c r="AB4" s="63" t="s">
        <v>768</v>
      </c>
      <c r="AC4" s="64" t="s">
        <v>768</v>
      </c>
      <c r="AD4" s="1026" t="s">
        <v>29</v>
      </c>
      <c r="AE4" s="949"/>
      <c r="AF4" s="1009" t="s">
        <v>48</v>
      </c>
      <c r="AG4" s="1026" t="s">
        <v>47</v>
      </c>
      <c r="AH4" s="949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</row>
    <row r="5" spans="1:52" ht="36.75" customHeight="1">
      <c r="A5" s="24"/>
      <c r="B5" s="24"/>
      <c r="C5" s="950"/>
      <c r="D5" s="987"/>
      <c r="E5" s="987"/>
      <c r="F5" s="987"/>
      <c r="G5" s="987"/>
      <c r="H5" s="951"/>
      <c r="I5" s="950"/>
      <c r="J5" s="951"/>
      <c r="K5" s="65" t="s">
        <v>36</v>
      </c>
      <c r="L5" s="66" t="s">
        <v>37</v>
      </c>
      <c r="M5" s="67" t="s">
        <v>38</v>
      </c>
      <c r="N5" s="66" t="s">
        <v>39</v>
      </c>
      <c r="O5" s="68" t="s">
        <v>636</v>
      </c>
      <c r="P5" s="69" t="s">
        <v>34</v>
      </c>
      <c r="Q5" s="106" t="s">
        <v>40</v>
      </c>
      <c r="R5" s="107" t="s">
        <v>41</v>
      </c>
      <c r="S5" s="107" t="s">
        <v>42</v>
      </c>
      <c r="T5" s="107" t="s">
        <v>43</v>
      </c>
      <c r="U5" s="68" t="s">
        <v>637</v>
      </c>
      <c r="V5" s="69" t="s">
        <v>34</v>
      </c>
      <c r="W5" s="108" t="s">
        <v>627</v>
      </c>
      <c r="X5" s="68" t="s">
        <v>628</v>
      </c>
      <c r="Y5" s="68" t="s">
        <v>629</v>
      </c>
      <c r="Z5" s="68" t="s">
        <v>631</v>
      </c>
      <c r="AA5" s="68" t="s">
        <v>638</v>
      </c>
      <c r="AB5" s="68" t="s">
        <v>769</v>
      </c>
      <c r="AC5" s="69" t="s">
        <v>34</v>
      </c>
      <c r="AD5" s="995"/>
      <c r="AE5" s="1028"/>
      <c r="AF5" s="992"/>
      <c r="AG5" s="995"/>
      <c r="AH5" s="1028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62"/>
      <c r="AT5" s="162"/>
      <c r="AU5" s="162"/>
      <c r="AV5" s="162"/>
      <c r="AW5" s="162"/>
      <c r="AX5" s="162"/>
      <c r="AY5" s="162"/>
      <c r="AZ5" s="162"/>
    </row>
    <row r="6" spans="1:52" ht="42" customHeight="1">
      <c r="A6" s="25" t="s">
        <v>44</v>
      </c>
      <c r="B6" s="25" t="s">
        <v>770</v>
      </c>
      <c r="C6" s="26" t="s">
        <v>35</v>
      </c>
      <c r="D6" s="26" t="s">
        <v>45</v>
      </c>
      <c r="E6" s="25"/>
      <c r="F6" s="27"/>
      <c r="G6" s="27"/>
      <c r="H6" s="27"/>
      <c r="I6" s="26" t="s">
        <v>35</v>
      </c>
      <c r="J6" s="25" t="s">
        <v>770</v>
      </c>
      <c r="K6" s="70"/>
      <c r="L6" s="71"/>
      <c r="M6" s="71"/>
      <c r="N6" s="71"/>
      <c r="O6" s="72"/>
      <c r="P6" s="73"/>
      <c r="Q6" s="25"/>
      <c r="R6" s="71"/>
      <c r="S6" s="71"/>
      <c r="T6" s="109"/>
      <c r="U6" s="110"/>
      <c r="V6" s="111"/>
      <c r="W6" s="112"/>
      <c r="X6" s="110"/>
      <c r="Y6" s="110"/>
      <c r="Z6" s="110"/>
      <c r="AA6" s="110"/>
      <c r="AB6" s="110"/>
      <c r="AC6" s="73"/>
      <c r="AD6" s="1029"/>
      <c r="AE6" s="1030"/>
      <c r="AF6" s="1010"/>
      <c r="AG6" s="1029"/>
      <c r="AH6" s="1030"/>
      <c r="AI6" s="162"/>
      <c r="AJ6" s="162"/>
      <c r="AK6" s="162"/>
      <c r="AL6" s="162"/>
      <c r="AM6" s="162"/>
      <c r="AN6" s="162"/>
      <c r="AO6" s="162"/>
      <c r="AP6" s="162"/>
      <c r="AQ6" s="162"/>
      <c r="AR6" s="162"/>
      <c r="AS6" s="162"/>
      <c r="AT6" s="162"/>
      <c r="AU6" s="162"/>
      <c r="AV6" s="162"/>
      <c r="AW6" s="162"/>
      <c r="AX6" s="162"/>
      <c r="AY6" s="162"/>
      <c r="AZ6" s="162"/>
    </row>
    <row r="7" spans="1:52" ht="33" customHeight="1">
      <c r="A7" s="1006" t="s">
        <v>771</v>
      </c>
      <c r="B7" s="1031" t="s">
        <v>772</v>
      </c>
      <c r="C7" s="1027"/>
      <c r="D7" s="1027"/>
      <c r="E7" s="1027"/>
      <c r="F7" s="1027"/>
      <c r="G7" s="1027"/>
      <c r="H7" s="1027"/>
      <c r="I7" s="74" t="s">
        <v>773</v>
      </c>
      <c r="J7" s="74" t="s">
        <v>774</v>
      </c>
      <c r="K7" s="75"/>
      <c r="L7" s="76"/>
      <c r="M7" s="76"/>
      <c r="N7" s="76"/>
      <c r="O7" s="77">
        <v>86</v>
      </c>
      <c r="P7" s="78"/>
      <c r="Q7" s="113"/>
      <c r="R7" s="76"/>
      <c r="S7" s="76"/>
      <c r="T7" s="114"/>
      <c r="U7" s="115">
        <v>90</v>
      </c>
      <c r="V7" s="116"/>
      <c r="W7" s="117"/>
      <c r="X7" s="115"/>
      <c r="Y7" s="115"/>
      <c r="Z7" s="115"/>
      <c r="AA7" s="115">
        <v>103</v>
      </c>
      <c r="AB7" s="115">
        <v>102</v>
      </c>
      <c r="AC7" s="78"/>
      <c r="AD7" s="150"/>
      <c r="AE7" s="151"/>
      <c r="AF7" s="74"/>
      <c r="AG7" s="1015">
        <v>218</v>
      </c>
      <c r="AH7" s="163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62"/>
      <c r="AT7" s="162"/>
      <c r="AU7" s="162"/>
      <c r="AV7" s="162"/>
      <c r="AW7" s="162"/>
      <c r="AX7" s="162"/>
      <c r="AY7" s="162"/>
      <c r="AZ7" s="162"/>
    </row>
    <row r="8" spans="1:52" ht="33" customHeight="1">
      <c r="A8" s="992"/>
      <c r="B8" s="995"/>
      <c r="C8" s="947"/>
      <c r="D8" s="947"/>
      <c r="E8" s="947"/>
      <c r="F8" s="947"/>
      <c r="G8" s="947"/>
      <c r="H8" s="947"/>
      <c r="I8" s="79" t="s">
        <v>775</v>
      </c>
      <c r="J8" s="79" t="s">
        <v>776</v>
      </c>
      <c r="K8" s="80"/>
      <c r="L8" s="81"/>
      <c r="M8" s="81"/>
      <c r="N8" s="81"/>
      <c r="O8" s="82"/>
      <c r="P8" s="83"/>
      <c r="Q8" s="118"/>
      <c r="R8" s="81"/>
      <c r="S8" s="81"/>
      <c r="T8" s="119"/>
      <c r="U8" s="120"/>
      <c r="V8" s="121"/>
      <c r="W8" s="122"/>
      <c r="X8" s="120"/>
      <c r="Y8" s="120"/>
      <c r="Z8" s="120"/>
      <c r="AA8" s="120">
        <v>78</v>
      </c>
      <c r="AB8" s="120">
        <v>120</v>
      </c>
      <c r="AC8" s="83"/>
      <c r="AD8" s="152"/>
      <c r="AE8" s="153"/>
      <c r="AF8" s="79"/>
      <c r="AG8" s="1016"/>
      <c r="AH8" s="164"/>
      <c r="AI8" s="162"/>
      <c r="AJ8" s="162"/>
      <c r="AK8" s="162"/>
      <c r="AL8" s="162"/>
      <c r="AM8" s="162"/>
      <c r="AN8" s="162"/>
      <c r="AO8" s="162"/>
      <c r="AP8" s="162"/>
      <c r="AQ8" s="162"/>
      <c r="AR8" s="162"/>
      <c r="AS8" s="162"/>
      <c r="AT8" s="162"/>
      <c r="AU8" s="162"/>
      <c r="AV8" s="162"/>
      <c r="AW8" s="162"/>
      <c r="AX8" s="162"/>
      <c r="AY8" s="162"/>
      <c r="AZ8" s="162"/>
    </row>
    <row r="9" spans="1:52" ht="15.75" customHeight="1">
      <c r="A9" s="993"/>
      <c r="B9" s="950"/>
      <c r="C9" s="987"/>
      <c r="D9" s="987"/>
      <c r="E9" s="987"/>
      <c r="F9" s="987"/>
      <c r="G9" s="987"/>
      <c r="H9" s="987"/>
      <c r="I9" s="84"/>
      <c r="J9" s="84"/>
      <c r="K9" s="85"/>
      <c r="L9" s="86"/>
      <c r="M9" s="86"/>
      <c r="N9" s="86"/>
      <c r="O9" s="87"/>
      <c r="P9" s="88"/>
      <c r="Q9" s="123"/>
      <c r="R9" s="86"/>
      <c r="S9" s="86"/>
      <c r="T9" s="124"/>
      <c r="U9" s="125"/>
      <c r="V9" s="126"/>
      <c r="W9" s="127"/>
      <c r="X9" s="125"/>
      <c r="Y9" s="125"/>
      <c r="Z9" s="125"/>
      <c r="AA9" s="125"/>
      <c r="AB9" s="125"/>
      <c r="AC9" s="88"/>
      <c r="AD9" s="154"/>
      <c r="AE9" s="155"/>
      <c r="AF9" s="84"/>
      <c r="AG9" s="154"/>
      <c r="AH9" s="165"/>
      <c r="AI9" s="162"/>
      <c r="AJ9" s="162"/>
      <c r="AK9" s="162"/>
      <c r="AL9" s="162"/>
      <c r="AM9" s="162"/>
      <c r="AN9" s="162"/>
      <c r="AO9" s="162"/>
      <c r="AP9" s="162"/>
      <c r="AQ9" s="162"/>
      <c r="AR9" s="162"/>
      <c r="AS9" s="162"/>
      <c r="AT9" s="162"/>
      <c r="AU9" s="162"/>
      <c r="AV9" s="162"/>
      <c r="AW9" s="162"/>
      <c r="AX9" s="162"/>
      <c r="AY9" s="162"/>
      <c r="AZ9" s="162"/>
    </row>
    <row r="10" spans="1:52" ht="46.5" customHeight="1">
      <c r="A10" s="1007" t="s">
        <v>777</v>
      </c>
      <c r="B10" s="28"/>
      <c r="C10" s="1008" t="s">
        <v>778</v>
      </c>
      <c r="D10" s="29"/>
      <c r="E10" s="30"/>
      <c r="F10" s="31"/>
      <c r="G10" s="31"/>
      <c r="H10" s="32"/>
      <c r="I10" s="29" t="s">
        <v>779</v>
      </c>
      <c r="J10" s="29" t="s">
        <v>780</v>
      </c>
      <c r="K10" s="89"/>
      <c r="L10" s="90"/>
      <c r="M10" s="90"/>
      <c r="N10" s="90"/>
      <c r="O10" s="91">
        <v>147</v>
      </c>
      <c r="P10" s="92"/>
      <c r="Q10" s="128"/>
      <c r="R10" s="31"/>
      <c r="S10" s="31"/>
      <c r="T10" s="129"/>
      <c r="U10" s="130">
        <v>3</v>
      </c>
      <c r="V10" s="131"/>
      <c r="W10" s="132">
        <v>113</v>
      </c>
      <c r="X10" s="130">
        <v>49</v>
      </c>
      <c r="Y10" s="130">
        <v>73</v>
      </c>
      <c r="Z10" s="130">
        <v>178</v>
      </c>
      <c r="AA10" s="130">
        <v>214</v>
      </c>
      <c r="AB10" s="130">
        <v>198</v>
      </c>
      <c r="AC10" s="32">
        <v>117</v>
      </c>
      <c r="AD10" s="140"/>
      <c r="AE10" s="92"/>
      <c r="AF10" s="1011">
        <v>186</v>
      </c>
      <c r="AG10" s="1017">
        <v>22</v>
      </c>
      <c r="AH10" s="1021">
        <v>49</v>
      </c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62"/>
      <c r="AT10" s="162"/>
      <c r="AU10" s="162"/>
      <c r="AV10" s="162"/>
      <c r="AW10" s="162"/>
      <c r="AX10" s="162"/>
      <c r="AY10" s="162"/>
      <c r="AZ10" s="162"/>
    </row>
    <row r="11" spans="1:52" ht="36" customHeight="1">
      <c r="A11" s="992"/>
      <c r="B11" s="33"/>
      <c r="C11" s="1012"/>
      <c r="D11" s="34"/>
      <c r="E11" s="35"/>
      <c r="F11" s="36"/>
      <c r="G11" s="36"/>
      <c r="H11" s="37"/>
      <c r="I11" s="93" t="s">
        <v>781</v>
      </c>
      <c r="J11" s="93" t="s">
        <v>782</v>
      </c>
      <c r="K11" s="35"/>
      <c r="L11" s="36"/>
      <c r="M11" s="36"/>
      <c r="N11" s="36"/>
      <c r="O11" s="94">
        <v>147</v>
      </c>
      <c r="P11" s="37"/>
      <c r="Q11" s="133"/>
      <c r="R11" s="36"/>
      <c r="S11" s="36"/>
      <c r="T11" s="134"/>
      <c r="U11" s="135">
        <v>3</v>
      </c>
      <c r="V11" s="136"/>
      <c r="W11" s="137">
        <v>113</v>
      </c>
      <c r="X11" s="135">
        <v>49</v>
      </c>
      <c r="Y11" s="135">
        <v>137</v>
      </c>
      <c r="Z11" s="135">
        <v>178</v>
      </c>
      <c r="AA11" s="135">
        <v>214</v>
      </c>
      <c r="AB11" s="135">
        <v>198</v>
      </c>
      <c r="AC11" s="37">
        <v>117</v>
      </c>
      <c r="AD11" s="133"/>
      <c r="AE11" s="37"/>
      <c r="AF11" s="1012"/>
      <c r="AG11" s="1016"/>
      <c r="AH11" s="1022"/>
      <c r="AI11" s="162"/>
      <c r="AJ11" s="162"/>
      <c r="AK11" s="162"/>
      <c r="AL11" s="162"/>
      <c r="AM11" s="162"/>
      <c r="AN11" s="162"/>
      <c r="AO11" s="162"/>
      <c r="AP11" s="162"/>
      <c r="AQ11" s="162"/>
      <c r="AR11" s="162"/>
      <c r="AS11" s="162"/>
      <c r="AT11" s="162"/>
      <c r="AU11" s="162"/>
      <c r="AV11" s="162"/>
      <c r="AW11" s="162"/>
      <c r="AX11" s="162"/>
      <c r="AY11" s="162"/>
      <c r="AZ11" s="162"/>
    </row>
    <row r="12" spans="1:52" ht="40.5" customHeight="1">
      <c r="A12" s="992"/>
      <c r="B12" s="38" t="s">
        <v>783</v>
      </c>
      <c r="C12" s="39" t="s">
        <v>784</v>
      </c>
      <c r="D12" s="34">
        <v>211</v>
      </c>
      <c r="E12" s="35">
        <v>67</v>
      </c>
      <c r="F12" s="36">
        <v>217</v>
      </c>
      <c r="G12" s="36">
        <v>197</v>
      </c>
      <c r="H12" s="37"/>
      <c r="I12" s="93" t="s">
        <v>785</v>
      </c>
      <c r="J12" s="93" t="s">
        <v>786</v>
      </c>
      <c r="K12" s="35">
        <v>206</v>
      </c>
      <c r="L12" s="36">
        <v>135</v>
      </c>
      <c r="M12" s="36">
        <v>208</v>
      </c>
      <c r="N12" s="36">
        <v>90</v>
      </c>
      <c r="O12" s="94"/>
      <c r="P12" s="37">
        <v>221</v>
      </c>
      <c r="Q12" s="133">
        <v>218</v>
      </c>
      <c r="R12" s="36">
        <v>86</v>
      </c>
      <c r="S12" s="36">
        <v>72</v>
      </c>
      <c r="T12" s="134">
        <v>5</v>
      </c>
      <c r="U12" s="135"/>
      <c r="V12" s="136">
        <v>76</v>
      </c>
      <c r="W12" s="137"/>
      <c r="X12" s="135"/>
      <c r="Y12" s="135"/>
      <c r="Z12" s="135"/>
      <c r="AA12" s="135"/>
      <c r="AB12" s="135"/>
      <c r="AC12" s="37"/>
      <c r="AD12" s="133"/>
      <c r="AE12" s="37"/>
      <c r="AF12" s="1013">
        <v>209</v>
      </c>
      <c r="AG12" s="1018">
        <v>32</v>
      </c>
      <c r="AH12" s="1024">
        <v>39</v>
      </c>
      <c r="AI12" s="162"/>
      <c r="AJ12" s="162"/>
      <c r="AK12" s="162"/>
      <c r="AL12" s="162"/>
      <c r="AM12" s="162"/>
      <c r="AN12" s="162"/>
      <c r="AO12" s="162"/>
      <c r="AP12" s="162"/>
      <c r="AQ12" s="162"/>
      <c r="AR12" s="162"/>
      <c r="AS12" s="162"/>
      <c r="AT12" s="162"/>
      <c r="AU12" s="162"/>
      <c r="AV12" s="162"/>
      <c r="AW12" s="162"/>
      <c r="AX12" s="162"/>
      <c r="AY12" s="162"/>
      <c r="AZ12" s="162"/>
    </row>
    <row r="13" spans="1:52" ht="42" customHeight="1">
      <c r="A13" s="992"/>
      <c r="B13" s="40" t="s">
        <v>787</v>
      </c>
      <c r="C13" s="41" t="s">
        <v>788</v>
      </c>
      <c r="D13" s="42">
        <v>211</v>
      </c>
      <c r="E13" s="43">
        <v>67</v>
      </c>
      <c r="F13" s="44">
        <v>217</v>
      </c>
      <c r="G13" s="44">
        <v>197</v>
      </c>
      <c r="H13" s="45"/>
      <c r="I13" s="95" t="s">
        <v>789</v>
      </c>
      <c r="J13" s="95" t="s">
        <v>790</v>
      </c>
      <c r="K13" s="50">
        <v>206</v>
      </c>
      <c r="L13" s="51">
        <v>135</v>
      </c>
      <c r="M13" s="51">
        <v>208</v>
      </c>
      <c r="N13" s="51">
        <v>202</v>
      </c>
      <c r="O13" s="96"/>
      <c r="P13" s="52">
        <v>221</v>
      </c>
      <c r="Q13" s="138">
        <v>218</v>
      </c>
      <c r="R13" s="44">
        <v>86</v>
      </c>
      <c r="S13" s="44">
        <v>22</v>
      </c>
      <c r="T13" s="44">
        <v>5</v>
      </c>
      <c r="U13" s="100"/>
      <c r="V13" s="45">
        <v>76</v>
      </c>
      <c r="W13" s="139"/>
      <c r="X13" s="100"/>
      <c r="Y13" s="100"/>
      <c r="Z13" s="100"/>
      <c r="AA13" s="100"/>
      <c r="AB13" s="100"/>
      <c r="AC13" s="45"/>
      <c r="AD13" s="41"/>
      <c r="AE13" s="52"/>
      <c r="AF13" s="993"/>
      <c r="AG13" s="1019"/>
      <c r="AH13" s="1025"/>
      <c r="AI13" s="162"/>
      <c r="AJ13" s="162"/>
      <c r="AK13" s="162"/>
      <c r="AL13" s="162"/>
      <c r="AM13" s="162"/>
      <c r="AN13" s="162"/>
      <c r="AO13" s="162"/>
      <c r="AP13" s="162"/>
      <c r="AQ13" s="162"/>
      <c r="AR13" s="162"/>
      <c r="AS13" s="162"/>
      <c r="AT13" s="162"/>
      <c r="AU13" s="162"/>
      <c r="AV13" s="162"/>
      <c r="AW13" s="162"/>
      <c r="AX13" s="162"/>
      <c r="AY13" s="162"/>
      <c r="AZ13" s="162"/>
    </row>
    <row r="14" spans="1:52" ht="38.25" customHeight="1">
      <c r="A14" s="1008" t="s">
        <v>791</v>
      </c>
      <c r="B14" s="46"/>
      <c r="C14" s="1008" t="s">
        <v>792</v>
      </c>
      <c r="D14" s="29"/>
      <c r="E14" s="30"/>
      <c r="F14" s="47"/>
      <c r="G14" s="31"/>
      <c r="H14" s="32"/>
      <c r="I14" s="93" t="s">
        <v>779</v>
      </c>
      <c r="J14" s="93" t="s">
        <v>793</v>
      </c>
      <c r="K14" s="30"/>
      <c r="L14" s="31"/>
      <c r="M14" s="31"/>
      <c r="N14" s="31"/>
      <c r="O14" s="31">
        <v>32</v>
      </c>
      <c r="P14" s="32"/>
      <c r="Q14" s="140"/>
      <c r="R14" s="90"/>
      <c r="S14" s="90"/>
      <c r="T14" s="90"/>
      <c r="U14" s="91">
        <v>22</v>
      </c>
      <c r="V14" s="92"/>
      <c r="W14" s="141">
        <v>202</v>
      </c>
      <c r="X14" s="91">
        <v>216</v>
      </c>
      <c r="Y14" s="91">
        <v>49</v>
      </c>
      <c r="Z14" s="91">
        <v>198</v>
      </c>
      <c r="AA14" s="91">
        <v>207</v>
      </c>
      <c r="AB14" s="91">
        <v>103</v>
      </c>
      <c r="AC14" s="92" t="s">
        <v>147</v>
      </c>
      <c r="AD14" s="128">
        <v>196</v>
      </c>
      <c r="AE14" s="32"/>
      <c r="AF14" s="1014">
        <v>161</v>
      </c>
      <c r="AG14" s="1017">
        <v>91</v>
      </c>
      <c r="AH14" s="1021">
        <v>92</v>
      </c>
      <c r="AI14" s="162"/>
      <c r="AJ14" s="162"/>
      <c r="AK14" s="162"/>
      <c r="AL14" s="162"/>
      <c r="AM14" s="162"/>
      <c r="AN14" s="162"/>
      <c r="AO14" s="162"/>
      <c r="AP14" s="162"/>
      <c r="AQ14" s="162"/>
      <c r="AR14" s="162"/>
      <c r="AS14" s="162"/>
      <c r="AT14" s="162"/>
      <c r="AU14" s="162"/>
      <c r="AV14" s="162"/>
      <c r="AW14" s="162"/>
      <c r="AX14" s="162"/>
      <c r="AY14" s="162"/>
      <c r="AZ14" s="162"/>
    </row>
    <row r="15" spans="1:52" ht="40.5" customHeight="1">
      <c r="A15" s="992"/>
      <c r="B15" s="28"/>
      <c r="C15" s="992"/>
      <c r="D15" s="34"/>
      <c r="E15" s="35"/>
      <c r="F15" s="36"/>
      <c r="G15" s="36"/>
      <c r="H15" s="37"/>
      <c r="I15" s="93" t="s">
        <v>781</v>
      </c>
      <c r="J15" s="93" t="s">
        <v>794</v>
      </c>
      <c r="K15" s="35"/>
      <c r="L15" s="36"/>
      <c r="M15" s="36"/>
      <c r="N15" s="36"/>
      <c r="O15" s="36">
        <v>32</v>
      </c>
      <c r="P15" s="37"/>
      <c r="Q15" s="133"/>
      <c r="R15" s="36"/>
      <c r="S15" s="36"/>
      <c r="T15" s="36"/>
      <c r="U15" s="94">
        <v>22</v>
      </c>
      <c r="V15" s="37"/>
      <c r="W15" s="142">
        <v>202</v>
      </c>
      <c r="X15" s="94"/>
      <c r="Y15" s="94"/>
      <c r="Z15" s="94"/>
      <c r="AA15" s="94">
        <v>207</v>
      </c>
      <c r="AB15" s="94">
        <v>103</v>
      </c>
      <c r="AC15" s="37" t="s">
        <v>147</v>
      </c>
      <c r="AD15" s="133"/>
      <c r="AE15" s="37"/>
      <c r="AF15" s="992"/>
      <c r="AG15" s="1020"/>
      <c r="AH15" s="1023"/>
      <c r="AI15" s="162"/>
      <c r="AJ15" s="162"/>
      <c r="AK15" s="162"/>
      <c r="AL15" s="162"/>
      <c r="AM15" s="162"/>
      <c r="AN15" s="162"/>
      <c r="AO15" s="162"/>
      <c r="AP15" s="162"/>
      <c r="AQ15" s="162"/>
      <c r="AR15" s="162"/>
      <c r="AS15" s="162"/>
      <c r="AT15" s="162"/>
      <c r="AU15" s="162"/>
      <c r="AV15" s="162"/>
      <c r="AW15" s="162"/>
      <c r="AX15" s="162"/>
      <c r="AY15" s="162"/>
      <c r="AZ15" s="162"/>
    </row>
    <row r="16" spans="1:52" ht="36" customHeight="1">
      <c r="A16" s="992"/>
      <c r="B16" s="48"/>
      <c r="C16" s="1012"/>
      <c r="D16" s="34"/>
      <c r="E16" s="35"/>
      <c r="F16" s="36"/>
      <c r="G16" s="36"/>
      <c r="H16" s="37"/>
      <c r="I16" s="97" t="s">
        <v>795</v>
      </c>
      <c r="J16" s="93" t="s">
        <v>796</v>
      </c>
      <c r="K16" s="35"/>
      <c r="L16" s="36"/>
      <c r="M16" s="36"/>
      <c r="N16" s="36"/>
      <c r="O16" s="94"/>
      <c r="P16" s="37"/>
      <c r="Q16" s="133"/>
      <c r="R16" s="36"/>
      <c r="S16" s="36"/>
      <c r="T16" s="36"/>
      <c r="U16" s="94"/>
      <c r="V16" s="37"/>
      <c r="W16" s="142">
        <v>4</v>
      </c>
      <c r="X16" s="94"/>
      <c r="Y16" s="94"/>
      <c r="Z16" s="94"/>
      <c r="AA16" s="94"/>
      <c r="AB16" s="94"/>
      <c r="AC16" s="37"/>
      <c r="AD16" s="133"/>
      <c r="AE16" s="37"/>
      <c r="AF16" s="1012"/>
      <c r="AG16" s="1016"/>
      <c r="AH16" s="1022"/>
      <c r="AI16" s="162"/>
      <c r="AJ16" s="162"/>
      <c r="AK16" s="162"/>
      <c r="AL16" s="162"/>
      <c r="AM16" s="162"/>
      <c r="AN16" s="162"/>
      <c r="AO16" s="162"/>
      <c r="AP16" s="162"/>
      <c r="AQ16" s="162"/>
      <c r="AR16" s="162"/>
      <c r="AS16" s="162"/>
      <c r="AT16" s="162"/>
      <c r="AU16" s="162"/>
      <c r="AV16" s="162"/>
      <c r="AW16" s="162"/>
      <c r="AX16" s="162"/>
      <c r="AY16" s="162"/>
      <c r="AZ16" s="162"/>
    </row>
    <row r="17" spans="1:52" ht="49.5" customHeight="1">
      <c r="A17" s="992"/>
      <c r="B17" s="38" t="s">
        <v>797</v>
      </c>
      <c r="C17" s="28" t="s">
        <v>784</v>
      </c>
      <c r="D17" s="34">
        <v>39</v>
      </c>
      <c r="E17" s="35">
        <v>214</v>
      </c>
      <c r="F17" s="36">
        <v>153</v>
      </c>
      <c r="G17" s="36">
        <v>76</v>
      </c>
      <c r="H17" s="37"/>
      <c r="I17" s="93" t="s">
        <v>785</v>
      </c>
      <c r="J17" s="93" t="s">
        <v>798</v>
      </c>
      <c r="K17" s="35">
        <v>114</v>
      </c>
      <c r="L17" s="36">
        <v>112</v>
      </c>
      <c r="M17" s="36">
        <v>129</v>
      </c>
      <c r="N17" s="36">
        <v>90</v>
      </c>
      <c r="O17" s="94"/>
      <c r="P17" s="37">
        <v>221</v>
      </c>
      <c r="Q17" s="133">
        <v>128</v>
      </c>
      <c r="R17" s="36">
        <v>201</v>
      </c>
      <c r="S17" s="36">
        <v>138</v>
      </c>
      <c r="T17" s="36">
        <v>210</v>
      </c>
      <c r="U17" s="94"/>
      <c r="V17" s="37">
        <v>120</v>
      </c>
      <c r="W17" s="142"/>
      <c r="X17" s="94"/>
      <c r="Y17" s="94"/>
      <c r="Z17" s="94"/>
      <c r="AA17" s="94"/>
      <c r="AB17" s="94"/>
      <c r="AC17" s="37"/>
      <c r="AD17" s="133"/>
      <c r="AE17" s="37"/>
      <c r="AF17" s="1013">
        <v>205</v>
      </c>
      <c r="AG17" s="1018">
        <v>67</v>
      </c>
      <c r="AH17" s="1024">
        <v>72</v>
      </c>
      <c r="AI17" s="162"/>
      <c r="AJ17" s="162"/>
      <c r="AK17" s="162"/>
      <c r="AL17" s="162"/>
      <c r="AM17" s="162"/>
      <c r="AN17" s="162"/>
      <c r="AO17" s="162"/>
      <c r="AP17" s="162"/>
      <c r="AQ17" s="162"/>
      <c r="AR17" s="162"/>
      <c r="AS17" s="162"/>
      <c r="AT17" s="162"/>
      <c r="AU17" s="162"/>
      <c r="AV17" s="162"/>
      <c r="AW17" s="162"/>
      <c r="AX17" s="162"/>
      <c r="AY17" s="162"/>
      <c r="AZ17" s="162"/>
    </row>
    <row r="18" spans="1:52" ht="45" customHeight="1">
      <c r="A18" s="992"/>
      <c r="B18" s="28" t="s">
        <v>799</v>
      </c>
      <c r="C18" s="38" t="s">
        <v>788</v>
      </c>
      <c r="D18" s="42">
        <v>39</v>
      </c>
      <c r="E18" s="43">
        <v>214</v>
      </c>
      <c r="F18" s="44">
        <v>153</v>
      </c>
      <c r="G18" s="44">
        <v>76</v>
      </c>
      <c r="H18" s="45"/>
      <c r="I18" s="95" t="s">
        <v>800</v>
      </c>
      <c r="J18" s="95" t="s">
        <v>801</v>
      </c>
      <c r="K18" s="35">
        <v>114</v>
      </c>
      <c r="L18" s="36">
        <v>112</v>
      </c>
      <c r="M18" s="36">
        <v>129</v>
      </c>
      <c r="N18" s="94">
        <v>90</v>
      </c>
      <c r="O18" s="94"/>
      <c r="P18" s="37">
        <v>221</v>
      </c>
      <c r="Q18" s="133">
        <v>128</v>
      </c>
      <c r="R18" s="36">
        <v>201</v>
      </c>
      <c r="S18" s="36">
        <v>138</v>
      </c>
      <c r="T18" s="36">
        <v>210</v>
      </c>
      <c r="U18" s="94"/>
      <c r="V18" s="45">
        <v>120</v>
      </c>
      <c r="W18" s="142"/>
      <c r="X18" s="94"/>
      <c r="Y18" s="94"/>
      <c r="Z18" s="94"/>
      <c r="AA18" s="94"/>
      <c r="AB18" s="94"/>
      <c r="AC18" s="37"/>
      <c r="AD18" s="133"/>
      <c r="AE18" s="37"/>
      <c r="AF18" s="992"/>
      <c r="AG18" s="1019"/>
      <c r="AH18" s="1025"/>
      <c r="AI18" s="162"/>
      <c r="AJ18" s="162"/>
      <c r="AK18" s="162"/>
      <c r="AL18" s="162"/>
      <c r="AM18" s="162"/>
      <c r="AN18" s="162"/>
      <c r="AO18" s="162"/>
      <c r="AP18" s="162"/>
      <c r="AQ18" s="162"/>
      <c r="AR18" s="162"/>
      <c r="AS18" s="162"/>
      <c r="AT18" s="162"/>
      <c r="AU18" s="162"/>
      <c r="AV18" s="162"/>
      <c r="AW18" s="162"/>
      <c r="AX18" s="162"/>
      <c r="AY18" s="162"/>
      <c r="AZ18" s="162"/>
    </row>
    <row r="19" spans="1:52" ht="39.75" customHeight="1">
      <c r="A19" s="1008" t="s">
        <v>802</v>
      </c>
      <c r="B19" s="46"/>
      <c r="C19" s="1008" t="s">
        <v>803</v>
      </c>
      <c r="D19" s="29"/>
      <c r="E19" s="30"/>
      <c r="F19" s="47"/>
      <c r="G19" s="31"/>
      <c r="H19" s="32"/>
      <c r="I19" s="93" t="s">
        <v>779</v>
      </c>
      <c r="J19" s="93" t="s">
        <v>804</v>
      </c>
      <c r="K19" s="30"/>
      <c r="L19" s="31"/>
      <c r="M19" s="31"/>
      <c r="N19" s="31"/>
      <c r="O19" s="98"/>
      <c r="P19" s="32"/>
      <c r="Q19" s="128"/>
      <c r="R19" s="31"/>
      <c r="S19" s="31"/>
      <c r="T19" s="31"/>
      <c r="U19" s="98">
        <v>91</v>
      </c>
      <c r="V19" s="32"/>
      <c r="W19" s="143">
        <v>137</v>
      </c>
      <c r="X19" s="98">
        <v>141</v>
      </c>
      <c r="Y19" s="98">
        <v>209</v>
      </c>
      <c r="Z19" s="98">
        <v>129</v>
      </c>
      <c r="AA19" s="98">
        <v>73</v>
      </c>
      <c r="AB19" s="98">
        <v>216</v>
      </c>
      <c r="AC19" s="32" t="s">
        <v>147</v>
      </c>
      <c r="AD19" s="128"/>
      <c r="AE19" s="32"/>
      <c r="AF19" s="1014">
        <v>208</v>
      </c>
      <c r="AG19" s="1017">
        <v>49</v>
      </c>
      <c r="AH19" s="1021">
        <v>196</v>
      </c>
      <c r="AI19" s="162"/>
      <c r="AJ19" s="162"/>
      <c r="AK19" s="162"/>
      <c r="AL19" s="162"/>
      <c r="AM19" s="162"/>
      <c r="AN19" s="162"/>
      <c r="AO19" s="162"/>
      <c r="AP19" s="162"/>
      <c r="AQ19" s="162"/>
      <c r="AR19" s="162"/>
      <c r="AS19" s="162"/>
      <c r="AT19" s="162"/>
      <c r="AU19" s="162"/>
      <c r="AV19" s="162"/>
      <c r="AW19" s="162"/>
      <c r="AX19" s="162"/>
      <c r="AY19" s="162"/>
      <c r="AZ19" s="162"/>
    </row>
    <row r="20" spans="1:52" ht="40.5" customHeight="1">
      <c r="A20" s="992"/>
      <c r="B20" s="28"/>
      <c r="C20" s="992"/>
      <c r="D20" s="34"/>
      <c r="E20" s="35"/>
      <c r="F20" s="36"/>
      <c r="G20" s="36"/>
      <c r="H20" s="37"/>
      <c r="I20" s="93" t="s">
        <v>781</v>
      </c>
      <c r="J20" s="93" t="s">
        <v>805</v>
      </c>
      <c r="K20" s="35"/>
      <c r="L20" s="36"/>
      <c r="M20" s="36"/>
      <c r="N20" s="36"/>
      <c r="O20" s="94"/>
      <c r="P20" s="37"/>
      <c r="Q20" s="133"/>
      <c r="R20" s="36"/>
      <c r="S20" s="36"/>
      <c r="T20" s="36"/>
      <c r="U20" s="94"/>
      <c r="V20" s="37"/>
      <c r="W20" s="142">
        <v>137</v>
      </c>
      <c r="X20" s="94">
        <v>141</v>
      </c>
      <c r="Y20" s="94">
        <v>209</v>
      </c>
      <c r="Z20" s="94">
        <v>129</v>
      </c>
      <c r="AA20" s="94">
        <v>73</v>
      </c>
      <c r="AB20" s="94">
        <v>37</v>
      </c>
      <c r="AC20" s="37" t="s">
        <v>147</v>
      </c>
      <c r="AD20" s="133"/>
      <c r="AE20" s="37" t="s">
        <v>806</v>
      </c>
      <c r="AF20" s="992"/>
      <c r="AG20" s="1020"/>
      <c r="AH20" s="1023"/>
      <c r="AI20" s="162"/>
      <c r="AJ20" s="162"/>
      <c r="AK20" s="162"/>
      <c r="AL20" s="162"/>
      <c r="AM20" s="162"/>
      <c r="AN20" s="162"/>
      <c r="AO20" s="162"/>
      <c r="AP20" s="162"/>
      <c r="AQ20" s="162"/>
      <c r="AR20" s="162"/>
      <c r="AS20" s="162"/>
      <c r="AT20" s="162"/>
      <c r="AU20" s="162"/>
      <c r="AV20" s="162"/>
      <c r="AW20" s="162"/>
      <c r="AX20" s="162"/>
      <c r="AY20" s="162"/>
      <c r="AZ20" s="162"/>
    </row>
    <row r="21" spans="1:52" ht="40.5" customHeight="1">
      <c r="A21" s="992"/>
      <c r="B21" s="48"/>
      <c r="C21" s="1012"/>
      <c r="D21" s="34"/>
      <c r="E21" s="35"/>
      <c r="F21" s="36"/>
      <c r="G21" s="36"/>
      <c r="H21" s="37"/>
      <c r="I21" s="97" t="s">
        <v>807</v>
      </c>
      <c r="J21" s="93" t="s">
        <v>808</v>
      </c>
      <c r="K21" s="35"/>
      <c r="L21" s="36"/>
      <c r="M21" s="36"/>
      <c r="N21" s="36"/>
      <c r="O21" s="94"/>
      <c r="P21" s="37"/>
      <c r="Q21" s="133"/>
      <c r="R21" s="36"/>
      <c r="S21" s="36"/>
      <c r="T21" s="36"/>
      <c r="U21" s="94"/>
      <c r="V21" s="37"/>
      <c r="W21" s="142"/>
      <c r="X21" s="94"/>
      <c r="Y21" s="94"/>
      <c r="Z21" s="94"/>
      <c r="AA21" s="94"/>
      <c r="AB21" s="94">
        <v>37</v>
      </c>
      <c r="AC21" s="37"/>
      <c r="AD21" s="133"/>
      <c r="AE21" s="37"/>
      <c r="AF21" s="1012"/>
      <c r="AG21" s="1016"/>
      <c r="AH21" s="1022"/>
      <c r="AI21" s="162"/>
      <c r="AJ21" s="162"/>
      <c r="AK21" s="162"/>
      <c r="AL21" s="162"/>
      <c r="AM21" s="162"/>
      <c r="AN21" s="162"/>
      <c r="AO21" s="162"/>
      <c r="AP21" s="162"/>
      <c r="AQ21" s="162"/>
      <c r="AR21" s="162"/>
      <c r="AS21" s="162"/>
      <c r="AT21" s="162"/>
      <c r="AU21" s="162"/>
      <c r="AV21" s="162"/>
      <c r="AW21" s="162"/>
      <c r="AX21" s="162"/>
      <c r="AY21" s="162"/>
      <c r="AZ21" s="162"/>
    </row>
    <row r="22" spans="1:52" ht="33.75" customHeight="1">
      <c r="A22" s="992"/>
      <c r="B22" s="38" t="s">
        <v>809</v>
      </c>
      <c r="C22" s="28" t="s">
        <v>784</v>
      </c>
      <c r="D22" s="34">
        <v>204</v>
      </c>
      <c r="E22" s="35">
        <v>92</v>
      </c>
      <c r="F22" s="36">
        <v>190</v>
      </c>
      <c r="G22" s="36">
        <v>117</v>
      </c>
      <c r="H22" s="37"/>
      <c r="I22" s="93" t="s">
        <v>785</v>
      </c>
      <c r="J22" s="93" t="s">
        <v>810</v>
      </c>
      <c r="K22" s="35">
        <v>153</v>
      </c>
      <c r="L22" s="36">
        <v>49</v>
      </c>
      <c r="M22" s="36">
        <v>78</v>
      </c>
      <c r="N22" s="36">
        <v>135</v>
      </c>
      <c r="O22" s="94"/>
      <c r="P22" s="37">
        <v>221</v>
      </c>
      <c r="Q22" s="133">
        <v>206</v>
      </c>
      <c r="R22" s="36">
        <v>203</v>
      </c>
      <c r="S22" s="36">
        <v>84</v>
      </c>
      <c r="T22" s="36">
        <v>218</v>
      </c>
      <c r="U22" s="94"/>
      <c r="V22" s="37">
        <v>205</v>
      </c>
      <c r="W22" s="142"/>
      <c r="X22" s="94"/>
      <c r="Y22" s="94"/>
      <c r="Z22" s="94"/>
      <c r="AA22" s="94"/>
      <c r="AB22" s="94"/>
      <c r="AC22" s="37"/>
      <c r="AD22" s="133"/>
      <c r="AE22" s="37"/>
      <c r="AF22" s="1013">
        <v>152</v>
      </c>
      <c r="AG22" s="1018">
        <v>128</v>
      </c>
      <c r="AH22" s="1024">
        <v>210</v>
      </c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</row>
    <row r="23" spans="1:52" ht="39" customHeight="1">
      <c r="A23" s="992"/>
      <c r="B23" s="28" t="s">
        <v>811</v>
      </c>
      <c r="C23" s="38" t="s">
        <v>812</v>
      </c>
      <c r="D23" s="42">
        <v>204</v>
      </c>
      <c r="E23" s="43">
        <v>92</v>
      </c>
      <c r="F23" s="44">
        <v>190</v>
      </c>
      <c r="G23" s="44">
        <v>117</v>
      </c>
      <c r="H23" s="45"/>
      <c r="I23" s="95" t="s">
        <v>789</v>
      </c>
      <c r="J23" s="95" t="s">
        <v>813</v>
      </c>
      <c r="K23" s="43">
        <v>153</v>
      </c>
      <c r="L23" s="44">
        <v>49</v>
      </c>
      <c r="M23" s="44">
        <v>78</v>
      </c>
      <c r="N23" s="44">
        <v>135</v>
      </c>
      <c r="O23" s="99"/>
      <c r="P23" s="45">
        <v>221</v>
      </c>
      <c r="Q23" s="138">
        <v>206</v>
      </c>
      <c r="R23" s="36">
        <v>203</v>
      </c>
      <c r="S23" s="36">
        <v>84</v>
      </c>
      <c r="T23" s="36">
        <v>218</v>
      </c>
      <c r="U23" s="144"/>
      <c r="V23" s="45">
        <v>205</v>
      </c>
      <c r="W23" s="145"/>
      <c r="X23" s="144"/>
      <c r="Y23" s="144"/>
      <c r="Z23" s="144"/>
      <c r="AA23" s="144"/>
      <c r="AB23" s="144"/>
      <c r="AC23" s="156"/>
      <c r="AD23" s="157"/>
      <c r="AE23" s="156"/>
      <c r="AF23" s="993"/>
      <c r="AG23" s="1019"/>
      <c r="AH23" s="1025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</row>
    <row r="24" spans="1:52" ht="41.25" customHeight="1">
      <c r="A24" s="1008" t="s">
        <v>814</v>
      </c>
      <c r="B24" s="46"/>
      <c r="C24" s="1008" t="s">
        <v>815</v>
      </c>
      <c r="D24" s="29"/>
      <c r="E24" s="30"/>
      <c r="F24" s="47"/>
      <c r="G24" s="31"/>
      <c r="H24" s="32"/>
      <c r="I24" s="29" t="s">
        <v>779</v>
      </c>
      <c r="J24" s="29" t="s">
        <v>816</v>
      </c>
      <c r="K24" s="30"/>
      <c r="L24" s="31"/>
      <c r="M24" s="31"/>
      <c r="N24" s="31"/>
      <c r="O24" s="31">
        <v>186</v>
      </c>
      <c r="P24" s="32"/>
      <c r="Q24" s="128"/>
      <c r="R24" s="31"/>
      <c r="S24" s="31"/>
      <c r="T24" s="31"/>
      <c r="U24" s="98">
        <v>72</v>
      </c>
      <c r="V24" s="32"/>
      <c r="W24" s="143">
        <v>86</v>
      </c>
      <c r="X24" s="98">
        <v>137</v>
      </c>
      <c r="Y24" s="98">
        <v>138</v>
      </c>
      <c r="Z24" s="98"/>
      <c r="AA24" s="98">
        <v>91</v>
      </c>
      <c r="AB24" s="98">
        <v>181</v>
      </c>
      <c r="AC24" s="32" t="s">
        <v>147</v>
      </c>
      <c r="AD24" s="128"/>
      <c r="AE24" s="32"/>
      <c r="AF24" s="1014">
        <v>112</v>
      </c>
      <c r="AG24" s="1017">
        <v>216</v>
      </c>
      <c r="AH24" s="1021">
        <v>134</v>
      </c>
      <c r="AI24" s="162"/>
      <c r="AJ24" s="162"/>
      <c r="AK24" s="162"/>
      <c r="AL24" s="162"/>
      <c r="AM24" s="162"/>
      <c r="AN24" s="162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</row>
    <row r="25" spans="1:52" ht="41.25" customHeight="1">
      <c r="A25" s="992"/>
      <c r="B25" s="28"/>
      <c r="C25" s="992"/>
      <c r="D25" s="34"/>
      <c r="E25" s="35"/>
      <c r="F25" s="36"/>
      <c r="G25" s="36"/>
      <c r="H25" s="37"/>
      <c r="I25" s="93" t="s">
        <v>781</v>
      </c>
      <c r="J25" s="93" t="s">
        <v>817</v>
      </c>
      <c r="K25" s="35"/>
      <c r="L25" s="36"/>
      <c r="M25" s="36"/>
      <c r="N25" s="36"/>
      <c r="O25" s="36">
        <v>186</v>
      </c>
      <c r="P25" s="37"/>
      <c r="Q25" s="133"/>
      <c r="R25" s="36"/>
      <c r="S25" s="36"/>
      <c r="T25" s="36"/>
      <c r="U25" s="94">
        <v>72</v>
      </c>
      <c r="V25" s="37"/>
      <c r="W25" s="142">
        <v>22</v>
      </c>
      <c r="X25" s="94">
        <v>202</v>
      </c>
      <c r="Y25" s="94"/>
      <c r="Z25" s="94"/>
      <c r="AA25" s="94"/>
      <c r="AB25" s="94">
        <v>181</v>
      </c>
      <c r="AC25" s="37" t="s">
        <v>147</v>
      </c>
      <c r="AD25" s="133">
        <v>196</v>
      </c>
      <c r="AE25" s="37"/>
      <c r="AF25" s="992"/>
      <c r="AG25" s="1020"/>
      <c r="AH25" s="1023"/>
      <c r="AI25" s="162"/>
      <c r="AJ25" s="162"/>
      <c r="AK25" s="162"/>
      <c r="AL25" s="162"/>
      <c r="AM25" s="162"/>
      <c r="AN25" s="162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</row>
    <row r="26" spans="1:52" ht="41.25" customHeight="1">
      <c r="A26" s="992"/>
      <c r="B26" s="48"/>
      <c r="C26" s="1012"/>
      <c r="D26" s="34"/>
      <c r="E26" s="35"/>
      <c r="F26" s="36"/>
      <c r="G26" s="36"/>
      <c r="H26" s="37"/>
      <c r="I26" s="97" t="s">
        <v>795</v>
      </c>
      <c r="J26" s="93" t="s">
        <v>818</v>
      </c>
      <c r="K26" s="35"/>
      <c r="L26" s="36"/>
      <c r="M26" s="36"/>
      <c r="N26" s="36"/>
      <c r="O26" s="94"/>
      <c r="P26" s="37"/>
      <c r="Q26" s="133"/>
      <c r="R26" s="36"/>
      <c r="S26" s="36"/>
      <c r="T26" s="36"/>
      <c r="U26" s="94"/>
      <c r="V26" s="37"/>
      <c r="W26" s="142">
        <v>91</v>
      </c>
      <c r="X26" s="94"/>
      <c r="Y26" s="94"/>
      <c r="Z26" s="94"/>
      <c r="AA26" s="94"/>
      <c r="AB26" s="94"/>
      <c r="AC26" s="37"/>
      <c r="AD26" s="133"/>
      <c r="AE26" s="37"/>
      <c r="AF26" s="1012"/>
      <c r="AG26" s="1016"/>
      <c r="AH26" s="1022"/>
      <c r="AI26" s="162"/>
      <c r="AJ26" s="162"/>
      <c r="AK26" s="162"/>
      <c r="AL26" s="162"/>
      <c r="AM26" s="162"/>
      <c r="AN26" s="162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</row>
    <row r="27" spans="1:52" ht="41.25" customHeight="1">
      <c r="A27" s="992"/>
      <c r="B27" s="40" t="s">
        <v>819</v>
      </c>
      <c r="C27" s="28" t="s">
        <v>820</v>
      </c>
      <c r="D27" s="49">
        <v>20</v>
      </c>
      <c r="E27" s="50">
        <v>134</v>
      </c>
      <c r="F27" s="51">
        <v>217</v>
      </c>
      <c r="G27" s="51">
        <v>92</v>
      </c>
      <c r="H27" s="52"/>
      <c r="I27" s="93" t="s">
        <v>821</v>
      </c>
      <c r="J27" s="93" t="s">
        <v>822</v>
      </c>
      <c r="K27" s="50">
        <v>153</v>
      </c>
      <c r="L27" s="51">
        <v>203</v>
      </c>
      <c r="M27" s="51">
        <v>208</v>
      </c>
      <c r="N27" s="51">
        <v>147</v>
      </c>
      <c r="O27" s="96"/>
      <c r="P27" s="52" t="s">
        <v>149</v>
      </c>
      <c r="Q27" s="41">
        <v>204</v>
      </c>
      <c r="R27" s="51">
        <v>181</v>
      </c>
      <c r="S27" s="51">
        <v>161</v>
      </c>
      <c r="T27" s="51">
        <v>210</v>
      </c>
      <c r="U27" s="96"/>
      <c r="V27" s="37">
        <v>88</v>
      </c>
      <c r="W27" s="146"/>
      <c r="X27" s="96"/>
      <c r="Y27" s="96"/>
      <c r="Z27" s="96"/>
      <c r="AA27" s="96"/>
      <c r="AB27" s="96"/>
      <c r="AC27" s="52"/>
      <c r="AD27" s="41"/>
      <c r="AE27" s="52"/>
      <c r="AF27" s="1013">
        <v>120</v>
      </c>
      <c r="AG27" s="1018">
        <v>112</v>
      </c>
      <c r="AH27" s="1024">
        <v>152</v>
      </c>
      <c r="AI27" s="162"/>
      <c r="AJ27" s="162"/>
      <c r="AK27" s="162"/>
      <c r="AL27" s="162"/>
      <c r="AM27" s="162"/>
      <c r="AN27" s="162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</row>
    <row r="28" spans="1:52" ht="41.25" customHeight="1">
      <c r="A28" s="992"/>
      <c r="B28" s="28" t="s">
        <v>823</v>
      </c>
      <c r="C28" s="53" t="s">
        <v>824</v>
      </c>
      <c r="D28" s="42">
        <v>20</v>
      </c>
      <c r="E28" s="43">
        <v>134</v>
      </c>
      <c r="F28" s="44">
        <v>217</v>
      </c>
      <c r="G28" s="44">
        <v>92</v>
      </c>
      <c r="H28" s="45"/>
      <c r="I28" s="95" t="s">
        <v>825</v>
      </c>
      <c r="J28" s="95" t="s">
        <v>826</v>
      </c>
      <c r="K28" s="50">
        <v>153</v>
      </c>
      <c r="L28" s="51">
        <v>203</v>
      </c>
      <c r="M28" s="51">
        <v>208</v>
      </c>
      <c r="N28" s="51">
        <v>147</v>
      </c>
      <c r="O28" s="96"/>
      <c r="P28" s="52" t="s">
        <v>149</v>
      </c>
      <c r="Q28" s="41">
        <v>204</v>
      </c>
      <c r="R28" s="36">
        <v>178</v>
      </c>
      <c r="S28" s="36">
        <v>161</v>
      </c>
      <c r="T28" s="36">
        <v>210</v>
      </c>
      <c r="U28" s="147"/>
      <c r="V28" s="45">
        <v>154</v>
      </c>
      <c r="W28" s="148"/>
      <c r="X28" s="147"/>
      <c r="Y28" s="147"/>
      <c r="Z28" s="147"/>
      <c r="AA28" s="147"/>
      <c r="AB28" s="147"/>
      <c r="AC28" s="158"/>
      <c r="AD28" s="159"/>
      <c r="AE28" s="158"/>
      <c r="AF28" s="993"/>
      <c r="AG28" s="1019"/>
      <c r="AH28" s="1025"/>
      <c r="AI28" s="162"/>
      <c r="AJ28" s="162"/>
      <c r="AK28" s="162"/>
      <c r="AL28" s="162"/>
      <c r="AM28" s="162"/>
      <c r="AN28" s="162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</row>
    <row r="29" spans="1:52" ht="60" customHeight="1">
      <c r="A29" s="1008" t="s">
        <v>827</v>
      </c>
      <c r="B29" s="1031" t="s">
        <v>828</v>
      </c>
      <c r="C29" s="1027"/>
      <c r="D29" s="1027"/>
      <c r="E29" s="1027"/>
      <c r="F29" s="1027"/>
      <c r="G29" s="1027"/>
      <c r="H29" s="1027"/>
      <c r="I29" s="93" t="s">
        <v>829</v>
      </c>
      <c r="J29" s="93" t="s">
        <v>830</v>
      </c>
      <c r="K29" s="30"/>
      <c r="L29" s="31"/>
      <c r="M29" s="31"/>
      <c r="N29" s="31"/>
      <c r="O29" s="98"/>
      <c r="P29" s="32"/>
      <c r="Q29" s="128">
        <v>210</v>
      </c>
      <c r="R29" s="31">
        <v>216</v>
      </c>
      <c r="S29" s="31">
        <v>86</v>
      </c>
      <c r="T29" s="31">
        <v>102</v>
      </c>
      <c r="U29" s="98"/>
      <c r="V29" s="32">
        <v>205</v>
      </c>
      <c r="W29" s="143">
        <v>103</v>
      </c>
      <c r="X29" s="98">
        <v>161</v>
      </c>
      <c r="Y29" s="98">
        <v>120</v>
      </c>
      <c r="Z29" s="98">
        <v>39</v>
      </c>
      <c r="AA29" s="98">
        <v>78</v>
      </c>
      <c r="AB29" s="98">
        <v>114</v>
      </c>
      <c r="AC29" s="32">
        <v>88</v>
      </c>
      <c r="AD29" s="128"/>
      <c r="AE29" s="32"/>
      <c r="AF29" s="1014">
        <v>209</v>
      </c>
      <c r="AG29" s="1017">
        <v>181</v>
      </c>
      <c r="AH29" s="1021">
        <v>186</v>
      </c>
      <c r="AI29" s="162"/>
      <c r="AJ29" s="162"/>
      <c r="AK29" s="162"/>
      <c r="AL29" s="162"/>
      <c r="AM29" s="162"/>
      <c r="AN29" s="162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</row>
    <row r="30" spans="1:52" ht="59.25" customHeight="1">
      <c r="A30" s="992"/>
      <c r="B30" s="995"/>
      <c r="C30" s="947"/>
      <c r="D30" s="947"/>
      <c r="E30" s="947"/>
      <c r="F30" s="947"/>
      <c r="G30" s="947"/>
      <c r="H30" s="947"/>
      <c r="I30" s="93" t="s">
        <v>831</v>
      </c>
      <c r="J30" s="93" t="s">
        <v>832</v>
      </c>
      <c r="K30" s="35"/>
      <c r="L30" s="36"/>
      <c r="M30" s="36"/>
      <c r="N30" s="36"/>
      <c r="O30" s="36"/>
      <c r="P30" s="37"/>
      <c r="Q30" s="133">
        <v>91</v>
      </c>
      <c r="R30" s="36">
        <v>22</v>
      </c>
      <c r="S30" s="36">
        <v>86</v>
      </c>
      <c r="T30" s="36">
        <v>102</v>
      </c>
      <c r="U30" s="94"/>
      <c r="V30" s="37">
        <v>152</v>
      </c>
      <c r="W30" s="142">
        <v>5</v>
      </c>
      <c r="X30" s="94">
        <v>161</v>
      </c>
      <c r="Y30" s="94">
        <v>120</v>
      </c>
      <c r="Z30" s="94">
        <v>39</v>
      </c>
      <c r="AA30" s="94"/>
      <c r="AB30" s="94">
        <v>211</v>
      </c>
      <c r="AC30" s="37">
        <v>154</v>
      </c>
      <c r="AD30" s="133"/>
      <c r="AE30" s="37"/>
      <c r="AF30" s="1012"/>
      <c r="AG30" s="1016"/>
      <c r="AH30" s="1022"/>
      <c r="AI30" s="162"/>
      <c r="AJ30" s="162"/>
      <c r="AK30" s="162"/>
      <c r="AL30" s="162"/>
      <c r="AM30" s="162"/>
      <c r="AN30" s="162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</row>
    <row r="31" spans="1:52" ht="18.75" customHeight="1">
      <c r="A31" s="993"/>
      <c r="B31" s="950"/>
      <c r="C31" s="987"/>
      <c r="D31" s="987"/>
      <c r="E31" s="987"/>
      <c r="F31" s="987"/>
      <c r="G31" s="987"/>
      <c r="H31" s="987"/>
      <c r="I31" s="42"/>
      <c r="J31" s="42"/>
      <c r="K31" s="43"/>
      <c r="L31" s="44"/>
      <c r="M31" s="44"/>
      <c r="N31" s="44"/>
      <c r="O31" s="100"/>
      <c r="P31" s="45"/>
      <c r="Q31" s="138"/>
      <c r="R31" s="44"/>
      <c r="S31" s="44"/>
      <c r="T31" s="44"/>
      <c r="U31" s="100"/>
      <c r="V31" s="45"/>
      <c r="W31" s="139"/>
      <c r="X31" s="100"/>
      <c r="Y31" s="100"/>
      <c r="Z31" s="100"/>
      <c r="AA31" s="100"/>
      <c r="AB31" s="100"/>
      <c r="AC31" s="45"/>
      <c r="AD31" s="138"/>
      <c r="AE31" s="45"/>
      <c r="AF31" s="42"/>
      <c r="AG31" s="138"/>
      <c r="AH31" s="166"/>
      <c r="AI31" s="162"/>
      <c r="AJ31" s="162"/>
      <c r="AK31" s="162"/>
      <c r="AL31" s="162"/>
      <c r="AM31" s="162"/>
      <c r="AN31" s="162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</row>
    <row r="32" spans="1:52" ht="85.5" customHeight="1">
      <c r="A32" s="54"/>
      <c r="B32" s="54"/>
      <c r="C32" s="55"/>
      <c r="D32" s="56"/>
      <c r="E32" s="56"/>
      <c r="F32" s="56"/>
      <c r="G32" s="56"/>
      <c r="H32" s="56"/>
      <c r="I32" s="56"/>
      <c r="J32" s="56"/>
      <c r="K32" s="21"/>
      <c r="L32" s="56"/>
      <c r="M32" s="56"/>
      <c r="N32" s="101"/>
      <c r="O32" s="101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21"/>
      <c r="AJ32" s="21"/>
      <c r="AK32" s="21"/>
      <c r="AL32" s="21"/>
      <c r="AM32" s="21"/>
      <c r="AN32" s="21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</row>
    <row r="33" spans="1:52" ht="26.25" customHeight="1">
      <c r="A33" s="57" t="s">
        <v>833</v>
      </c>
      <c r="B33" s="57" t="s">
        <v>834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58"/>
      <c r="AJ33" s="58"/>
      <c r="AK33" s="58"/>
      <c r="AL33" s="58"/>
      <c r="AM33" s="58"/>
      <c r="AN33" s="58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</row>
    <row r="34" spans="1:52" ht="27" customHeight="1">
      <c r="A34" s="57"/>
      <c r="B34" s="57" t="s">
        <v>835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58"/>
      <c r="AK34" s="58"/>
      <c r="AL34" s="58"/>
      <c r="AM34" s="58"/>
      <c r="AN34" s="58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</row>
    <row r="35" spans="1:52" ht="15.75" customHeight="1">
      <c r="A35" s="57"/>
      <c r="B35" s="57" t="s">
        <v>836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58"/>
      <c r="AJ35" s="58"/>
      <c r="AK35" s="58"/>
      <c r="AL35" s="58"/>
      <c r="AM35" s="58"/>
      <c r="AN35" s="58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</row>
    <row r="36" spans="1:52" ht="15.75" customHeight="1">
      <c r="A36" s="57"/>
      <c r="B36" s="57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</row>
    <row r="37" spans="1:52" ht="15.75" customHeight="1">
      <c r="A37" s="57" t="s">
        <v>837</v>
      </c>
      <c r="B37" s="57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</row>
    <row r="38" spans="1:52" ht="15.75" customHeight="1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</row>
    <row r="39" spans="1:52" ht="15.75" customHeight="1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</row>
    <row r="40" spans="1:52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102"/>
      <c r="O40" s="102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2"/>
      <c r="AJ40" s="102"/>
      <c r="AK40" s="102"/>
      <c r="AL40" s="102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</row>
    <row r="41" spans="1:52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102"/>
      <c r="O41" s="102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2"/>
      <c r="AJ41" s="102"/>
      <c r="AK41" s="102"/>
      <c r="AL41" s="102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</row>
    <row r="42" spans="1:5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102"/>
      <c r="O42" s="102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2"/>
      <c r="AJ42" s="102"/>
      <c r="AK42" s="102"/>
      <c r="AL42" s="102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</row>
    <row r="43" spans="1:52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102"/>
      <c r="O43" s="102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2"/>
      <c r="AJ43" s="102"/>
      <c r="AK43" s="102"/>
      <c r="AL43" s="102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</row>
    <row r="44" spans="1:52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102"/>
      <c r="O44" s="102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2"/>
      <c r="AJ44" s="102"/>
      <c r="AK44" s="102"/>
      <c r="AL44" s="102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</row>
    <row r="45" spans="1:52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102"/>
      <c r="O45" s="102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2"/>
      <c r="AJ45" s="102"/>
      <c r="AK45" s="102"/>
      <c r="AL45" s="102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</row>
    <row r="46" spans="1:52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102"/>
      <c r="O46" s="102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2"/>
      <c r="AJ46" s="102"/>
      <c r="AK46" s="102"/>
      <c r="AL46" s="102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</row>
    <row r="47" spans="1:52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102"/>
      <c r="O47" s="102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2"/>
      <c r="AJ47" s="102"/>
      <c r="AK47" s="102"/>
      <c r="AL47" s="102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</row>
    <row r="48" spans="1:52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102"/>
      <c r="O48" s="102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2"/>
      <c r="AJ48" s="102"/>
      <c r="AK48" s="102"/>
      <c r="AL48" s="102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</row>
    <row r="49" spans="1:52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102"/>
      <c r="O49" s="102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2"/>
      <c r="AJ49" s="102"/>
      <c r="AK49" s="102"/>
      <c r="AL49" s="102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</row>
    <row r="50" spans="1:52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102"/>
      <c r="O50" s="102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2"/>
      <c r="AJ50" s="102"/>
      <c r="AK50" s="102"/>
      <c r="AL50" s="102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</row>
    <row r="51" spans="1:52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102"/>
      <c r="O51" s="102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2"/>
      <c r="AJ51" s="102"/>
      <c r="AK51" s="102"/>
      <c r="AL51" s="102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</row>
    <row r="52" spans="1: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102"/>
      <c r="O52" s="102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2"/>
      <c r="AJ52" s="102"/>
      <c r="AK52" s="102"/>
      <c r="AL52" s="102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</row>
    <row r="53" spans="1:52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102"/>
      <c r="O53" s="102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2"/>
      <c r="AJ53" s="102"/>
      <c r="AK53" s="102"/>
      <c r="AL53" s="102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</row>
    <row r="54" spans="1:52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102"/>
      <c r="O54" s="102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2"/>
      <c r="AJ54" s="102"/>
      <c r="AK54" s="102"/>
      <c r="AL54" s="102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</row>
    <row r="55" spans="1:52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102"/>
      <c r="O55" s="102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  <c r="AA55" s="103"/>
      <c r="AB55" s="103"/>
      <c r="AC55" s="103"/>
      <c r="AD55" s="103"/>
      <c r="AE55" s="103"/>
      <c r="AF55" s="103"/>
      <c r="AG55" s="103"/>
      <c r="AH55" s="103"/>
      <c r="AI55" s="102"/>
      <c r="AJ55" s="102"/>
      <c r="AK55" s="102"/>
      <c r="AL55" s="102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</row>
    <row r="56" spans="1:52" ht="7.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102"/>
      <c r="O56" s="102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03"/>
      <c r="AH56" s="103"/>
      <c r="AI56" s="102"/>
      <c r="AJ56" s="102"/>
      <c r="AK56" s="102"/>
      <c r="AL56" s="102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</row>
    <row r="57" spans="1:52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102"/>
      <c r="O57" s="102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2"/>
      <c r="AJ57" s="102"/>
      <c r="AK57" s="102"/>
      <c r="AL57" s="102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</row>
    <row r="58" spans="1:52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102"/>
      <c r="O58" s="102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2"/>
      <c r="AJ58" s="102"/>
      <c r="AK58" s="102"/>
      <c r="AL58" s="102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</row>
    <row r="59" spans="1:52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102"/>
      <c r="O59" s="102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2"/>
      <c r="AJ59" s="102"/>
      <c r="AK59" s="102"/>
      <c r="AL59" s="102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</row>
    <row r="60" spans="1:52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102"/>
      <c r="O60" s="102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2"/>
      <c r="AJ60" s="102"/>
      <c r="AK60" s="102"/>
      <c r="AL60" s="102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</row>
    <row r="61" spans="1:52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102"/>
      <c r="O61" s="102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  <c r="AA61" s="103"/>
      <c r="AB61" s="103"/>
      <c r="AC61" s="103"/>
      <c r="AD61" s="103"/>
      <c r="AE61" s="103"/>
      <c r="AF61" s="103"/>
      <c r="AG61" s="103"/>
      <c r="AH61" s="103"/>
      <c r="AI61" s="102"/>
      <c r="AJ61" s="102"/>
      <c r="AK61" s="102"/>
      <c r="AL61" s="102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</row>
    <row r="62" spans="1:5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102"/>
      <c r="O62" s="102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2"/>
      <c r="AJ62" s="102"/>
      <c r="AK62" s="102"/>
      <c r="AL62" s="102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</row>
    <row r="63" spans="1:52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102"/>
      <c r="O63" s="102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  <c r="AA63" s="103"/>
      <c r="AB63" s="103"/>
      <c r="AC63" s="103"/>
      <c r="AD63" s="103"/>
      <c r="AE63" s="103"/>
      <c r="AF63" s="103"/>
      <c r="AG63" s="103"/>
      <c r="AH63" s="103"/>
      <c r="AI63" s="102"/>
      <c r="AJ63" s="102"/>
      <c r="AK63" s="102"/>
      <c r="AL63" s="102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</row>
    <row r="64" spans="1:52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102"/>
      <c r="O64" s="102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  <c r="AA64" s="103"/>
      <c r="AB64" s="103"/>
      <c r="AC64" s="103"/>
      <c r="AD64" s="103"/>
      <c r="AE64" s="103"/>
      <c r="AF64" s="103"/>
      <c r="AG64" s="103"/>
      <c r="AH64" s="103"/>
      <c r="AI64" s="102"/>
      <c r="AJ64" s="102"/>
      <c r="AK64" s="102"/>
      <c r="AL64" s="102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</row>
    <row r="65" spans="1:52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102"/>
      <c r="O65" s="102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  <c r="AA65" s="103"/>
      <c r="AB65" s="103"/>
      <c r="AC65" s="103"/>
      <c r="AD65" s="103"/>
      <c r="AE65" s="103"/>
      <c r="AF65" s="103"/>
      <c r="AG65" s="103"/>
      <c r="AH65" s="103"/>
      <c r="AI65" s="102"/>
      <c r="AJ65" s="102"/>
      <c r="AK65" s="102"/>
      <c r="AL65" s="102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</row>
    <row r="66" spans="1:52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102"/>
      <c r="O66" s="102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  <c r="AA66" s="103"/>
      <c r="AB66" s="103"/>
      <c r="AC66" s="103"/>
      <c r="AD66" s="103"/>
      <c r="AE66" s="103"/>
      <c r="AF66" s="103"/>
      <c r="AG66" s="103"/>
      <c r="AH66" s="103"/>
      <c r="AI66" s="102"/>
      <c r="AJ66" s="102"/>
      <c r="AK66" s="102"/>
      <c r="AL66" s="102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</row>
    <row r="67" spans="1:52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102"/>
      <c r="O67" s="102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  <c r="AA67" s="103"/>
      <c r="AB67" s="103"/>
      <c r="AC67" s="103"/>
      <c r="AD67" s="103"/>
      <c r="AE67" s="103"/>
      <c r="AF67" s="103"/>
      <c r="AG67" s="103"/>
      <c r="AH67" s="103"/>
      <c r="AI67" s="102"/>
      <c r="AJ67" s="102"/>
      <c r="AK67" s="102"/>
      <c r="AL67" s="102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</row>
    <row r="68" spans="1:52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102"/>
      <c r="O68" s="102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  <c r="AA68" s="103"/>
      <c r="AB68" s="103"/>
      <c r="AC68" s="103"/>
      <c r="AD68" s="103"/>
      <c r="AE68" s="103"/>
      <c r="AF68" s="103"/>
      <c r="AG68" s="103"/>
      <c r="AH68" s="103"/>
      <c r="AI68" s="102"/>
      <c r="AJ68" s="102"/>
      <c r="AK68" s="102"/>
      <c r="AL68" s="102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</row>
    <row r="69" spans="1:52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102"/>
      <c r="O69" s="102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  <c r="AA69" s="103"/>
      <c r="AB69" s="103"/>
      <c r="AC69" s="103"/>
      <c r="AD69" s="103"/>
      <c r="AE69" s="103"/>
      <c r="AF69" s="103"/>
      <c r="AG69" s="103"/>
      <c r="AH69" s="103"/>
      <c r="AI69" s="102"/>
      <c r="AJ69" s="102"/>
      <c r="AK69" s="102"/>
      <c r="AL69" s="102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</row>
    <row r="70" spans="1:52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102"/>
      <c r="O70" s="102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  <c r="AA70" s="103"/>
      <c r="AB70" s="103"/>
      <c r="AC70" s="103"/>
      <c r="AD70" s="103"/>
      <c r="AE70" s="103"/>
      <c r="AF70" s="103"/>
      <c r="AG70" s="103"/>
      <c r="AH70" s="103"/>
      <c r="AI70" s="102"/>
      <c r="AJ70" s="102"/>
      <c r="AK70" s="102"/>
      <c r="AL70" s="102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</row>
    <row r="71" spans="1:52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102"/>
      <c r="O71" s="102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2"/>
      <c r="AJ71" s="102"/>
      <c r="AK71" s="102"/>
      <c r="AL71" s="102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</row>
    <row r="72" spans="1:5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102"/>
      <c r="O72" s="102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  <c r="AA72" s="103"/>
      <c r="AB72" s="103"/>
      <c r="AC72" s="103"/>
      <c r="AD72" s="103"/>
      <c r="AE72" s="103"/>
      <c r="AF72" s="103"/>
      <c r="AG72" s="103"/>
      <c r="AH72" s="103"/>
      <c r="AI72" s="102"/>
      <c r="AJ72" s="102"/>
      <c r="AK72" s="102"/>
      <c r="AL72" s="102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</row>
    <row r="73" spans="1:52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102"/>
      <c r="O73" s="102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  <c r="AA73" s="103"/>
      <c r="AB73" s="103"/>
      <c r="AC73" s="103"/>
      <c r="AD73" s="103"/>
      <c r="AE73" s="103"/>
      <c r="AF73" s="103"/>
      <c r="AG73" s="103"/>
      <c r="AH73" s="103"/>
      <c r="AI73" s="102"/>
      <c r="AJ73" s="102"/>
      <c r="AK73" s="102"/>
      <c r="AL73" s="102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</row>
    <row r="74" spans="1:52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102"/>
      <c r="O74" s="102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  <c r="AA74" s="103"/>
      <c r="AB74" s="103"/>
      <c r="AC74" s="103"/>
      <c r="AD74" s="103"/>
      <c r="AE74" s="103"/>
      <c r="AF74" s="103"/>
      <c r="AG74" s="103"/>
      <c r="AH74" s="103"/>
      <c r="AI74" s="102"/>
      <c r="AJ74" s="102"/>
      <c r="AK74" s="102"/>
      <c r="AL74" s="102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</row>
    <row r="75" spans="1:52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102"/>
      <c r="O75" s="102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  <c r="AA75" s="103"/>
      <c r="AB75" s="103"/>
      <c r="AC75" s="103"/>
      <c r="AD75" s="103"/>
      <c r="AE75" s="103"/>
      <c r="AF75" s="103"/>
      <c r="AG75" s="103"/>
      <c r="AH75" s="103"/>
      <c r="AI75" s="102"/>
      <c r="AJ75" s="102"/>
      <c r="AK75" s="102"/>
      <c r="AL75" s="102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</row>
    <row r="76" spans="1:52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102"/>
      <c r="O76" s="102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2"/>
      <c r="AJ76" s="102"/>
      <c r="AK76" s="102"/>
      <c r="AL76" s="102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</row>
    <row r="77" spans="1:52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102"/>
      <c r="O77" s="102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  <c r="AA77" s="103"/>
      <c r="AB77" s="103"/>
      <c r="AC77" s="103"/>
      <c r="AD77" s="103"/>
      <c r="AE77" s="103"/>
      <c r="AF77" s="103"/>
      <c r="AG77" s="103"/>
      <c r="AH77" s="103"/>
      <c r="AI77" s="102"/>
      <c r="AJ77" s="102"/>
      <c r="AK77" s="102"/>
      <c r="AL77" s="102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</row>
    <row r="78" spans="1:52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102"/>
      <c r="O78" s="102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  <c r="AA78" s="103"/>
      <c r="AB78" s="103"/>
      <c r="AC78" s="103"/>
      <c r="AD78" s="103"/>
      <c r="AE78" s="103"/>
      <c r="AF78" s="103"/>
      <c r="AG78" s="103"/>
      <c r="AH78" s="103"/>
      <c r="AI78" s="102"/>
      <c r="AJ78" s="102"/>
      <c r="AK78" s="102"/>
      <c r="AL78" s="102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</row>
    <row r="79" spans="1:52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102"/>
      <c r="O79" s="102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  <c r="AA79" s="103"/>
      <c r="AB79" s="103"/>
      <c r="AC79" s="103"/>
      <c r="AD79" s="103"/>
      <c r="AE79" s="103"/>
      <c r="AF79" s="103"/>
      <c r="AG79" s="103"/>
      <c r="AH79" s="103"/>
      <c r="AI79" s="102"/>
      <c r="AJ79" s="102"/>
      <c r="AK79" s="102"/>
      <c r="AL79" s="102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</row>
    <row r="80" spans="1:52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102"/>
      <c r="O80" s="102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  <c r="AA80" s="103"/>
      <c r="AB80" s="103"/>
      <c r="AC80" s="103"/>
      <c r="AD80" s="103"/>
      <c r="AE80" s="103"/>
      <c r="AF80" s="103"/>
      <c r="AG80" s="103"/>
      <c r="AH80" s="103"/>
      <c r="AI80" s="102"/>
      <c r="AJ80" s="102"/>
      <c r="AK80" s="102"/>
      <c r="AL80" s="102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</row>
    <row r="81" spans="1:52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102"/>
      <c r="O81" s="102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  <c r="AA81" s="103"/>
      <c r="AB81" s="103"/>
      <c r="AC81" s="103"/>
      <c r="AD81" s="103"/>
      <c r="AE81" s="103"/>
      <c r="AF81" s="103"/>
      <c r="AG81" s="103"/>
      <c r="AH81" s="103"/>
      <c r="AI81" s="102"/>
      <c r="AJ81" s="102"/>
      <c r="AK81" s="102"/>
      <c r="AL81" s="102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</row>
    <row r="82" spans="1:5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102"/>
      <c r="O82" s="102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  <c r="AA82" s="103"/>
      <c r="AB82" s="103"/>
      <c r="AC82" s="103"/>
      <c r="AD82" s="103"/>
      <c r="AE82" s="103"/>
      <c r="AF82" s="103"/>
      <c r="AG82" s="103"/>
      <c r="AH82" s="103"/>
      <c r="AI82" s="102"/>
      <c r="AJ82" s="102"/>
      <c r="AK82" s="102"/>
      <c r="AL82" s="102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</row>
    <row r="83" spans="1:52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102"/>
      <c r="O83" s="102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  <c r="AA83" s="103"/>
      <c r="AB83" s="103"/>
      <c r="AC83" s="103"/>
      <c r="AD83" s="103"/>
      <c r="AE83" s="103"/>
      <c r="AF83" s="103"/>
      <c r="AG83" s="103"/>
      <c r="AH83" s="103"/>
      <c r="AI83" s="102"/>
      <c r="AJ83" s="102"/>
      <c r="AK83" s="102"/>
      <c r="AL83" s="102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</row>
    <row r="84" spans="1:52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102"/>
      <c r="O84" s="102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2"/>
      <c r="AJ84" s="102"/>
      <c r="AK84" s="102"/>
      <c r="AL84" s="102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</row>
    <row r="85" spans="1:52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102"/>
      <c r="O85" s="102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  <c r="AA85" s="103"/>
      <c r="AB85" s="103"/>
      <c r="AC85" s="103"/>
      <c r="AD85" s="103"/>
      <c r="AE85" s="103"/>
      <c r="AF85" s="103"/>
      <c r="AG85" s="103"/>
      <c r="AH85" s="103"/>
      <c r="AI85" s="102"/>
      <c r="AJ85" s="102"/>
      <c r="AK85" s="102"/>
      <c r="AL85" s="102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</row>
    <row r="86" spans="1:52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102"/>
      <c r="O86" s="102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  <c r="AA86" s="103"/>
      <c r="AB86" s="103"/>
      <c r="AC86" s="103"/>
      <c r="AD86" s="103"/>
      <c r="AE86" s="103"/>
      <c r="AF86" s="103"/>
      <c r="AG86" s="103"/>
      <c r="AH86" s="103"/>
      <c r="AI86" s="102"/>
      <c r="AJ86" s="102"/>
      <c r="AK86" s="102"/>
      <c r="AL86" s="102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</row>
    <row r="87" spans="1:52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102"/>
      <c r="O87" s="102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2"/>
      <c r="AJ87" s="102"/>
      <c r="AK87" s="102"/>
      <c r="AL87" s="102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</row>
    <row r="88" spans="1:52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102"/>
      <c r="O88" s="102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  <c r="AA88" s="103"/>
      <c r="AB88" s="103"/>
      <c r="AC88" s="103"/>
      <c r="AD88" s="103"/>
      <c r="AE88" s="103"/>
      <c r="AF88" s="103"/>
      <c r="AG88" s="103"/>
      <c r="AH88" s="103"/>
      <c r="AI88" s="102"/>
      <c r="AJ88" s="102"/>
      <c r="AK88" s="102"/>
      <c r="AL88" s="102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</row>
    <row r="89" spans="1:52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102"/>
      <c r="O89" s="102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  <c r="AA89" s="103"/>
      <c r="AB89" s="103"/>
      <c r="AC89" s="103"/>
      <c r="AD89" s="103"/>
      <c r="AE89" s="103"/>
      <c r="AF89" s="103"/>
      <c r="AG89" s="103"/>
      <c r="AH89" s="103"/>
      <c r="AI89" s="102"/>
      <c r="AJ89" s="102"/>
      <c r="AK89" s="102"/>
      <c r="AL89" s="102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</row>
    <row r="90" spans="1:52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102"/>
      <c r="O90" s="102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2"/>
      <c r="AJ90" s="102"/>
      <c r="AK90" s="102"/>
      <c r="AL90" s="102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</row>
    <row r="91" spans="1:52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102"/>
      <c r="O91" s="102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3"/>
      <c r="AD91" s="103"/>
      <c r="AE91" s="103"/>
      <c r="AF91" s="103"/>
      <c r="AG91" s="103"/>
      <c r="AH91" s="103"/>
      <c r="AI91" s="102"/>
      <c r="AJ91" s="102"/>
      <c r="AK91" s="102"/>
      <c r="AL91" s="102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</row>
    <row r="92" spans="1:5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102"/>
      <c r="O92" s="102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3"/>
      <c r="AD92" s="103"/>
      <c r="AE92" s="103"/>
      <c r="AF92" s="103"/>
      <c r="AG92" s="103"/>
      <c r="AH92" s="103"/>
      <c r="AI92" s="102"/>
      <c r="AJ92" s="102"/>
      <c r="AK92" s="102"/>
      <c r="AL92" s="102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</row>
    <row r="93" spans="1:52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102"/>
      <c r="O93" s="102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3"/>
      <c r="AD93" s="103"/>
      <c r="AE93" s="103"/>
      <c r="AF93" s="103"/>
      <c r="AG93" s="103"/>
      <c r="AH93" s="103"/>
      <c r="AI93" s="102"/>
      <c r="AJ93" s="102"/>
      <c r="AK93" s="102"/>
      <c r="AL93" s="102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</row>
    <row r="94" spans="1:52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102"/>
      <c r="O94" s="102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3"/>
      <c r="AD94" s="103"/>
      <c r="AE94" s="103"/>
      <c r="AF94" s="103"/>
      <c r="AG94" s="103"/>
      <c r="AH94" s="103"/>
      <c r="AI94" s="102"/>
      <c r="AJ94" s="102"/>
      <c r="AK94" s="102"/>
      <c r="AL94" s="102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</row>
    <row r="95" spans="1:52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102"/>
      <c r="O95" s="102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3"/>
      <c r="AD95" s="103"/>
      <c r="AE95" s="103"/>
      <c r="AF95" s="103"/>
      <c r="AG95" s="103"/>
      <c r="AH95" s="103"/>
      <c r="AI95" s="102"/>
      <c r="AJ95" s="102"/>
      <c r="AK95" s="102"/>
      <c r="AL95" s="102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</row>
    <row r="96" spans="1:52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102"/>
      <c r="O96" s="102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3"/>
      <c r="AD96" s="103"/>
      <c r="AE96" s="103"/>
      <c r="AF96" s="103"/>
      <c r="AG96" s="103"/>
      <c r="AH96" s="103"/>
      <c r="AI96" s="102"/>
      <c r="AJ96" s="102"/>
      <c r="AK96" s="102"/>
      <c r="AL96" s="102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</row>
    <row r="97" spans="1:52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102"/>
      <c r="O97" s="102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2"/>
      <c r="AJ97" s="102"/>
      <c r="AK97" s="102"/>
      <c r="AL97" s="102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</row>
    <row r="98" spans="1:52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102"/>
      <c r="O98" s="102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3"/>
      <c r="AD98" s="103"/>
      <c r="AE98" s="103"/>
      <c r="AF98" s="103"/>
      <c r="AG98" s="103"/>
      <c r="AH98" s="103"/>
      <c r="AI98" s="102"/>
      <c r="AJ98" s="102"/>
      <c r="AK98" s="102"/>
      <c r="AL98" s="102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</row>
    <row r="99" spans="1:52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102"/>
      <c r="O99" s="102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3"/>
      <c r="AD99" s="103"/>
      <c r="AE99" s="103"/>
      <c r="AF99" s="103"/>
      <c r="AG99" s="103"/>
      <c r="AH99" s="103"/>
      <c r="AI99" s="102"/>
      <c r="AJ99" s="102"/>
      <c r="AK99" s="102"/>
      <c r="AL99" s="102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</row>
    <row r="100" spans="1:52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102"/>
      <c r="O100" s="102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  <c r="AA100" s="103"/>
      <c r="AB100" s="103"/>
      <c r="AC100" s="103"/>
      <c r="AD100" s="103"/>
      <c r="AE100" s="103"/>
      <c r="AF100" s="103"/>
      <c r="AG100" s="103"/>
      <c r="AH100" s="103"/>
      <c r="AI100" s="102"/>
      <c r="AJ100" s="102"/>
      <c r="AK100" s="102"/>
      <c r="AL100" s="102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</row>
    <row r="101" spans="1:52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102"/>
      <c r="O101" s="102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  <c r="AA101" s="103"/>
      <c r="AB101" s="103"/>
      <c r="AC101" s="103"/>
      <c r="AD101" s="103"/>
      <c r="AE101" s="103"/>
      <c r="AF101" s="103"/>
      <c r="AG101" s="103"/>
      <c r="AH101" s="103"/>
      <c r="AI101" s="102"/>
      <c r="AJ101" s="102"/>
      <c r="AK101" s="102"/>
      <c r="AL101" s="102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</row>
    <row r="102" spans="1:5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102"/>
      <c r="O102" s="102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  <c r="AA102" s="103"/>
      <c r="AB102" s="103"/>
      <c r="AC102" s="103"/>
      <c r="AD102" s="103"/>
      <c r="AE102" s="103"/>
      <c r="AF102" s="103"/>
      <c r="AG102" s="103"/>
      <c r="AH102" s="103"/>
      <c r="AI102" s="102"/>
      <c r="AJ102" s="102"/>
      <c r="AK102" s="102"/>
      <c r="AL102" s="102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</row>
    <row r="103" spans="1:52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102"/>
      <c r="O103" s="102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  <c r="AA103" s="103"/>
      <c r="AB103" s="103"/>
      <c r="AC103" s="103"/>
      <c r="AD103" s="103"/>
      <c r="AE103" s="103"/>
      <c r="AF103" s="103"/>
      <c r="AG103" s="103"/>
      <c r="AH103" s="103"/>
      <c r="AI103" s="102"/>
      <c r="AJ103" s="102"/>
      <c r="AK103" s="102"/>
      <c r="AL103" s="102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</row>
    <row r="104" spans="1:52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102"/>
      <c r="O104" s="102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  <c r="AA104" s="103"/>
      <c r="AB104" s="103"/>
      <c r="AC104" s="103"/>
      <c r="AD104" s="103"/>
      <c r="AE104" s="103"/>
      <c r="AF104" s="103"/>
      <c r="AG104" s="103"/>
      <c r="AH104" s="103"/>
      <c r="AI104" s="102"/>
      <c r="AJ104" s="102"/>
      <c r="AK104" s="102"/>
      <c r="AL104" s="102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</row>
    <row r="105" spans="1:52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102"/>
      <c r="O105" s="102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  <c r="AA105" s="103"/>
      <c r="AB105" s="103"/>
      <c r="AC105" s="103"/>
      <c r="AD105" s="103"/>
      <c r="AE105" s="103"/>
      <c r="AF105" s="103"/>
      <c r="AG105" s="103"/>
      <c r="AH105" s="103"/>
      <c r="AI105" s="102"/>
      <c r="AJ105" s="102"/>
      <c r="AK105" s="102"/>
      <c r="AL105" s="102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</row>
    <row r="106" spans="1:52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102"/>
      <c r="O106" s="102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  <c r="AA106" s="103"/>
      <c r="AB106" s="103"/>
      <c r="AC106" s="103"/>
      <c r="AD106" s="103"/>
      <c r="AE106" s="103"/>
      <c r="AF106" s="103"/>
      <c r="AG106" s="103"/>
      <c r="AH106" s="103"/>
      <c r="AI106" s="102"/>
      <c r="AJ106" s="102"/>
      <c r="AK106" s="102"/>
      <c r="AL106" s="102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</row>
    <row r="107" spans="1:52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102"/>
      <c r="O107" s="102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  <c r="AA107" s="103"/>
      <c r="AB107" s="103"/>
      <c r="AC107" s="103"/>
      <c r="AD107" s="103"/>
      <c r="AE107" s="103"/>
      <c r="AF107" s="103"/>
      <c r="AG107" s="103"/>
      <c r="AH107" s="103"/>
      <c r="AI107" s="102"/>
      <c r="AJ107" s="102"/>
      <c r="AK107" s="102"/>
      <c r="AL107" s="102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</row>
    <row r="108" spans="1:52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102"/>
      <c r="O108" s="102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  <c r="AA108" s="103"/>
      <c r="AB108" s="103"/>
      <c r="AC108" s="103"/>
      <c r="AD108" s="103"/>
      <c r="AE108" s="103"/>
      <c r="AF108" s="103"/>
      <c r="AG108" s="103"/>
      <c r="AH108" s="103"/>
      <c r="AI108" s="102"/>
      <c r="AJ108" s="102"/>
      <c r="AK108" s="102"/>
      <c r="AL108" s="102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</row>
    <row r="109" spans="1:52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102"/>
      <c r="O109" s="102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  <c r="AA109" s="103"/>
      <c r="AB109" s="103"/>
      <c r="AC109" s="103"/>
      <c r="AD109" s="103"/>
      <c r="AE109" s="103"/>
      <c r="AF109" s="103"/>
      <c r="AG109" s="103"/>
      <c r="AH109" s="103"/>
      <c r="AI109" s="102"/>
      <c r="AJ109" s="102"/>
      <c r="AK109" s="102"/>
      <c r="AL109" s="102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</row>
    <row r="110" spans="1:52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102"/>
      <c r="O110" s="102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  <c r="AA110" s="103"/>
      <c r="AB110" s="103"/>
      <c r="AC110" s="103"/>
      <c r="AD110" s="103"/>
      <c r="AE110" s="103"/>
      <c r="AF110" s="103"/>
      <c r="AG110" s="103"/>
      <c r="AH110" s="103"/>
      <c r="AI110" s="102"/>
      <c r="AJ110" s="102"/>
      <c r="AK110" s="102"/>
      <c r="AL110" s="102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</row>
    <row r="111" spans="1:52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102"/>
      <c r="O111" s="102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  <c r="AA111" s="103"/>
      <c r="AB111" s="103"/>
      <c r="AC111" s="103"/>
      <c r="AD111" s="103"/>
      <c r="AE111" s="103"/>
      <c r="AF111" s="103"/>
      <c r="AG111" s="103"/>
      <c r="AH111" s="103"/>
      <c r="AI111" s="102"/>
      <c r="AJ111" s="102"/>
      <c r="AK111" s="102"/>
      <c r="AL111" s="102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</row>
    <row r="112" spans="1:5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102"/>
      <c r="O112" s="102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  <c r="AA112" s="103"/>
      <c r="AB112" s="103"/>
      <c r="AC112" s="103"/>
      <c r="AD112" s="103"/>
      <c r="AE112" s="103"/>
      <c r="AF112" s="103"/>
      <c r="AG112" s="103"/>
      <c r="AH112" s="103"/>
      <c r="AI112" s="102"/>
      <c r="AJ112" s="102"/>
      <c r="AK112" s="102"/>
      <c r="AL112" s="102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</row>
    <row r="113" spans="1:52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102"/>
      <c r="O113" s="102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  <c r="AA113" s="103"/>
      <c r="AB113" s="103"/>
      <c r="AC113" s="103"/>
      <c r="AD113" s="103"/>
      <c r="AE113" s="103"/>
      <c r="AF113" s="103"/>
      <c r="AG113" s="103"/>
      <c r="AH113" s="103"/>
      <c r="AI113" s="102"/>
      <c r="AJ113" s="102"/>
      <c r="AK113" s="102"/>
      <c r="AL113" s="102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</row>
    <row r="114" spans="1:52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102"/>
      <c r="O114" s="102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  <c r="AA114" s="103"/>
      <c r="AB114" s="103"/>
      <c r="AC114" s="103"/>
      <c r="AD114" s="103"/>
      <c r="AE114" s="103"/>
      <c r="AF114" s="103"/>
      <c r="AG114" s="103"/>
      <c r="AH114" s="103"/>
      <c r="AI114" s="102"/>
      <c r="AJ114" s="102"/>
      <c r="AK114" s="102"/>
      <c r="AL114" s="102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</row>
    <row r="115" spans="1:52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102"/>
      <c r="O115" s="102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  <c r="AA115" s="103"/>
      <c r="AB115" s="103"/>
      <c r="AC115" s="103"/>
      <c r="AD115" s="103"/>
      <c r="AE115" s="103"/>
      <c r="AF115" s="103"/>
      <c r="AG115" s="103"/>
      <c r="AH115" s="103"/>
      <c r="AI115" s="102"/>
      <c r="AJ115" s="102"/>
      <c r="AK115" s="102"/>
      <c r="AL115" s="102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</row>
    <row r="116" spans="1:52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102"/>
      <c r="O116" s="102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2"/>
      <c r="AJ116" s="102"/>
      <c r="AK116" s="102"/>
      <c r="AL116" s="102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</row>
    <row r="117" spans="1:52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102"/>
      <c r="O117" s="102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  <c r="AA117" s="103"/>
      <c r="AB117" s="103"/>
      <c r="AC117" s="103"/>
      <c r="AD117" s="103"/>
      <c r="AE117" s="103"/>
      <c r="AF117" s="103"/>
      <c r="AG117" s="103"/>
      <c r="AH117" s="103"/>
      <c r="AI117" s="102"/>
      <c r="AJ117" s="102"/>
      <c r="AK117" s="102"/>
      <c r="AL117" s="102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</row>
    <row r="118" spans="1:52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102"/>
      <c r="O118" s="102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  <c r="AA118" s="103"/>
      <c r="AB118" s="103"/>
      <c r="AC118" s="103"/>
      <c r="AD118" s="103"/>
      <c r="AE118" s="103"/>
      <c r="AF118" s="103"/>
      <c r="AG118" s="103"/>
      <c r="AH118" s="103"/>
      <c r="AI118" s="102"/>
      <c r="AJ118" s="102"/>
      <c r="AK118" s="102"/>
      <c r="AL118" s="102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</row>
    <row r="119" spans="1:52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102"/>
      <c r="O119" s="102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  <c r="AA119" s="103"/>
      <c r="AB119" s="103"/>
      <c r="AC119" s="103"/>
      <c r="AD119" s="103"/>
      <c r="AE119" s="103"/>
      <c r="AF119" s="103"/>
      <c r="AG119" s="103"/>
      <c r="AH119" s="103"/>
      <c r="AI119" s="102"/>
      <c r="AJ119" s="102"/>
      <c r="AK119" s="102"/>
      <c r="AL119" s="102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</row>
    <row r="120" spans="1:52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102"/>
      <c r="O120" s="102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  <c r="AA120" s="103"/>
      <c r="AB120" s="103"/>
      <c r="AC120" s="103"/>
      <c r="AD120" s="103"/>
      <c r="AE120" s="103"/>
      <c r="AF120" s="103"/>
      <c r="AG120" s="103"/>
      <c r="AH120" s="103"/>
      <c r="AI120" s="102"/>
      <c r="AJ120" s="102"/>
      <c r="AK120" s="102"/>
      <c r="AL120" s="102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</row>
    <row r="121" spans="1:52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102"/>
      <c r="O121" s="102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  <c r="AA121" s="103"/>
      <c r="AB121" s="103"/>
      <c r="AC121" s="103"/>
      <c r="AD121" s="103"/>
      <c r="AE121" s="103"/>
      <c r="AF121" s="103"/>
      <c r="AG121" s="103"/>
      <c r="AH121" s="103"/>
      <c r="AI121" s="102"/>
      <c r="AJ121" s="102"/>
      <c r="AK121" s="102"/>
      <c r="AL121" s="102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</row>
    <row r="122" spans="1:5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102"/>
      <c r="O122" s="102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  <c r="AA122" s="103"/>
      <c r="AB122" s="103"/>
      <c r="AC122" s="103"/>
      <c r="AD122" s="103"/>
      <c r="AE122" s="103"/>
      <c r="AF122" s="103"/>
      <c r="AG122" s="103"/>
      <c r="AH122" s="103"/>
      <c r="AI122" s="102"/>
      <c r="AJ122" s="102"/>
      <c r="AK122" s="102"/>
      <c r="AL122" s="102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</row>
    <row r="123" spans="1:52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102"/>
      <c r="O123" s="102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  <c r="AA123" s="103"/>
      <c r="AB123" s="103"/>
      <c r="AC123" s="103"/>
      <c r="AD123" s="103"/>
      <c r="AE123" s="103"/>
      <c r="AF123" s="103"/>
      <c r="AG123" s="103"/>
      <c r="AH123" s="103"/>
      <c r="AI123" s="102"/>
      <c r="AJ123" s="102"/>
      <c r="AK123" s="102"/>
      <c r="AL123" s="102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</row>
    <row r="124" spans="1:52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102"/>
      <c r="O124" s="102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  <c r="AA124" s="103"/>
      <c r="AB124" s="103"/>
      <c r="AC124" s="103"/>
      <c r="AD124" s="103"/>
      <c r="AE124" s="103"/>
      <c r="AF124" s="103"/>
      <c r="AG124" s="103"/>
      <c r="AH124" s="103"/>
      <c r="AI124" s="102"/>
      <c r="AJ124" s="102"/>
      <c r="AK124" s="102"/>
      <c r="AL124" s="102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</row>
    <row r="125" spans="1:52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102"/>
      <c r="O125" s="102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  <c r="AA125" s="103"/>
      <c r="AB125" s="103"/>
      <c r="AC125" s="103"/>
      <c r="AD125" s="103"/>
      <c r="AE125" s="103"/>
      <c r="AF125" s="103"/>
      <c r="AG125" s="103"/>
      <c r="AH125" s="103"/>
      <c r="AI125" s="102"/>
      <c r="AJ125" s="102"/>
      <c r="AK125" s="102"/>
      <c r="AL125" s="102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</row>
    <row r="126" spans="1:52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102"/>
      <c r="O126" s="102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  <c r="AA126" s="103"/>
      <c r="AB126" s="103"/>
      <c r="AC126" s="103"/>
      <c r="AD126" s="103"/>
      <c r="AE126" s="103"/>
      <c r="AF126" s="103"/>
      <c r="AG126" s="103"/>
      <c r="AH126" s="103"/>
      <c r="AI126" s="102"/>
      <c r="AJ126" s="102"/>
      <c r="AK126" s="102"/>
      <c r="AL126" s="102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</row>
    <row r="127" spans="1:52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102"/>
      <c r="O127" s="102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  <c r="AA127" s="103"/>
      <c r="AB127" s="103"/>
      <c r="AC127" s="103"/>
      <c r="AD127" s="103"/>
      <c r="AE127" s="103"/>
      <c r="AF127" s="103"/>
      <c r="AG127" s="103"/>
      <c r="AH127" s="103"/>
      <c r="AI127" s="102"/>
      <c r="AJ127" s="102"/>
      <c r="AK127" s="102"/>
      <c r="AL127" s="102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</row>
    <row r="128" spans="1:52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102"/>
      <c r="O128" s="102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2"/>
      <c r="AJ128" s="102"/>
      <c r="AK128" s="102"/>
      <c r="AL128" s="102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</row>
    <row r="129" spans="1:52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102"/>
      <c r="O129" s="102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  <c r="AA129" s="103"/>
      <c r="AB129" s="103"/>
      <c r="AC129" s="103"/>
      <c r="AD129" s="103"/>
      <c r="AE129" s="103"/>
      <c r="AF129" s="103"/>
      <c r="AG129" s="103"/>
      <c r="AH129" s="103"/>
      <c r="AI129" s="102"/>
      <c r="AJ129" s="102"/>
      <c r="AK129" s="102"/>
      <c r="AL129" s="102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</row>
    <row r="130" spans="1:52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102"/>
      <c r="O130" s="102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  <c r="AA130" s="103"/>
      <c r="AB130" s="103"/>
      <c r="AC130" s="103"/>
      <c r="AD130" s="103"/>
      <c r="AE130" s="103"/>
      <c r="AF130" s="103"/>
      <c r="AG130" s="103"/>
      <c r="AH130" s="103"/>
      <c r="AI130" s="102"/>
      <c r="AJ130" s="102"/>
      <c r="AK130" s="102"/>
      <c r="AL130" s="102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</row>
    <row r="131" spans="1:52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102"/>
      <c r="O131" s="102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  <c r="AA131" s="103"/>
      <c r="AB131" s="103"/>
      <c r="AC131" s="103"/>
      <c r="AD131" s="103"/>
      <c r="AE131" s="103"/>
      <c r="AF131" s="103"/>
      <c r="AG131" s="103"/>
      <c r="AH131" s="103"/>
      <c r="AI131" s="102"/>
      <c r="AJ131" s="102"/>
      <c r="AK131" s="102"/>
      <c r="AL131" s="102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</row>
    <row r="132" spans="1:5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102"/>
      <c r="O132" s="102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  <c r="AA132" s="103"/>
      <c r="AB132" s="103"/>
      <c r="AC132" s="103"/>
      <c r="AD132" s="103"/>
      <c r="AE132" s="103"/>
      <c r="AF132" s="103"/>
      <c r="AG132" s="103"/>
      <c r="AH132" s="103"/>
      <c r="AI132" s="102"/>
      <c r="AJ132" s="102"/>
      <c r="AK132" s="102"/>
      <c r="AL132" s="102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</row>
    <row r="133" spans="1:52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102"/>
      <c r="O133" s="102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  <c r="AA133" s="103"/>
      <c r="AB133" s="103"/>
      <c r="AC133" s="103"/>
      <c r="AD133" s="103"/>
      <c r="AE133" s="103"/>
      <c r="AF133" s="103"/>
      <c r="AG133" s="103"/>
      <c r="AH133" s="103"/>
      <c r="AI133" s="102"/>
      <c r="AJ133" s="102"/>
      <c r="AK133" s="102"/>
      <c r="AL133" s="102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</row>
    <row r="134" spans="1:52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102"/>
      <c r="O134" s="102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2"/>
      <c r="AJ134" s="102"/>
      <c r="AK134" s="102"/>
      <c r="AL134" s="102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</row>
    <row r="135" spans="1:52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102"/>
      <c r="O135" s="102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  <c r="AA135" s="103"/>
      <c r="AB135" s="103"/>
      <c r="AC135" s="103"/>
      <c r="AD135" s="103"/>
      <c r="AE135" s="103"/>
      <c r="AF135" s="103"/>
      <c r="AG135" s="103"/>
      <c r="AH135" s="103"/>
      <c r="AI135" s="102"/>
      <c r="AJ135" s="102"/>
      <c r="AK135" s="102"/>
      <c r="AL135" s="102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</row>
    <row r="136" spans="1:52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102"/>
      <c r="O136" s="102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  <c r="AA136" s="103"/>
      <c r="AB136" s="103"/>
      <c r="AC136" s="103"/>
      <c r="AD136" s="103"/>
      <c r="AE136" s="103"/>
      <c r="AF136" s="103"/>
      <c r="AG136" s="103"/>
      <c r="AH136" s="103"/>
      <c r="AI136" s="102"/>
      <c r="AJ136" s="102"/>
      <c r="AK136" s="102"/>
      <c r="AL136" s="102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</row>
    <row r="137" spans="1:52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102"/>
      <c r="O137" s="102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  <c r="AA137" s="103"/>
      <c r="AB137" s="103"/>
      <c r="AC137" s="103"/>
      <c r="AD137" s="103"/>
      <c r="AE137" s="103"/>
      <c r="AF137" s="103"/>
      <c r="AG137" s="103"/>
      <c r="AH137" s="103"/>
      <c r="AI137" s="102"/>
      <c r="AJ137" s="102"/>
      <c r="AK137" s="102"/>
      <c r="AL137" s="102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</row>
    <row r="138" spans="1:52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102"/>
      <c r="O138" s="102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2"/>
      <c r="AJ138" s="102"/>
      <c r="AK138" s="102"/>
      <c r="AL138" s="102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</row>
    <row r="139" spans="1:52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102"/>
      <c r="O139" s="102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  <c r="AA139" s="103"/>
      <c r="AB139" s="103"/>
      <c r="AC139" s="103"/>
      <c r="AD139" s="103"/>
      <c r="AE139" s="103"/>
      <c r="AF139" s="103"/>
      <c r="AG139" s="103"/>
      <c r="AH139" s="103"/>
      <c r="AI139" s="102"/>
      <c r="AJ139" s="102"/>
      <c r="AK139" s="102"/>
      <c r="AL139" s="102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</row>
    <row r="140" spans="1:52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102"/>
      <c r="O140" s="102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  <c r="AA140" s="103"/>
      <c r="AB140" s="103"/>
      <c r="AC140" s="103"/>
      <c r="AD140" s="103"/>
      <c r="AE140" s="103"/>
      <c r="AF140" s="103"/>
      <c r="AG140" s="103"/>
      <c r="AH140" s="103"/>
      <c r="AI140" s="102"/>
      <c r="AJ140" s="102"/>
      <c r="AK140" s="102"/>
      <c r="AL140" s="102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</row>
    <row r="141" spans="1:52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102"/>
      <c r="O141" s="102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  <c r="AA141" s="103"/>
      <c r="AB141" s="103"/>
      <c r="AC141" s="103"/>
      <c r="AD141" s="103"/>
      <c r="AE141" s="103"/>
      <c r="AF141" s="103"/>
      <c r="AG141" s="103"/>
      <c r="AH141" s="103"/>
      <c r="AI141" s="102"/>
      <c r="AJ141" s="102"/>
      <c r="AK141" s="102"/>
      <c r="AL141" s="102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</row>
    <row r="142" spans="1:5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102"/>
      <c r="O142" s="102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  <c r="AA142" s="103"/>
      <c r="AB142" s="103"/>
      <c r="AC142" s="103"/>
      <c r="AD142" s="103"/>
      <c r="AE142" s="103"/>
      <c r="AF142" s="103"/>
      <c r="AG142" s="103"/>
      <c r="AH142" s="103"/>
      <c r="AI142" s="102"/>
      <c r="AJ142" s="102"/>
      <c r="AK142" s="102"/>
      <c r="AL142" s="102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</row>
    <row r="143" spans="1:52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102"/>
      <c r="O143" s="102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  <c r="AA143" s="103"/>
      <c r="AB143" s="103"/>
      <c r="AC143" s="103"/>
      <c r="AD143" s="103"/>
      <c r="AE143" s="103"/>
      <c r="AF143" s="103"/>
      <c r="AG143" s="103"/>
      <c r="AH143" s="103"/>
      <c r="AI143" s="102"/>
      <c r="AJ143" s="102"/>
      <c r="AK143" s="102"/>
      <c r="AL143" s="102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</row>
    <row r="144" spans="1:52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102"/>
      <c r="O144" s="102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  <c r="AA144" s="103"/>
      <c r="AB144" s="103"/>
      <c r="AC144" s="103"/>
      <c r="AD144" s="103"/>
      <c r="AE144" s="103"/>
      <c r="AF144" s="103"/>
      <c r="AG144" s="103"/>
      <c r="AH144" s="103"/>
      <c r="AI144" s="102"/>
      <c r="AJ144" s="102"/>
      <c r="AK144" s="102"/>
      <c r="AL144" s="102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</row>
    <row r="145" spans="1:52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102"/>
      <c r="O145" s="102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  <c r="AA145" s="103"/>
      <c r="AB145" s="103"/>
      <c r="AC145" s="103"/>
      <c r="AD145" s="103"/>
      <c r="AE145" s="103"/>
      <c r="AF145" s="103"/>
      <c r="AG145" s="103"/>
      <c r="AH145" s="103"/>
      <c r="AI145" s="102"/>
      <c r="AJ145" s="102"/>
      <c r="AK145" s="102"/>
      <c r="AL145" s="102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</row>
    <row r="146" spans="1:52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102"/>
      <c r="O146" s="102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  <c r="AA146" s="103"/>
      <c r="AB146" s="103"/>
      <c r="AC146" s="103"/>
      <c r="AD146" s="103"/>
      <c r="AE146" s="103"/>
      <c r="AF146" s="103"/>
      <c r="AG146" s="103"/>
      <c r="AH146" s="103"/>
      <c r="AI146" s="102"/>
      <c r="AJ146" s="102"/>
      <c r="AK146" s="102"/>
      <c r="AL146" s="102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</row>
    <row r="147" spans="1:52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102"/>
      <c r="O147" s="102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  <c r="AA147" s="103"/>
      <c r="AB147" s="103"/>
      <c r="AC147" s="103"/>
      <c r="AD147" s="103"/>
      <c r="AE147" s="103"/>
      <c r="AF147" s="103"/>
      <c r="AG147" s="103"/>
      <c r="AH147" s="103"/>
      <c r="AI147" s="102"/>
      <c r="AJ147" s="102"/>
      <c r="AK147" s="102"/>
      <c r="AL147" s="102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</row>
    <row r="148" spans="1:52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102"/>
      <c r="O148" s="102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3"/>
      <c r="AC148" s="103"/>
      <c r="AD148" s="103"/>
      <c r="AE148" s="103"/>
      <c r="AF148" s="103"/>
      <c r="AG148" s="103"/>
      <c r="AH148" s="103"/>
      <c r="AI148" s="102"/>
      <c r="AJ148" s="102"/>
      <c r="AK148" s="102"/>
      <c r="AL148" s="102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</row>
    <row r="149" spans="1:52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102"/>
      <c r="O149" s="102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  <c r="AA149" s="103"/>
      <c r="AB149" s="103"/>
      <c r="AC149" s="103"/>
      <c r="AD149" s="103"/>
      <c r="AE149" s="103"/>
      <c r="AF149" s="103"/>
      <c r="AG149" s="103"/>
      <c r="AH149" s="103"/>
      <c r="AI149" s="102"/>
      <c r="AJ149" s="102"/>
      <c r="AK149" s="102"/>
      <c r="AL149" s="102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</row>
    <row r="150" spans="1:52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102"/>
      <c r="O150" s="102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  <c r="AA150" s="103"/>
      <c r="AB150" s="103"/>
      <c r="AC150" s="103"/>
      <c r="AD150" s="103"/>
      <c r="AE150" s="103"/>
      <c r="AF150" s="103"/>
      <c r="AG150" s="103"/>
      <c r="AH150" s="103"/>
      <c r="AI150" s="102"/>
      <c r="AJ150" s="102"/>
      <c r="AK150" s="102"/>
      <c r="AL150" s="102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</row>
    <row r="151" spans="1:52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102"/>
      <c r="O151" s="102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  <c r="AA151" s="103"/>
      <c r="AB151" s="103"/>
      <c r="AC151" s="103"/>
      <c r="AD151" s="103"/>
      <c r="AE151" s="103"/>
      <c r="AF151" s="103"/>
      <c r="AG151" s="103"/>
      <c r="AH151" s="103"/>
      <c r="AI151" s="102"/>
      <c r="AJ151" s="102"/>
      <c r="AK151" s="102"/>
      <c r="AL151" s="102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</row>
    <row r="152" spans="1: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102"/>
      <c r="O152" s="102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  <c r="AA152" s="103"/>
      <c r="AB152" s="103"/>
      <c r="AC152" s="103"/>
      <c r="AD152" s="103"/>
      <c r="AE152" s="103"/>
      <c r="AF152" s="103"/>
      <c r="AG152" s="103"/>
      <c r="AH152" s="103"/>
      <c r="AI152" s="102"/>
      <c r="AJ152" s="102"/>
      <c r="AK152" s="102"/>
      <c r="AL152" s="102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</row>
    <row r="153" spans="1:52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102"/>
      <c r="O153" s="102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  <c r="AA153" s="103"/>
      <c r="AB153" s="103"/>
      <c r="AC153" s="103"/>
      <c r="AD153" s="103"/>
      <c r="AE153" s="103"/>
      <c r="AF153" s="103"/>
      <c r="AG153" s="103"/>
      <c r="AH153" s="103"/>
      <c r="AI153" s="102"/>
      <c r="AJ153" s="102"/>
      <c r="AK153" s="102"/>
      <c r="AL153" s="102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</row>
    <row r="154" spans="1:52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102"/>
      <c r="O154" s="102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  <c r="AA154" s="103"/>
      <c r="AB154" s="103"/>
      <c r="AC154" s="103"/>
      <c r="AD154" s="103"/>
      <c r="AE154" s="103"/>
      <c r="AF154" s="103"/>
      <c r="AG154" s="103"/>
      <c r="AH154" s="103"/>
      <c r="AI154" s="102"/>
      <c r="AJ154" s="102"/>
      <c r="AK154" s="102"/>
      <c r="AL154" s="102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</row>
    <row r="155" spans="1:52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102"/>
      <c r="O155" s="102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  <c r="AA155" s="103"/>
      <c r="AB155" s="103"/>
      <c r="AC155" s="103"/>
      <c r="AD155" s="103"/>
      <c r="AE155" s="103"/>
      <c r="AF155" s="103"/>
      <c r="AG155" s="103"/>
      <c r="AH155" s="103"/>
      <c r="AI155" s="102"/>
      <c r="AJ155" s="102"/>
      <c r="AK155" s="102"/>
      <c r="AL155" s="102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</row>
    <row r="156" spans="1:52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102"/>
      <c r="O156" s="102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  <c r="AA156" s="103"/>
      <c r="AB156" s="103"/>
      <c r="AC156" s="103"/>
      <c r="AD156" s="103"/>
      <c r="AE156" s="103"/>
      <c r="AF156" s="103"/>
      <c r="AG156" s="103"/>
      <c r="AH156" s="103"/>
      <c r="AI156" s="102"/>
      <c r="AJ156" s="102"/>
      <c r="AK156" s="102"/>
      <c r="AL156" s="102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</row>
    <row r="157" spans="1:52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102"/>
      <c r="O157" s="102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2"/>
      <c r="AJ157" s="102"/>
      <c r="AK157" s="102"/>
      <c r="AL157" s="102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</row>
    <row r="158" spans="1:52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102"/>
      <c r="O158" s="102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  <c r="AA158" s="103"/>
      <c r="AB158" s="103"/>
      <c r="AC158" s="103"/>
      <c r="AD158" s="103"/>
      <c r="AE158" s="103"/>
      <c r="AF158" s="103"/>
      <c r="AG158" s="103"/>
      <c r="AH158" s="103"/>
      <c r="AI158" s="102"/>
      <c r="AJ158" s="102"/>
      <c r="AK158" s="102"/>
      <c r="AL158" s="102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</row>
    <row r="159" spans="1:52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102"/>
      <c r="O159" s="102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  <c r="AA159" s="103"/>
      <c r="AB159" s="103"/>
      <c r="AC159" s="103"/>
      <c r="AD159" s="103"/>
      <c r="AE159" s="103"/>
      <c r="AF159" s="103"/>
      <c r="AG159" s="103"/>
      <c r="AH159" s="103"/>
      <c r="AI159" s="102"/>
      <c r="AJ159" s="102"/>
      <c r="AK159" s="102"/>
      <c r="AL159" s="102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</row>
    <row r="160" spans="1:52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102"/>
      <c r="O160" s="102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  <c r="AA160" s="103"/>
      <c r="AB160" s="103"/>
      <c r="AC160" s="103"/>
      <c r="AD160" s="103"/>
      <c r="AE160" s="103"/>
      <c r="AF160" s="103"/>
      <c r="AG160" s="103"/>
      <c r="AH160" s="103"/>
      <c r="AI160" s="102"/>
      <c r="AJ160" s="102"/>
      <c r="AK160" s="102"/>
      <c r="AL160" s="102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</row>
    <row r="161" spans="1:52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102"/>
      <c r="O161" s="102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  <c r="AA161" s="103"/>
      <c r="AB161" s="103"/>
      <c r="AC161" s="103"/>
      <c r="AD161" s="103"/>
      <c r="AE161" s="103"/>
      <c r="AF161" s="103"/>
      <c r="AG161" s="103"/>
      <c r="AH161" s="103"/>
      <c r="AI161" s="102"/>
      <c r="AJ161" s="102"/>
      <c r="AK161" s="102"/>
      <c r="AL161" s="102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</row>
    <row r="162" spans="1:5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102"/>
      <c r="O162" s="102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  <c r="AA162" s="103"/>
      <c r="AB162" s="103"/>
      <c r="AC162" s="103"/>
      <c r="AD162" s="103"/>
      <c r="AE162" s="103"/>
      <c r="AF162" s="103"/>
      <c r="AG162" s="103"/>
      <c r="AH162" s="103"/>
      <c r="AI162" s="102"/>
      <c r="AJ162" s="102"/>
      <c r="AK162" s="102"/>
      <c r="AL162" s="102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</row>
    <row r="163" spans="1:52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102"/>
      <c r="O163" s="102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  <c r="AA163" s="103"/>
      <c r="AB163" s="103"/>
      <c r="AC163" s="103"/>
      <c r="AD163" s="103"/>
      <c r="AE163" s="103"/>
      <c r="AF163" s="103"/>
      <c r="AG163" s="103"/>
      <c r="AH163" s="103"/>
      <c r="AI163" s="102"/>
      <c r="AJ163" s="102"/>
      <c r="AK163" s="102"/>
      <c r="AL163" s="102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</row>
    <row r="164" spans="1:52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102"/>
      <c r="O164" s="102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2"/>
      <c r="AJ164" s="102"/>
      <c r="AK164" s="102"/>
      <c r="AL164" s="102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</row>
    <row r="165" spans="1:52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102"/>
      <c r="O165" s="102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  <c r="AA165" s="103"/>
      <c r="AB165" s="103"/>
      <c r="AC165" s="103"/>
      <c r="AD165" s="103"/>
      <c r="AE165" s="103"/>
      <c r="AF165" s="103"/>
      <c r="AG165" s="103"/>
      <c r="AH165" s="103"/>
      <c r="AI165" s="102"/>
      <c r="AJ165" s="102"/>
      <c r="AK165" s="102"/>
      <c r="AL165" s="102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</row>
    <row r="166" spans="1:52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102"/>
      <c r="O166" s="102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2"/>
      <c r="AJ166" s="102"/>
      <c r="AK166" s="102"/>
      <c r="AL166" s="102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</row>
    <row r="167" spans="1:52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102"/>
      <c r="O167" s="102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2"/>
      <c r="AJ167" s="102"/>
      <c r="AK167" s="102"/>
      <c r="AL167" s="102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</row>
    <row r="168" spans="1:52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102"/>
      <c r="O168" s="102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2"/>
      <c r="AJ168" s="102"/>
      <c r="AK168" s="102"/>
      <c r="AL168" s="102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</row>
    <row r="169" spans="1:52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102"/>
      <c r="O169" s="102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  <c r="AA169" s="103"/>
      <c r="AB169" s="103"/>
      <c r="AC169" s="103"/>
      <c r="AD169" s="103"/>
      <c r="AE169" s="103"/>
      <c r="AF169" s="103"/>
      <c r="AG169" s="103"/>
      <c r="AH169" s="103"/>
      <c r="AI169" s="102"/>
      <c r="AJ169" s="102"/>
      <c r="AK169" s="102"/>
      <c r="AL169" s="102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</row>
    <row r="170" spans="1:52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102"/>
      <c r="O170" s="102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  <c r="AA170" s="103"/>
      <c r="AB170" s="103"/>
      <c r="AC170" s="103"/>
      <c r="AD170" s="103"/>
      <c r="AE170" s="103"/>
      <c r="AF170" s="103"/>
      <c r="AG170" s="103"/>
      <c r="AH170" s="103"/>
      <c r="AI170" s="102"/>
      <c r="AJ170" s="102"/>
      <c r="AK170" s="102"/>
      <c r="AL170" s="102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</row>
    <row r="171" spans="1:52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102"/>
      <c r="O171" s="102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  <c r="AA171" s="103"/>
      <c r="AB171" s="103"/>
      <c r="AC171" s="103"/>
      <c r="AD171" s="103"/>
      <c r="AE171" s="103"/>
      <c r="AF171" s="103"/>
      <c r="AG171" s="103"/>
      <c r="AH171" s="103"/>
      <c r="AI171" s="102"/>
      <c r="AJ171" s="102"/>
      <c r="AK171" s="102"/>
      <c r="AL171" s="102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</row>
    <row r="172" spans="1:5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102"/>
      <c r="O172" s="102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  <c r="AA172" s="103"/>
      <c r="AB172" s="103"/>
      <c r="AC172" s="103"/>
      <c r="AD172" s="103"/>
      <c r="AE172" s="103"/>
      <c r="AF172" s="103"/>
      <c r="AG172" s="103"/>
      <c r="AH172" s="103"/>
      <c r="AI172" s="102"/>
      <c r="AJ172" s="102"/>
      <c r="AK172" s="102"/>
      <c r="AL172" s="102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</row>
    <row r="173" spans="1:52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102"/>
      <c r="O173" s="102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  <c r="AA173" s="103"/>
      <c r="AB173" s="103"/>
      <c r="AC173" s="103"/>
      <c r="AD173" s="103"/>
      <c r="AE173" s="103"/>
      <c r="AF173" s="103"/>
      <c r="AG173" s="103"/>
      <c r="AH173" s="103"/>
      <c r="AI173" s="102"/>
      <c r="AJ173" s="102"/>
      <c r="AK173" s="102"/>
      <c r="AL173" s="102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</row>
    <row r="174" spans="1:52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102"/>
      <c r="O174" s="102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  <c r="AA174" s="103"/>
      <c r="AB174" s="103"/>
      <c r="AC174" s="103"/>
      <c r="AD174" s="103"/>
      <c r="AE174" s="103"/>
      <c r="AF174" s="103"/>
      <c r="AG174" s="103"/>
      <c r="AH174" s="103"/>
      <c r="AI174" s="102"/>
      <c r="AJ174" s="102"/>
      <c r="AK174" s="102"/>
      <c r="AL174" s="102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</row>
    <row r="175" spans="1:52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102"/>
      <c r="O175" s="102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  <c r="AA175" s="103"/>
      <c r="AB175" s="103"/>
      <c r="AC175" s="103"/>
      <c r="AD175" s="103"/>
      <c r="AE175" s="103"/>
      <c r="AF175" s="103"/>
      <c r="AG175" s="103"/>
      <c r="AH175" s="103"/>
      <c r="AI175" s="102"/>
      <c r="AJ175" s="102"/>
      <c r="AK175" s="102"/>
      <c r="AL175" s="102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</row>
    <row r="176" spans="1:52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102"/>
      <c r="O176" s="102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  <c r="AA176" s="103"/>
      <c r="AB176" s="103"/>
      <c r="AC176" s="103"/>
      <c r="AD176" s="103"/>
      <c r="AE176" s="103"/>
      <c r="AF176" s="103"/>
      <c r="AG176" s="103"/>
      <c r="AH176" s="103"/>
      <c r="AI176" s="102"/>
      <c r="AJ176" s="102"/>
      <c r="AK176" s="102"/>
      <c r="AL176" s="102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</row>
    <row r="177" spans="1:52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102"/>
      <c r="O177" s="102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  <c r="AA177" s="103"/>
      <c r="AB177" s="103"/>
      <c r="AC177" s="103"/>
      <c r="AD177" s="103"/>
      <c r="AE177" s="103"/>
      <c r="AF177" s="103"/>
      <c r="AG177" s="103"/>
      <c r="AH177" s="103"/>
      <c r="AI177" s="102"/>
      <c r="AJ177" s="102"/>
      <c r="AK177" s="102"/>
      <c r="AL177" s="102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</row>
    <row r="178" spans="1:52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102"/>
      <c r="O178" s="102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  <c r="AA178" s="103"/>
      <c r="AB178" s="103"/>
      <c r="AC178" s="103"/>
      <c r="AD178" s="103"/>
      <c r="AE178" s="103"/>
      <c r="AF178" s="103"/>
      <c r="AG178" s="103"/>
      <c r="AH178" s="103"/>
      <c r="AI178" s="102"/>
      <c r="AJ178" s="102"/>
      <c r="AK178" s="102"/>
      <c r="AL178" s="102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</row>
    <row r="179" spans="1:52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102"/>
      <c r="O179" s="102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  <c r="AA179" s="103"/>
      <c r="AB179" s="103"/>
      <c r="AC179" s="103"/>
      <c r="AD179" s="103"/>
      <c r="AE179" s="103"/>
      <c r="AF179" s="103"/>
      <c r="AG179" s="103"/>
      <c r="AH179" s="103"/>
      <c r="AI179" s="102"/>
      <c r="AJ179" s="102"/>
      <c r="AK179" s="102"/>
      <c r="AL179" s="102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</row>
    <row r="180" spans="1:52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102"/>
      <c r="O180" s="102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  <c r="AA180" s="103"/>
      <c r="AB180" s="103"/>
      <c r="AC180" s="103"/>
      <c r="AD180" s="103"/>
      <c r="AE180" s="103"/>
      <c r="AF180" s="103"/>
      <c r="AG180" s="103"/>
      <c r="AH180" s="103"/>
      <c r="AI180" s="102"/>
      <c r="AJ180" s="102"/>
      <c r="AK180" s="102"/>
      <c r="AL180" s="102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</row>
    <row r="181" spans="1:52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102"/>
      <c r="O181" s="102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2"/>
      <c r="AJ181" s="102"/>
      <c r="AK181" s="102"/>
      <c r="AL181" s="102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</row>
    <row r="182" spans="1:5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102"/>
      <c r="O182" s="102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  <c r="AA182" s="103"/>
      <c r="AB182" s="103"/>
      <c r="AC182" s="103"/>
      <c r="AD182" s="103"/>
      <c r="AE182" s="103"/>
      <c r="AF182" s="103"/>
      <c r="AG182" s="103"/>
      <c r="AH182" s="103"/>
      <c r="AI182" s="102"/>
      <c r="AJ182" s="102"/>
      <c r="AK182" s="102"/>
      <c r="AL182" s="102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</row>
    <row r="183" spans="1:52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102"/>
      <c r="O183" s="102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  <c r="AA183" s="103"/>
      <c r="AB183" s="103"/>
      <c r="AC183" s="103"/>
      <c r="AD183" s="103"/>
      <c r="AE183" s="103"/>
      <c r="AF183" s="103"/>
      <c r="AG183" s="103"/>
      <c r="AH183" s="103"/>
      <c r="AI183" s="102"/>
      <c r="AJ183" s="102"/>
      <c r="AK183" s="102"/>
      <c r="AL183" s="102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</row>
    <row r="184" spans="1:52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102"/>
      <c r="O184" s="102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  <c r="AA184" s="103"/>
      <c r="AB184" s="103"/>
      <c r="AC184" s="103"/>
      <c r="AD184" s="103"/>
      <c r="AE184" s="103"/>
      <c r="AF184" s="103"/>
      <c r="AG184" s="103"/>
      <c r="AH184" s="103"/>
      <c r="AI184" s="102"/>
      <c r="AJ184" s="102"/>
      <c r="AK184" s="102"/>
      <c r="AL184" s="102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</row>
    <row r="185" spans="1:52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102"/>
      <c r="O185" s="102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  <c r="AA185" s="103"/>
      <c r="AB185" s="103"/>
      <c r="AC185" s="103"/>
      <c r="AD185" s="103"/>
      <c r="AE185" s="103"/>
      <c r="AF185" s="103"/>
      <c r="AG185" s="103"/>
      <c r="AH185" s="103"/>
      <c r="AI185" s="102"/>
      <c r="AJ185" s="102"/>
      <c r="AK185" s="102"/>
      <c r="AL185" s="102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</row>
    <row r="186" spans="1:52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102"/>
      <c r="O186" s="102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  <c r="AA186" s="103"/>
      <c r="AB186" s="103"/>
      <c r="AC186" s="103"/>
      <c r="AD186" s="103"/>
      <c r="AE186" s="103"/>
      <c r="AF186" s="103"/>
      <c r="AG186" s="103"/>
      <c r="AH186" s="103"/>
      <c r="AI186" s="102"/>
      <c r="AJ186" s="102"/>
      <c r="AK186" s="102"/>
      <c r="AL186" s="102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</row>
    <row r="187" spans="1:52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102"/>
      <c r="O187" s="102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  <c r="AA187" s="103"/>
      <c r="AB187" s="103"/>
      <c r="AC187" s="103"/>
      <c r="AD187" s="103"/>
      <c r="AE187" s="103"/>
      <c r="AF187" s="103"/>
      <c r="AG187" s="103"/>
      <c r="AH187" s="103"/>
      <c r="AI187" s="102"/>
      <c r="AJ187" s="102"/>
      <c r="AK187" s="102"/>
      <c r="AL187" s="102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</row>
    <row r="188" spans="1:52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102"/>
      <c r="O188" s="102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  <c r="AA188" s="103"/>
      <c r="AB188" s="103"/>
      <c r="AC188" s="103"/>
      <c r="AD188" s="103"/>
      <c r="AE188" s="103"/>
      <c r="AF188" s="103"/>
      <c r="AG188" s="103"/>
      <c r="AH188" s="103"/>
      <c r="AI188" s="102"/>
      <c r="AJ188" s="102"/>
      <c r="AK188" s="102"/>
      <c r="AL188" s="102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</row>
    <row r="189" spans="1:52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102"/>
      <c r="O189" s="102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  <c r="AA189" s="103"/>
      <c r="AB189" s="103"/>
      <c r="AC189" s="103"/>
      <c r="AD189" s="103"/>
      <c r="AE189" s="103"/>
      <c r="AF189" s="103"/>
      <c r="AG189" s="103"/>
      <c r="AH189" s="103"/>
      <c r="AI189" s="102"/>
      <c r="AJ189" s="102"/>
      <c r="AK189" s="102"/>
      <c r="AL189" s="102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</row>
    <row r="190" spans="1:52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102"/>
      <c r="O190" s="102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  <c r="AA190" s="103"/>
      <c r="AB190" s="103"/>
      <c r="AC190" s="103"/>
      <c r="AD190" s="103"/>
      <c r="AE190" s="103"/>
      <c r="AF190" s="103"/>
      <c r="AG190" s="103"/>
      <c r="AH190" s="103"/>
      <c r="AI190" s="102"/>
      <c r="AJ190" s="102"/>
      <c r="AK190" s="102"/>
      <c r="AL190" s="102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</row>
    <row r="191" spans="1:52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102"/>
      <c r="O191" s="102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  <c r="AA191" s="103"/>
      <c r="AB191" s="103"/>
      <c r="AC191" s="103"/>
      <c r="AD191" s="103"/>
      <c r="AE191" s="103"/>
      <c r="AF191" s="103"/>
      <c r="AG191" s="103"/>
      <c r="AH191" s="103"/>
      <c r="AI191" s="102"/>
      <c r="AJ191" s="102"/>
      <c r="AK191" s="102"/>
      <c r="AL191" s="102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</row>
    <row r="192" spans="1:5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102"/>
      <c r="O192" s="102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  <c r="AA192" s="103"/>
      <c r="AB192" s="103"/>
      <c r="AC192" s="103"/>
      <c r="AD192" s="103"/>
      <c r="AE192" s="103"/>
      <c r="AF192" s="103"/>
      <c r="AG192" s="103"/>
      <c r="AH192" s="103"/>
      <c r="AI192" s="102"/>
      <c r="AJ192" s="102"/>
      <c r="AK192" s="102"/>
      <c r="AL192" s="102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</row>
    <row r="193" spans="1:52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102"/>
      <c r="O193" s="102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  <c r="AA193" s="103"/>
      <c r="AB193" s="103"/>
      <c r="AC193" s="103"/>
      <c r="AD193" s="103"/>
      <c r="AE193" s="103"/>
      <c r="AF193" s="103"/>
      <c r="AG193" s="103"/>
      <c r="AH193" s="103"/>
      <c r="AI193" s="102"/>
      <c r="AJ193" s="102"/>
      <c r="AK193" s="102"/>
      <c r="AL193" s="102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</row>
    <row r="194" spans="1:52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102"/>
      <c r="O194" s="102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  <c r="AA194" s="103"/>
      <c r="AB194" s="103"/>
      <c r="AC194" s="103"/>
      <c r="AD194" s="103"/>
      <c r="AE194" s="103"/>
      <c r="AF194" s="103"/>
      <c r="AG194" s="103"/>
      <c r="AH194" s="103"/>
      <c r="AI194" s="102"/>
      <c r="AJ194" s="102"/>
      <c r="AK194" s="102"/>
      <c r="AL194" s="102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</row>
    <row r="195" spans="1:52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102"/>
      <c r="O195" s="102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  <c r="AA195" s="103"/>
      <c r="AB195" s="103"/>
      <c r="AC195" s="103"/>
      <c r="AD195" s="103"/>
      <c r="AE195" s="103"/>
      <c r="AF195" s="103"/>
      <c r="AG195" s="103"/>
      <c r="AH195" s="103"/>
      <c r="AI195" s="102"/>
      <c r="AJ195" s="102"/>
      <c r="AK195" s="102"/>
      <c r="AL195" s="102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</row>
    <row r="196" spans="1:52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102"/>
      <c r="O196" s="102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  <c r="AA196" s="103"/>
      <c r="AB196" s="103"/>
      <c r="AC196" s="103"/>
      <c r="AD196" s="103"/>
      <c r="AE196" s="103"/>
      <c r="AF196" s="103"/>
      <c r="AG196" s="103"/>
      <c r="AH196" s="103"/>
      <c r="AI196" s="102"/>
      <c r="AJ196" s="102"/>
      <c r="AK196" s="102"/>
      <c r="AL196" s="102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</row>
    <row r="197" spans="1:52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102"/>
      <c r="O197" s="102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  <c r="AA197" s="103"/>
      <c r="AB197" s="103"/>
      <c r="AC197" s="103"/>
      <c r="AD197" s="103"/>
      <c r="AE197" s="103"/>
      <c r="AF197" s="103"/>
      <c r="AG197" s="103"/>
      <c r="AH197" s="103"/>
      <c r="AI197" s="102"/>
      <c r="AJ197" s="102"/>
      <c r="AK197" s="102"/>
      <c r="AL197" s="102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</row>
    <row r="198" spans="1:52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102"/>
      <c r="O198" s="102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  <c r="AA198" s="103"/>
      <c r="AB198" s="103"/>
      <c r="AC198" s="103"/>
      <c r="AD198" s="103"/>
      <c r="AE198" s="103"/>
      <c r="AF198" s="103"/>
      <c r="AG198" s="103"/>
      <c r="AH198" s="103"/>
      <c r="AI198" s="102"/>
      <c r="AJ198" s="102"/>
      <c r="AK198" s="102"/>
      <c r="AL198" s="102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</row>
    <row r="199" spans="1:52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102"/>
      <c r="O199" s="102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  <c r="AA199" s="103"/>
      <c r="AB199" s="103"/>
      <c r="AC199" s="103"/>
      <c r="AD199" s="103"/>
      <c r="AE199" s="103"/>
      <c r="AF199" s="103"/>
      <c r="AG199" s="103"/>
      <c r="AH199" s="103"/>
      <c r="AI199" s="102"/>
      <c r="AJ199" s="102"/>
      <c r="AK199" s="102"/>
      <c r="AL199" s="102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</row>
    <row r="200" spans="1:52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102"/>
      <c r="O200" s="102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  <c r="AA200" s="103"/>
      <c r="AB200" s="103"/>
      <c r="AC200" s="103"/>
      <c r="AD200" s="103"/>
      <c r="AE200" s="103"/>
      <c r="AF200" s="103"/>
      <c r="AG200" s="103"/>
      <c r="AH200" s="103"/>
      <c r="AI200" s="102"/>
      <c r="AJ200" s="102"/>
      <c r="AK200" s="102"/>
      <c r="AL200" s="102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</row>
    <row r="201" spans="1:52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102"/>
      <c r="O201" s="102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  <c r="AA201" s="103"/>
      <c r="AB201" s="103"/>
      <c r="AC201" s="103"/>
      <c r="AD201" s="103"/>
      <c r="AE201" s="103"/>
      <c r="AF201" s="103"/>
      <c r="AG201" s="103"/>
      <c r="AH201" s="103"/>
      <c r="AI201" s="102"/>
      <c r="AJ201" s="102"/>
      <c r="AK201" s="102"/>
      <c r="AL201" s="102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</row>
    <row r="202" spans="1:5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102"/>
      <c r="O202" s="102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  <c r="AA202" s="103"/>
      <c r="AB202" s="103"/>
      <c r="AC202" s="103"/>
      <c r="AD202" s="103"/>
      <c r="AE202" s="103"/>
      <c r="AF202" s="103"/>
      <c r="AG202" s="103"/>
      <c r="AH202" s="103"/>
      <c r="AI202" s="102"/>
      <c r="AJ202" s="102"/>
      <c r="AK202" s="102"/>
      <c r="AL202" s="102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</row>
    <row r="203" spans="1:52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102"/>
      <c r="O203" s="102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2"/>
      <c r="AJ203" s="102"/>
      <c r="AK203" s="102"/>
      <c r="AL203" s="102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</row>
    <row r="204" spans="1:52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102"/>
      <c r="O204" s="102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  <c r="AA204" s="103"/>
      <c r="AB204" s="103"/>
      <c r="AC204" s="103"/>
      <c r="AD204" s="103"/>
      <c r="AE204" s="103"/>
      <c r="AF204" s="103"/>
      <c r="AG204" s="103"/>
      <c r="AH204" s="103"/>
      <c r="AI204" s="102"/>
      <c r="AJ204" s="102"/>
      <c r="AK204" s="102"/>
      <c r="AL204" s="102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</row>
    <row r="205" spans="1:52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102"/>
      <c r="O205" s="102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  <c r="AA205" s="103"/>
      <c r="AB205" s="103"/>
      <c r="AC205" s="103"/>
      <c r="AD205" s="103"/>
      <c r="AE205" s="103"/>
      <c r="AF205" s="103"/>
      <c r="AG205" s="103"/>
      <c r="AH205" s="103"/>
      <c r="AI205" s="102"/>
      <c r="AJ205" s="102"/>
      <c r="AK205" s="102"/>
      <c r="AL205" s="102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</row>
    <row r="206" spans="1:52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102"/>
      <c r="O206" s="102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  <c r="AA206" s="103"/>
      <c r="AB206" s="103"/>
      <c r="AC206" s="103"/>
      <c r="AD206" s="103"/>
      <c r="AE206" s="103"/>
      <c r="AF206" s="103"/>
      <c r="AG206" s="103"/>
      <c r="AH206" s="103"/>
      <c r="AI206" s="102"/>
      <c r="AJ206" s="102"/>
      <c r="AK206" s="102"/>
      <c r="AL206" s="102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</row>
    <row r="207" spans="1:52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102"/>
      <c r="O207" s="102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2"/>
      <c r="AJ207" s="102"/>
      <c r="AK207" s="102"/>
      <c r="AL207" s="102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</row>
    <row r="208" spans="1:52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102"/>
      <c r="O208" s="102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  <c r="AA208" s="103"/>
      <c r="AB208" s="103"/>
      <c r="AC208" s="103"/>
      <c r="AD208" s="103"/>
      <c r="AE208" s="103"/>
      <c r="AF208" s="103"/>
      <c r="AG208" s="103"/>
      <c r="AH208" s="103"/>
      <c r="AI208" s="102"/>
      <c r="AJ208" s="102"/>
      <c r="AK208" s="102"/>
      <c r="AL208" s="102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</row>
    <row r="209" spans="1:52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102"/>
      <c r="O209" s="102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  <c r="AA209" s="103"/>
      <c r="AB209" s="103"/>
      <c r="AC209" s="103"/>
      <c r="AD209" s="103"/>
      <c r="AE209" s="103"/>
      <c r="AF209" s="103"/>
      <c r="AG209" s="103"/>
      <c r="AH209" s="103"/>
      <c r="AI209" s="102"/>
      <c r="AJ209" s="102"/>
      <c r="AK209" s="102"/>
      <c r="AL209" s="102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</row>
    <row r="210" spans="1:52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102"/>
      <c r="O210" s="102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  <c r="AA210" s="103"/>
      <c r="AB210" s="103"/>
      <c r="AC210" s="103"/>
      <c r="AD210" s="103"/>
      <c r="AE210" s="103"/>
      <c r="AF210" s="103"/>
      <c r="AG210" s="103"/>
      <c r="AH210" s="103"/>
      <c r="AI210" s="102"/>
      <c r="AJ210" s="102"/>
      <c r="AK210" s="102"/>
      <c r="AL210" s="102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</row>
    <row r="211" spans="1:52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102"/>
      <c r="O211" s="102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  <c r="AA211" s="103"/>
      <c r="AB211" s="103"/>
      <c r="AC211" s="103"/>
      <c r="AD211" s="103"/>
      <c r="AE211" s="103"/>
      <c r="AF211" s="103"/>
      <c r="AG211" s="103"/>
      <c r="AH211" s="103"/>
      <c r="AI211" s="102"/>
      <c r="AJ211" s="102"/>
      <c r="AK211" s="102"/>
      <c r="AL211" s="102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</row>
    <row r="212" spans="1:5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102"/>
      <c r="O212" s="102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  <c r="AA212" s="103"/>
      <c r="AB212" s="103"/>
      <c r="AC212" s="103"/>
      <c r="AD212" s="103"/>
      <c r="AE212" s="103"/>
      <c r="AF212" s="103"/>
      <c r="AG212" s="103"/>
      <c r="AH212" s="103"/>
      <c r="AI212" s="102"/>
      <c r="AJ212" s="102"/>
      <c r="AK212" s="102"/>
      <c r="AL212" s="102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</row>
    <row r="213" spans="1:52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102"/>
      <c r="O213" s="102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  <c r="AA213" s="103"/>
      <c r="AB213" s="103"/>
      <c r="AC213" s="103"/>
      <c r="AD213" s="103"/>
      <c r="AE213" s="103"/>
      <c r="AF213" s="103"/>
      <c r="AG213" s="103"/>
      <c r="AH213" s="103"/>
      <c r="AI213" s="102"/>
      <c r="AJ213" s="102"/>
      <c r="AK213" s="102"/>
      <c r="AL213" s="102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</row>
    <row r="214" spans="1:52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102"/>
      <c r="O214" s="102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  <c r="AA214" s="103"/>
      <c r="AB214" s="103"/>
      <c r="AC214" s="103"/>
      <c r="AD214" s="103"/>
      <c r="AE214" s="103"/>
      <c r="AF214" s="103"/>
      <c r="AG214" s="103"/>
      <c r="AH214" s="103"/>
      <c r="AI214" s="102"/>
      <c r="AJ214" s="102"/>
      <c r="AK214" s="102"/>
      <c r="AL214" s="102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</row>
    <row r="215" spans="1:52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102"/>
      <c r="O215" s="102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  <c r="AA215" s="103"/>
      <c r="AB215" s="103"/>
      <c r="AC215" s="103"/>
      <c r="AD215" s="103"/>
      <c r="AE215" s="103"/>
      <c r="AF215" s="103"/>
      <c r="AG215" s="103"/>
      <c r="AH215" s="103"/>
      <c r="AI215" s="102"/>
      <c r="AJ215" s="102"/>
      <c r="AK215" s="102"/>
      <c r="AL215" s="102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</row>
    <row r="216" spans="1:52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102"/>
      <c r="O216" s="102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  <c r="AA216" s="103"/>
      <c r="AB216" s="103"/>
      <c r="AC216" s="103"/>
      <c r="AD216" s="103"/>
      <c r="AE216" s="103"/>
      <c r="AF216" s="103"/>
      <c r="AG216" s="103"/>
      <c r="AH216" s="103"/>
      <c r="AI216" s="102"/>
      <c r="AJ216" s="102"/>
      <c r="AK216" s="102"/>
      <c r="AL216" s="102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</row>
    <row r="217" spans="1:52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102"/>
      <c r="O217" s="102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  <c r="AA217" s="103"/>
      <c r="AB217" s="103"/>
      <c r="AC217" s="103"/>
      <c r="AD217" s="103"/>
      <c r="AE217" s="103"/>
      <c r="AF217" s="103"/>
      <c r="AG217" s="103"/>
      <c r="AH217" s="103"/>
      <c r="AI217" s="102"/>
      <c r="AJ217" s="102"/>
      <c r="AK217" s="102"/>
      <c r="AL217" s="102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</row>
    <row r="218" spans="1:52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102"/>
      <c r="O218" s="102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  <c r="AA218" s="103"/>
      <c r="AB218" s="103"/>
      <c r="AC218" s="103"/>
      <c r="AD218" s="103"/>
      <c r="AE218" s="103"/>
      <c r="AF218" s="103"/>
      <c r="AG218" s="103"/>
      <c r="AH218" s="103"/>
      <c r="AI218" s="102"/>
      <c r="AJ218" s="102"/>
      <c r="AK218" s="102"/>
      <c r="AL218" s="102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</row>
    <row r="219" spans="1:52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102"/>
      <c r="O219" s="102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  <c r="AA219" s="103"/>
      <c r="AB219" s="103"/>
      <c r="AC219" s="103"/>
      <c r="AD219" s="103"/>
      <c r="AE219" s="103"/>
      <c r="AF219" s="103"/>
      <c r="AG219" s="103"/>
      <c r="AH219" s="103"/>
      <c r="AI219" s="102"/>
      <c r="AJ219" s="102"/>
      <c r="AK219" s="102"/>
      <c r="AL219" s="102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</row>
    <row r="220" spans="1:52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102"/>
      <c r="O220" s="102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  <c r="AA220" s="103"/>
      <c r="AB220" s="103"/>
      <c r="AC220" s="103"/>
      <c r="AD220" s="103"/>
      <c r="AE220" s="103"/>
      <c r="AF220" s="103"/>
      <c r="AG220" s="103"/>
      <c r="AH220" s="103"/>
      <c r="AI220" s="102"/>
      <c r="AJ220" s="102"/>
      <c r="AK220" s="102"/>
      <c r="AL220" s="102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</row>
    <row r="221" spans="1:52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102"/>
      <c r="O221" s="102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  <c r="AA221" s="103"/>
      <c r="AB221" s="103"/>
      <c r="AC221" s="103"/>
      <c r="AD221" s="103"/>
      <c r="AE221" s="103"/>
      <c r="AF221" s="103"/>
      <c r="AG221" s="103"/>
      <c r="AH221" s="103"/>
      <c r="AI221" s="102"/>
      <c r="AJ221" s="102"/>
      <c r="AK221" s="102"/>
      <c r="AL221" s="102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</row>
    <row r="222" spans="1:5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102"/>
      <c r="O222" s="102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  <c r="AA222" s="103"/>
      <c r="AB222" s="103"/>
      <c r="AC222" s="103"/>
      <c r="AD222" s="103"/>
      <c r="AE222" s="103"/>
      <c r="AF222" s="103"/>
      <c r="AG222" s="103"/>
      <c r="AH222" s="103"/>
      <c r="AI222" s="102"/>
      <c r="AJ222" s="102"/>
      <c r="AK222" s="102"/>
      <c r="AL222" s="102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</row>
    <row r="223" spans="1:52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102"/>
      <c r="O223" s="102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  <c r="AA223" s="103"/>
      <c r="AB223" s="103"/>
      <c r="AC223" s="103"/>
      <c r="AD223" s="103"/>
      <c r="AE223" s="103"/>
      <c r="AF223" s="103"/>
      <c r="AG223" s="103"/>
      <c r="AH223" s="103"/>
      <c r="AI223" s="102"/>
      <c r="AJ223" s="102"/>
      <c r="AK223" s="102"/>
      <c r="AL223" s="102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</row>
    <row r="224" spans="1:52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102"/>
      <c r="O224" s="102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2"/>
      <c r="AJ224" s="102"/>
      <c r="AK224" s="102"/>
      <c r="AL224" s="102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</row>
    <row r="225" spans="1:52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102"/>
      <c r="O225" s="102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  <c r="AA225" s="103"/>
      <c r="AB225" s="103"/>
      <c r="AC225" s="103"/>
      <c r="AD225" s="103"/>
      <c r="AE225" s="103"/>
      <c r="AF225" s="103"/>
      <c r="AG225" s="103"/>
      <c r="AH225" s="103"/>
      <c r="AI225" s="102"/>
      <c r="AJ225" s="102"/>
      <c r="AK225" s="102"/>
      <c r="AL225" s="102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</row>
    <row r="226" spans="1:52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102"/>
      <c r="O226" s="102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  <c r="AA226" s="103"/>
      <c r="AB226" s="103"/>
      <c r="AC226" s="103"/>
      <c r="AD226" s="103"/>
      <c r="AE226" s="103"/>
      <c r="AF226" s="103"/>
      <c r="AG226" s="103"/>
      <c r="AH226" s="103"/>
      <c r="AI226" s="102"/>
      <c r="AJ226" s="102"/>
      <c r="AK226" s="102"/>
      <c r="AL226" s="102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</row>
    <row r="227" spans="1:52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102"/>
      <c r="O227" s="102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  <c r="AA227" s="103"/>
      <c r="AB227" s="103"/>
      <c r="AC227" s="103"/>
      <c r="AD227" s="103"/>
      <c r="AE227" s="103"/>
      <c r="AF227" s="103"/>
      <c r="AG227" s="103"/>
      <c r="AH227" s="103"/>
      <c r="AI227" s="102"/>
      <c r="AJ227" s="102"/>
      <c r="AK227" s="102"/>
      <c r="AL227" s="102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</row>
    <row r="228" spans="1:52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102"/>
      <c r="O228" s="102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  <c r="AA228" s="103"/>
      <c r="AB228" s="103"/>
      <c r="AC228" s="103"/>
      <c r="AD228" s="103"/>
      <c r="AE228" s="103"/>
      <c r="AF228" s="103"/>
      <c r="AG228" s="103"/>
      <c r="AH228" s="103"/>
      <c r="AI228" s="102"/>
      <c r="AJ228" s="102"/>
      <c r="AK228" s="102"/>
      <c r="AL228" s="102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</row>
    <row r="229" spans="1:52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102"/>
      <c r="O229" s="102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  <c r="AA229" s="103"/>
      <c r="AB229" s="103"/>
      <c r="AC229" s="103"/>
      <c r="AD229" s="103"/>
      <c r="AE229" s="103"/>
      <c r="AF229" s="103"/>
      <c r="AG229" s="103"/>
      <c r="AH229" s="103"/>
      <c r="AI229" s="102"/>
      <c r="AJ229" s="102"/>
      <c r="AK229" s="102"/>
      <c r="AL229" s="102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</row>
    <row r="230" spans="1:52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102"/>
      <c r="O230" s="102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  <c r="AA230" s="103"/>
      <c r="AB230" s="103"/>
      <c r="AC230" s="103"/>
      <c r="AD230" s="103"/>
      <c r="AE230" s="103"/>
      <c r="AF230" s="103"/>
      <c r="AG230" s="103"/>
      <c r="AH230" s="103"/>
      <c r="AI230" s="102"/>
      <c r="AJ230" s="102"/>
      <c r="AK230" s="102"/>
      <c r="AL230" s="102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</row>
    <row r="231" spans="1:52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102"/>
      <c r="O231" s="102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  <c r="AA231" s="103"/>
      <c r="AB231" s="103"/>
      <c r="AC231" s="103"/>
      <c r="AD231" s="103"/>
      <c r="AE231" s="103"/>
      <c r="AF231" s="103"/>
      <c r="AG231" s="103"/>
      <c r="AH231" s="103"/>
      <c r="AI231" s="102"/>
      <c r="AJ231" s="102"/>
      <c r="AK231" s="102"/>
      <c r="AL231" s="102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</row>
    <row r="232" spans="1:5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102"/>
      <c r="O232" s="102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  <c r="AA232" s="103"/>
      <c r="AB232" s="103"/>
      <c r="AC232" s="103"/>
      <c r="AD232" s="103"/>
      <c r="AE232" s="103"/>
      <c r="AF232" s="103"/>
      <c r="AG232" s="103"/>
      <c r="AH232" s="103"/>
      <c r="AI232" s="102"/>
      <c r="AJ232" s="102"/>
      <c r="AK232" s="102"/>
      <c r="AL232" s="102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</row>
    <row r="233" spans="1:52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102"/>
      <c r="O233" s="102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  <c r="AA233" s="103"/>
      <c r="AB233" s="103"/>
      <c r="AC233" s="103"/>
      <c r="AD233" s="103"/>
      <c r="AE233" s="103"/>
      <c r="AF233" s="103"/>
      <c r="AG233" s="103"/>
      <c r="AH233" s="103"/>
      <c r="AI233" s="102"/>
      <c r="AJ233" s="102"/>
      <c r="AK233" s="102"/>
      <c r="AL233" s="102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</row>
    <row r="234" spans="1:52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102"/>
      <c r="O234" s="102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  <c r="AA234" s="103"/>
      <c r="AB234" s="103"/>
      <c r="AC234" s="103"/>
      <c r="AD234" s="103"/>
      <c r="AE234" s="103"/>
      <c r="AF234" s="103"/>
      <c r="AG234" s="103"/>
      <c r="AH234" s="103"/>
      <c r="AI234" s="102"/>
      <c r="AJ234" s="102"/>
      <c r="AK234" s="102"/>
      <c r="AL234" s="102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</row>
    <row r="235" spans="1:52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102"/>
      <c r="O235" s="102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  <c r="AA235" s="103"/>
      <c r="AB235" s="103"/>
      <c r="AC235" s="103"/>
      <c r="AD235" s="103"/>
      <c r="AE235" s="103"/>
      <c r="AF235" s="103"/>
      <c r="AG235" s="103"/>
      <c r="AH235" s="103"/>
      <c r="AI235" s="102"/>
      <c r="AJ235" s="102"/>
      <c r="AK235" s="102"/>
      <c r="AL235" s="102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</row>
    <row r="236" spans="1:52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102"/>
      <c r="O236" s="102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  <c r="AA236" s="103"/>
      <c r="AB236" s="103"/>
      <c r="AC236" s="103"/>
      <c r="AD236" s="103"/>
      <c r="AE236" s="103"/>
      <c r="AF236" s="103"/>
      <c r="AG236" s="103"/>
      <c r="AH236" s="103"/>
      <c r="AI236" s="102"/>
      <c r="AJ236" s="102"/>
      <c r="AK236" s="102"/>
      <c r="AL236" s="102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</row>
    <row r="237" spans="1:52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102"/>
      <c r="O237" s="102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  <c r="AA237" s="103"/>
      <c r="AB237" s="103"/>
      <c r="AC237" s="103"/>
      <c r="AD237" s="103"/>
      <c r="AE237" s="103"/>
      <c r="AF237" s="103"/>
      <c r="AG237" s="103"/>
      <c r="AH237" s="103"/>
      <c r="AI237" s="102"/>
      <c r="AJ237" s="102"/>
      <c r="AK237" s="102"/>
      <c r="AL237" s="102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</row>
    <row r="238" spans="1:52" ht="15.75" customHeight="1"/>
    <row r="239" spans="1:52" ht="15.75" customHeight="1"/>
    <row r="240" spans="1:5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AH24:AH26"/>
    <mergeCell ref="AH27:AH28"/>
    <mergeCell ref="AH29:AH30"/>
    <mergeCell ref="C4:H5"/>
    <mergeCell ref="I4:J5"/>
    <mergeCell ref="AD4:AE6"/>
    <mergeCell ref="AG4:AH6"/>
    <mergeCell ref="B7:H9"/>
    <mergeCell ref="B29:H31"/>
    <mergeCell ref="AH12:AH13"/>
    <mergeCell ref="AH14:AH16"/>
    <mergeCell ref="AH17:AH18"/>
    <mergeCell ref="AH19:AH21"/>
    <mergeCell ref="AH22:AH23"/>
    <mergeCell ref="AG19:AG21"/>
    <mergeCell ref="AG22:AG23"/>
    <mergeCell ref="AG24:AG26"/>
    <mergeCell ref="AG27:AG28"/>
    <mergeCell ref="AG29:AG30"/>
    <mergeCell ref="AF19:AF21"/>
    <mergeCell ref="AF22:AF23"/>
    <mergeCell ref="AF24:AF26"/>
    <mergeCell ref="AF27:AF28"/>
    <mergeCell ref="AF29:AF30"/>
    <mergeCell ref="A19:A23"/>
    <mergeCell ref="A24:A28"/>
    <mergeCell ref="A29:A31"/>
    <mergeCell ref="C10:C11"/>
    <mergeCell ref="C14:C16"/>
    <mergeCell ref="C19:C21"/>
    <mergeCell ref="C24:C26"/>
    <mergeCell ref="A1:AH1"/>
    <mergeCell ref="A2:AH2"/>
    <mergeCell ref="A7:A9"/>
    <mergeCell ref="A10:A13"/>
    <mergeCell ref="A14:A18"/>
    <mergeCell ref="AF4:AF6"/>
    <mergeCell ref="AF10:AF11"/>
    <mergeCell ref="AF12:AF13"/>
    <mergeCell ref="AF14:AF16"/>
    <mergeCell ref="AF17:AF18"/>
    <mergeCell ref="AG7:AG8"/>
    <mergeCell ref="AG10:AG11"/>
    <mergeCell ref="AG12:AG13"/>
    <mergeCell ref="AG14:AG16"/>
    <mergeCell ref="AG17:AG18"/>
    <mergeCell ref="AH10:AH11"/>
  </mergeCells>
  <phoneticPr fontId="65" type="noConversion"/>
  <pageMargins left="0.31388888888888899" right="0.31388888888888899" top="0.35416666666666702" bottom="0.35416666666666702" header="0" footer="0"/>
  <pageSetup paperSize="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M1000"/>
  <sheetViews>
    <sheetView workbookViewId="0"/>
  </sheetViews>
  <sheetFormatPr defaultColWidth="11.09765625" defaultRowHeight="15" customHeight="1"/>
  <cols>
    <col min="1" max="1" width="8.09765625" customWidth="1"/>
    <col min="2" max="2" width="11.296875" customWidth="1"/>
    <col min="3" max="8" width="7" customWidth="1"/>
    <col min="9" max="14" width="4.09765625" customWidth="1"/>
    <col min="15" max="38" width="4.59765625" customWidth="1"/>
    <col min="39" max="39" width="12.59765625" customWidth="1"/>
  </cols>
  <sheetData>
    <row r="1" spans="1:39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15.6">
      <c r="A2" s="1"/>
      <c r="B2" s="1"/>
      <c r="C2" s="986" t="s">
        <v>451</v>
      </c>
      <c r="D2" s="987"/>
      <c r="E2" s="987"/>
      <c r="F2" s="987"/>
      <c r="G2" s="987"/>
      <c r="H2" s="951"/>
      <c r="I2" s="985" t="s">
        <v>452</v>
      </c>
      <c r="J2" s="954"/>
      <c r="K2" s="954"/>
      <c r="L2" s="954"/>
      <c r="M2" s="954"/>
      <c r="N2" s="955"/>
      <c r="O2" s="985" t="s">
        <v>453</v>
      </c>
      <c r="P2" s="954"/>
      <c r="Q2" s="954"/>
      <c r="R2" s="954"/>
      <c r="S2" s="954"/>
      <c r="T2" s="955"/>
      <c r="U2" s="985" t="s">
        <v>454</v>
      </c>
      <c r="V2" s="954"/>
      <c r="W2" s="954"/>
      <c r="X2" s="954"/>
      <c r="Y2" s="954"/>
      <c r="Z2" s="955"/>
      <c r="AA2" s="985" t="s">
        <v>396</v>
      </c>
      <c r="AB2" s="954"/>
      <c r="AC2" s="954"/>
      <c r="AD2" s="954"/>
      <c r="AE2" s="954"/>
      <c r="AF2" s="955"/>
      <c r="AG2" s="985" t="s">
        <v>397</v>
      </c>
      <c r="AH2" s="954"/>
      <c r="AI2" s="954"/>
      <c r="AJ2" s="954"/>
      <c r="AK2" s="954"/>
      <c r="AL2" s="955"/>
      <c r="AM2" s="1"/>
    </row>
    <row r="3" spans="1:39" ht="46.8">
      <c r="A3" s="3" t="s">
        <v>455</v>
      </c>
      <c r="B3" s="4" t="s">
        <v>456</v>
      </c>
      <c r="C3" s="5" t="s">
        <v>155</v>
      </c>
      <c r="D3" s="6" t="s">
        <v>156</v>
      </c>
      <c r="E3" s="6" t="s">
        <v>157</v>
      </c>
      <c r="F3" s="6" t="s">
        <v>158</v>
      </c>
      <c r="G3" s="6" t="s">
        <v>159</v>
      </c>
      <c r="H3" s="7" t="s">
        <v>268</v>
      </c>
      <c r="I3" s="5" t="s">
        <v>155</v>
      </c>
      <c r="J3" s="6" t="s">
        <v>156</v>
      </c>
      <c r="K3" s="6" t="s">
        <v>157</v>
      </c>
      <c r="L3" s="6" t="s">
        <v>158</v>
      </c>
      <c r="M3" s="6" t="s">
        <v>159</v>
      </c>
      <c r="N3" s="7" t="s">
        <v>268</v>
      </c>
      <c r="O3" s="5" t="s">
        <v>155</v>
      </c>
      <c r="P3" s="6" t="s">
        <v>156</v>
      </c>
      <c r="Q3" s="6" t="s">
        <v>157</v>
      </c>
      <c r="R3" s="6" t="s">
        <v>158</v>
      </c>
      <c r="S3" s="6" t="s">
        <v>159</v>
      </c>
      <c r="T3" s="7" t="s">
        <v>268</v>
      </c>
      <c r="U3" s="5" t="s">
        <v>155</v>
      </c>
      <c r="V3" s="6" t="s">
        <v>156</v>
      </c>
      <c r="W3" s="6" t="s">
        <v>157</v>
      </c>
      <c r="X3" s="6" t="s">
        <v>158</v>
      </c>
      <c r="Y3" s="6" t="s">
        <v>159</v>
      </c>
      <c r="Z3" s="7" t="s">
        <v>268</v>
      </c>
      <c r="AA3" s="5" t="s">
        <v>155</v>
      </c>
      <c r="AB3" s="6" t="s">
        <v>156</v>
      </c>
      <c r="AC3" s="6" t="s">
        <v>157</v>
      </c>
      <c r="AD3" s="6" t="s">
        <v>158</v>
      </c>
      <c r="AE3" s="6" t="s">
        <v>159</v>
      </c>
      <c r="AF3" s="7" t="s">
        <v>268</v>
      </c>
      <c r="AG3" s="5" t="s">
        <v>155</v>
      </c>
      <c r="AH3" s="6" t="s">
        <v>156</v>
      </c>
      <c r="AI3" s="6" t="s">
        <v>157</v>
      </c>
      <c r="AJ3" s="6" t="s">
        <v>158</v>
      </c>
      <c r="AK3" s="6" t="s">
        <v>159</v>
      </c>
      <c r="AL3" s="7" t="s">
        <v>268</v>
      </c>
      <c r="AM3" s="1" t="s">
        <v>65</v>
      </c>
    </row>
    <row r="4" spans="1:39" ht="15.6">
      <c r="A4" s="8"/>
      <c r="B4" s="2"/>
      <c r="C4" s="8">
        <f t="shared" ref="C4:H4" si="0">I4+O4+U4+AA4+AG4</f>
        <v>3</v>
      </c>
      <c r="D4" s="2">
        <f t="shared" si="0"/>
        <v>3</v>
      </c>
      <c r="E4" s="2">
        <f t="shared" si="0"/>
        <v>3</v>
      </c>
      <c r="F4" s="2">
        <f t="shared" si="0"/>
        <v>4</v>
      </c>
      <c r="G4" s="2">
        <f t="shared" si="0"/>
        <v>5</v>
      </c>
      <c r="H4" s="9">
        <f t="shared" si="0"/>
        <v>7</v>
      </c>
      <c r="I4" s="18">
        <v>1</v>
      </c>
      <c r="J4" s="19">
        <v>1</v>
      </c>
      <c r="K4" s="19">
        <v>1</v>
      </c>
      <c r="L4" s="19">
        <v>1</v>
      </c>
      <c r="M4" s="19">
        <v>1</v>
      </c>
      <c r="N4" s="20">
        <v>1</v>
      </c>
      <c r="O4" s="18">
        <v>1</v>
      </c>
      <c r="P4" s="19">
        <v>1</v>
      </c>
      <c r="Q4" s="19">
        <v>1</v>
      </c>
      <c r="R4" s="19">
        <v>1</v>
      </c>
      <c r="S4" s="19">
        <v>1</v>
      </c>
      <c r="T4" s="20">
        <v>1</v>
      </c>
      <c r="U4" s="8"/>
      <c r="V4" s="2"/>
      <c r="W4" s="2"/>
      <c r="X4" s="19">
        <v>1</v>
      </c>
      <c r="Y4" s="19">
        <v>2</v>
      </c>
      <c r="Z4" s="20">
        <v>2</v>
      </c>
      <c r="AA4" s="8"/>
      <c r="AB4" s="2"/>
      <c r="AC4" s="2"/>
      <c r="AD4" s="2"/>
      <c r="AE4" s="2"/>
      <c r="AF4" s="20">
        <v>1</v>
      </c>
      <c r="AG4" s="18">
        <v>1</v>
      </c>
      <c r="AH4" s="19">
        <v>1</v>
      </c>
      <c r="AI4" s="19">
        <v>1</v>
      </c>
      <c r="AJ4" s="19">
        <v>1</v>
      </c>
      <c r="AK4" s="19">
        <v>1</v>
      </c>
      <c r="AL4" s="20">
        <v>2</v>
      </c>
      <c r="AM4" s="1"/>
    </row>
    <row r="5" spans="1:39" ht="15.6">
      <c r="A5" s="5" t="s">
        <v>76</v>
      </c>
      <c r="B5" s="6">
        <v>3</v>
      </c>
      <c r="C5" s="5">
        <v>0.2</v>
      </c>
      <c r="D5" s="6"/>
      <c r="E5" s="6"/>
      <c r="F5" s="6"/>
      <c r="G5" s="6"/>
      <c r="H5" s="7"/>
      <c r="I5" s="5"/>
      <c r="J5" s="6"/>
      <c r="K5" s="6">
        <v>2</v>
      </c>
      <c r="L5" s="6"/>
      <c r="M5" s="6"/>
      <c r="N5" s="7">
        <v>2</v>
      </c>
      <c r="O5" s="5">
        <v>3.5</v>
      </c>
      <c r="P5" s="6"/>
      <c r="Q5" s="6"/>
      <c r="R5" s="6"/>
      <c r="S5" s="6"/>
      <c r="T5" s="7">
        <v>1</v>
      </c>
      <c r="U5" s="5">
        <v>2</v>
      </c>
      <c r="V5" s="6"/>
      <c r="W5" s="6">
        <v>1</v>
      </c>
      <c r="X5" s="6"/>
      <c r="Y5" s="6"/>
      <c r="Z5" s="7">
        <v>2</v>
      </c>
      <c r="AA5" s="5">
        <v>2</v>
      </c>
      <c r="AB5" s="6"/>
      <c r="AC5" s="6">
        <v>2</v>
      </c>
      <c r="AD5" s="6"/>
      <c r="AE5" s="6"/>
      <c r="AF5" s="7">
        <v>2</v>
      </c>
      <c r="AG5" s="5">
        <v>2</v>
      </c>
      <c r="AH5" s="6"/>
      <c r="AI5" s="6">
        <v>2</v>
      </c>
      <c r="AJ5" s="6"/>
      <c r="AK5" s="6"/>
      <c r="AL5" s="7"/>
      <c r="AM5" s="1">
        <f t="shared" ref="AM5:AM67" si="1">C$4*C5+D$4*D5+E$4*E5+F$4*F5+G$4*G5+H$4*H5+I$4*I5+J$4*J5+K$4*K5+L$4*L5+M$4*M5+N$4*N5+O$4*O5+P$4*P5+Q$4*Q5+R$4*R5+S$4*S5+T$4*T5+U$4*U5+V$4*V5+W$4*W5+X$4*X5+Y$4*Y5+Z$4*Z5+AA$4*AA5+AB$4*AB5+AC$4*AC5+AD$4*AD5+AE$4*AE5+AF$4*AF5+AG$4*AG5+AH$4*AH5+AI$4*AI5+AJ$4*AJ5+AK$4*AK5+AL$4*AL5</f>
        <v>19.100000000000001</v>
      </c>
    </row>
    <row r="6" spans="1:39" ht="15.6">
      <c r="A6" s="10" t="s">
        <v>77</v>
      </c>
      <c r="B6" s="1">
        <v>4</v>
      </c>
      <c r="C6" s="10"/>
      <c r="D6" s="1"/>
      <c r="E6" s="1"/>
      <c r="F6" s="1">
        <v>0.2</v>
      </c>
      <c r="G6" s="1"/>
      <c r="H6" s="11"/>
      <c r="I6" s="10"/>
      <c r="J6" s="1"/>
      <c r="K6" s="1">
        <v>1</v>
      </c>
      <c r="L6" s="1">
        <v>1</v>
      </c>
      <c r="M6" s="1">
        <v>1</v>
      </c>
      <c r="N6" s="11">
        <v>1</v>
      </c>
      <c r="O6" s="10"/>
      <c r="P6" s="1"/>
      <c r="Q6" s="1">
        <v>1</v>
      </c>
      <c r="R6" s="1">
        <v>3</v>
      </c>
      <c r="S6" s="1">
        <v>1</v>
      </c>
      <c r="T6" s="11">
        <v>2</v>
      </c>
      <c r="U6" s="10"/>
      <c r="V6" s="1"/>
      <c r="W6" s="1">
        <v>1</v>
      </c>
      <c r="X6" s="1"/>
      <c r="Y6" s="1"/>
      <c r="Z6" s="11">
        <v>2</v>
      </c>
      <c r="AA6" s="10"/>
      <c r="AB6" s="1">
        <v>1</v>
      </c>
      <c r="AC6" s="1">
        <v>1</v>
      </c>
      <c r="AD6" s="1"/>
      <c r="AE6" s="1">
        <v>2</v>
      </c>
      <c r="AF6" s="11"/>
      <c r="AG6" s="10">
        <v>1</v>
      </c>
      <c r="AH6" s="1"/>
      <c r="AI6" s="1"/>
      <c r="AJ6" s="1">
        <v>2</v>
      </c>
      <c r="AK6" s="1">
        <v>1</v>
      </c>
      <c r="AL6" s="11"/>
      <c r="AM6" s="1">
        <f t="shared" si="1"/>
        <v>19.8</v>
      </c>
    </row>
    <row r="7" spans="1:39" ht="15.6">
      <c r="A7" s="10" t="s">
        <v>78</v>
      </c>
      <c r="B7" s="1">
        <v>5</v>
      </c>
      <c r="C7" s="10"/>
      <c r="D7" s="1"/>
      <c r="E7" s="1"/>
      <c r="F7" s="1"/>
      <c r="G7" s="1"/>
      <c r="H7" s="11"/>
      <c r="I7" s="10">
        <v>2</v>
      </c>
      <c r="J7" s="1"/>
      <c r="K7" s="1"/>
      <c r="L7" s="1">
        <v>3</v>
      </c>
      <c r="M7" s="1"/>
      <c r="N7" s="11">
        <v>1</v>
      </c>
      <c r="O7" s="10">
        <v>1</v>
      </c>
      <c r="P7" s="1"/>
      <c r="Q7" s="1"/>
      <c r="R7" s="1">
        <v>2</v>
      </c>
      <c r="S7" s="1"/>
      <c r="T7" s="11">
        <v>1</v>
      </c>
      <c r="U7" s="10">
        <v>1</v>
      </c>
      <c r="V7" s="1"/>
      <c r="W7" s="1"/>
      <c r="X7" s="1">
        <v>3</v>
      </c>
      <c r="Y7" s="1"/>
      <c r="Z7" s="11">
        <v>1</v>
      </c>
      <c r="AA7" s="10">
        <v>2</v>
      </c>
      <c r="AB7" s="1"/>
      <c r="AC7" s="1"/>
      <c r="AD7" s="1">
        <v>1</v>
      </c>
      <c r="AE7" s="1"/>
      <c r="AF7" s="11">
        <v>2</v>
      </c>
      <c r="AG7" s="10"/>
      <c r="AH7" s="1"/>
      <c r="AI7" s="1"/>
      <c r="AJ7" s="1">
        <v>1</v>
      </c>
      <c r="AK7" s="1"/>
      <c r="AL7" s="11">
        <v>2</v>
      </c>
      <c r="AM7" s="1">
        <f t="shared" si="1"/>
        <v>22</v>
      </c>
    </row>
    <row r="8" spans="1:39" ht="15.6">
      <c r="A8" s="10" t="s">
        <v>79</v>
      </c>
      <c r="B8" s="1">
        <v>20</v>
      </c>
      <c r="C8" s="10">
        <v>0.2</v>
      </c>
      <c r="D8" s="1"/>
      <c r="E8" s="1"/>
      <c r="F8" s="1"/>
      <c r="G8" s="1"/>
      <c r="H8" s="11"/>
      <c r="I8" s="10">
        <v>2</v>
      </c>
      <c r="J8" s="1"/>
      <c r="K8" s="1"/>
      <c r="L8" s="1">
        <v>2</v>
      </c>
      <c r="M8" s="1"/>
      <c r="N8" s="11">
        <v>2</v>
      </c>
      <c r="O8" s="10">
        <v>2.5</v>
      </c>
      <c r="P8" s="1"/>
      <c r="Q8" s="1"/>
      <c r="R8" s="1"/>
      <c r="S8" s="1">
        <v>0.5</v>
      </c>
      <c r="T8" s="11">
        <v>2</v>
      </c>
      <c r="U8" s="10">
        <v>1</v>
      </c>
      <c r="V8" s="1"/>
      <c r="W8" s="1"/>
      <c r="X8" s="1">
        <v>1</v>
      </c>
      <c r="Y8" s="1"/>
      <c r="Z8" s="11">
        <v>0.5</v>
      </c>
      <c r="AA8" s="10">
        <v>2</v>
      </c>
      <c r="AB8" s="1"/>
      <c r="AC8" s="1"/>
      <c r="AD8" s="1">
        <v>1</v>
      </c>
      <c r="AE8" s="1"/>
      <c r="AF8" s="11"/>
      <c r="AG8" s="10"/>
      <c r="AH8" s="1"/>
      <c r="AI8" s="1"/>
      <c r="AJ8" s="1">
        <v>1</v>
      </c>
      <c r="AK8" s="1"/>
      <c r="AL8" s="11">
        <v>2</v>
      </c>
      <c r="AM8" s="1">
        <f t="shared" si="1"/>
        <v>18.600000000000001</v>
      </c>
    </row>
    <row r="9" spans="1:39" ht="15.6">
      <c r="A9" s="8" t="s">
        <v>81</v>
      </c>
      <c r="B9" s="2">
        <v>22</v>
      </c>
      <c r="C9" s="8"/>
      <c r="D9" s="2"/>
      <c r="E9" s="2"/>
      <c r="F9" s="2"/>
      <c r="G9" s="2">
        <v>0.2</v>
      </c>
      <c r="H9" s="9"/>
      <c r="I9" s="8"/>
      <c r="J9" s="2"/>
      <c r="K9" s="2"/>
      <c r="L9" s="2">
        <v>2</v>
      </c>
      <c r="M9" s="2">
        <v>1</v>
      </c>
      <c r="N9" s="9"/>
      <c r="O9" s="8">
        <v>2</v>
      </c>
      <c r="P9" s="2"/>
      <c r="Q9" s="2"/>
      <c r="R9" s="2">
        <v>1</v>
      </c>
      <c r="S9" s="2">
        <v>3.5</v>
      </c>
      <c r="T9" s="9"/>
      <c r="U9" s="8">
        <v>2</v>
      </c>
      <c r="V9" s="2"/>
      <c r="W9" s="2"/>
      <c r="X9" s="2">
        <v>2</v>
      </c>
      <c r="Y9" s="2">
        <v>2</v>
      </c>
      <c r="Z9" s="9"/>
      <c r="AA9" s="8">
        <v>2</v>
      </c>
      <c r="AB9" s="2"/>
      <c r="AC9" s="2"/>
      <c r="AD9" s="2"/>
      <c r="AE9" s="2">
        <v>1</v>
      </c>
      <c r="AF9" s="9"/>
      <c r="AG9" s="8">
        <v>2</v>
      </c>
      <c r="AH9" s="2"/>
      <c r="AI9" s="2"/>
      <c r="AJ9" s="2">
        <v>2</v>
      </c>
      <c r="AK9" s="2">
        <v>2</v>
      </c>
      <c r="AL9" s="9"/>
      <c r="AM9" s="1">
        <f t="shared" si="1"/>
        <v>22.5</v>
      </c>
    </row>
    <row r="10" spans="1:39" ht="15.6">
      <c r="A10" s="5" t="s">
        <v>82</v>
      </c>
      <c r="B10" s="6">
        <v>25</v>
      </c>
      <c r="C10" s="5"/>
      <c r="D10" s="6"/>
      <c r="E10" s="6"/>
      <c r="F10" s="6"/>
      <c r="G10" s="6"/>
      <c r="H10" s="7"/>
      <c r="I10" s="5">
        <v>0</v>
      </c>
      <c r="J10" s="6">
        <v>0</v>
      </c>
      <c r="K10" s="6">
        <v>0</v>
      </c>
      <c r="L10" s="6">
        <v>0</v>
      </c>
      <c r="M10" s="6">
        <v>0</v>
      </c>
      <c r="N10" s="7">
        <v>0</v>
      </c>
      <c r="O10" s="5"/>
      <c r="P10" s="6"/>
      <c r="Q10" s="6">
        <v>1</v>
      </c>
      <c r="R10" s="6"/>
      <c r="S10" s="6">
        <v>1</v>
      </c>
      <c r="T10" s="7"/>
      <c r="U10" s="5"/>
      <c r="V10" s="6"/>
      <c r="W10" s="6"/>
      <c r="X10" s="6"/>
      <c r="Y10" s="6">
        <v>2</v>
      </c>
      <c r="Z10" s="7">
        <v>2</v>
      </c>
      <c r="AA10" s="5"/>
      <c r="AB10" s="6"/>
      <c r="AC10" s="6"/>
      <c r="AD10" s="6"/>
      <c r="AE10" s="6">
        <v>1</v>
      </c>
      <c r="AF10" s="7">
        <v>2</v>
      </c>
      <c r="AG10" s="5"/>
      <c r="AH10" s="6"/>
      <c r="AI10" s="6">
        <v>1</v>
      </c>
      <c r="AJ10" s="6"/>
      <c r="AK10" s="6">
        <v>1</v>
      </c>
      <c r="AL10" s="7">
        <v>1</v>
      </c>
      <c r="AM10" s="1">
        <f t="shared" si="1"/>
        <v>16</v>
      </c>
    </row>
    <row r="11" spans="1:39" ht="15.6">
      <c r="A11" s="10" t="s">
        <v>83</v>
      </c>
      <c r="B11" s="1">
        <v>32</v>
      </c>
      <c r="C11" s="10"/>
      <c r="D11" s="1"/>
      <c r="E11" s="1"/>
      <c r="F11" s="1"/>
      <c r="G11" s="1"/>
      <c r="H11" s="11"/>
      <c r="I11" s="10"/>
      <c r="J11" s="1"/>
      <c r="K11" s="1"/>
      <c r="L11" s="1"/>
      <c r="M11" s="1">
        <v>2</v>
      </c>
      <c r="N11" s="11">
        <v>1</v>
      </c>
      <c r="O11" s="10"/>
      <c r="P11" s="1"/>
      <c r="Q11" s="1"/>
      <c r="R11" s="1"/>
      <c r="S11" s="1">
        <v>2</v>
      </c>
      <c r="T11" s="11"/>
      <c r="U11" s="10"/>
      <c r="V11" s="1"/>
      <c r="W11" s="1"/>
      <c r="X11" s="1">
        <v>2</v>
      </c>
      <c r="Y11" s="1"/>
      <c r="Z11" s="11">
        <v>2</v>
      </c>
      <c r="AA11" s="10"/>
      <c r="AB11" s="1"/>
      <c r="AC11" s="1"/>
      <c r="AD11" s="1">
        <v>2</v>
      </c>
      <c r="AE11" s="1">
        <v>1</v>
      </c>
      <c r="AF11" s="11"/>
      <c r="AG11" s="10"/>
      <c r="AH11" s="1"/>
      <c r="AI11" s="1"/>
      <c r="AJ11" s="1">
        <v>2</v>
      </c>
      <c r="AK11" s="1">
        <v>1</v>
      </c>
      <c r="AL11" s="11"/>
      <c r="AM11" s="1">
        <f t="shared" si="1"/>
        <v>14</v>
      </c>
    </row>
    <row r="12" spans="1:39" ht="15.6">
      <c r="A12" s="10" t="s">
        <v>84</v>
      </c>
      <c r="B12" s="1">
        <v>37</v>
      </c>
      <c r="C12" s="10"/>
      <c r="D12" s="1"/>
      <c r="E12" s="1"/>
      <c r="F12" s="1">
        <v>0.2</v>
      </c>
      <c r="G12" s="1"/>
      <c r="H12" s="11"/>
      <c r="I12" s="10"/>
      <c r="J12" s="1"/>
      <c r="K12" s="1"/>
      <c r="L12" s="1">
        <v>3</v>
      </c>
      <c r="M12" s="1"/>
      <c r="N12" s="11"/>
      <c r="O12" s="10"/>
      <c r="P12" s="1"/>
      <c r="Q12" s="1">
        <v>2</v>
      </c>
      <c r="R12" s="1">
        <v>3.5</v>
      </c>
      <c r="S12" s="1"/>
      <c r="T12" s="11"/>
      <c r="U12" s="10"/>
      <c r="V12" s="1"/>
      <c r="W12" s="1">
        <v>1</v>
      </c>
      <c r="X12" s="1">
        <v>1</v>
      </c>
      <c r="Y12" s="1"/>
      <c r="Z12" s="11">
        <v>2</v>
      </c>
      <c r="AA12" s="10"/>
      <c r="AB12" s="1"/>
      <c r="AC12" s="1">
        <v>3</v>
      </c>
      <c r="AD12" s="1">
        <v>1</v>
      </c>
      <c r="AE12" s="1"/>
      <c r="AF12" s="11">
        <v>2</v>
      </c>
      <c r="AG12" s="10"/>
      <c r="AH12" s="1"/>
      <c r="AI12" s="1"/>
      <c r="AJ12" s="1">
        <v>3</v>
      </c>
      <c r="AK12" s="1"/>
      <c r="AL12" s="11">
        <v>1</v>
      </c>
      <c r="AM12" s="1">
        <f t="shared" si="1"/>
        <v>21.3</v>
      </c>
    </row>
    <row r="13" spans="1:39" ht="15.6">
      <c r="A13" s="10" t="s">
        <v>85</v>
      </c>
      <c r="B13" s="1">
        <v>39</v>
      </c>
      <c r="C13" s="10"/>
      <c r="D13" s="1"/>
      <c r="E13" s="1"/>
      <c r="F13" s="1"/>
      <c r="G13" s="1"/>
      <c r="H13" s="11"/>
      <c r="I13" s="10"/>
      <c r="J13" s="1"/>
      <c r="K13" s="1">
        <v>2</v>
      </c>
      <c r="L13" s="1">
        <v>2</v>
      </c>
      <c r="M13" s="1">
        <v>1</v>
      </c>
      <c r="N13" s="11"/>
      <c r="O13" s="10"/>
      <c r="P13" s="1"/>
      <c r="Q13" s="1">
        <v>1</v>
      </c>
      <c r="R13" s="1">
        <v>1</v>
      </c>
      <c r="S13" s="1">
        <v>2</v>
      </c>
      <c r="T13" s="11"/>
      <c r="U13" s="10"/>
      <c r="V13" s="1"/>
      <c r="W13" s="1">
        <v>2</v>
      </c>
      <c r="X13" s="1">
        <v>2</v>
      </c>
      <c r="Y13" s="1">
        <v>1</v>
      </c>
      <c r="Z13" s="11"/>
      <c r="AA13" s="10"/>
      <c r="AB13" s="1"/>
      <c r="AC13" s="1"/>
      <c r="AD13" s="1"/>
      <c r="AE13" s="1">
        <v>2</v>
      </c>
      <c r="AF13" s="11">
        <v>1</v>
      </c>
      <c r="AG13" s="10"/>
      <c r="AH13" s="1"/>
      <c r="AI13" s="1">
        <v>2</v>
      </c>
      <c r="AJ13" s="1">
        <v>2</v>
      </c>
      <c r="AK13" s="1">
        <v>2</v>
      </c>
      <c r="AL13" s="11">
        <v>1</v>
      </c>
      <c r="AM13" s="1">
        <f t="shared" si="1"/>
        <v>22</v>
      </c>
    </row>
    <row r="14" spans="1:39" ht="15.6">
      <c r="A14" s="8" t="s">
        <v>86</v>
      </c>
      <c r="B14" s="2">
        <v>49</v>
      </c>
      <c r="C14" s="8"/>
      <c r="D14" s="2"/>
      <c r="E14" s="2"/>
      <c r="F14" s="2">
        <v>0.2</v>
      </c>
      <c r="G14" s="2"/>
      <c r="H14" s="9"/>
      <c r="I14" s="8">
        <v>1</v>
      </c>
      <c r="J14" s="2">
        <v>2</v>
      </c>
      <c r="K14" s="2"/>
      <c r="L14" s="2">
        <v>2</v>
      </c>
      <c r="M14" s="2"/>
      <c r="N14" s="9"/>
      <c r="O14" s="8">
        <v>1</v>
      </c>
      <c r="P14" s="2">
        <v>1</v>
      </c>
      <c r="Q14" s="2"/>
      <c r="R14" s="2">
        <v>2.5</v>
      </c>
      <c r="S14" s="2"/>
      <c r="T14" s="9"/>
      <c r="U14" s="8">
        <v>1</v>
      </c>
      <c r="V14" s="2">
        <v>3</v>
      </c>
      <c r="W14" s="2"/>
      <c r="X14" s="2">
        <v>2</v>
      </c>
      <c r="Y14" s="2"/>
      <c r="Z14" s="9"/>
      <c r="AA14" s="8">
        <v>2</v>
      </c>
      <c r="AB14" s="2"/>
      <c r="AC14" s="2"/>
      <c r="AD14" s="2">
        <v>2</v>
      </c>
      <c r="AE14" s="2"/>
      <c r="AF14" s="9"/>
      <c r="AG14" s="8">
        <v>3</v>
      </c>
      <c r="AH14" s="2">
        <v>2</v>
      </c>
      <c r="AI14" s="2"/>
      <c r="AJ14" s="2"/>
      <c r="AK14" s="2"/>
      <c r="AL14" s="9"/>
      <c r="AM14" s="1">
        <f t="shared" si="1"/>
        <v>17.3</v>
      </c>
    </row>
    <row r="15" spans="1:39" ht="15.6">
      <c r="A15" s="5" t="s">
        <v>87</v>
      </c>
      <c r="B15" s="6">
        <v>67</v>
      </c>
      <c r="C15" s="5">
        <v>0.2</v>
      </c>
      <c r="D15" s="6"/>
      <c r="E15" s="6"/>
      <c r="F15" s="6"/>
      <c r="G15" s="6"/>
      <c r="H15" s="7"/>
      <c r="I15" s="5">
        <v>2</v>
      </c>
      <c r="J15" s="6">
        <v>4</v>
      </c>
      <c r="K15" s="6"/>
      <c r="L15" s="6"/>
      <c r="M15" s="6"/>
      <c r="N15" s="7"/>
      <c r="O15" s="5">
        <v>2.5</v>
      </c>
      <c r="P15" s="6">
        <v>2</v>
      </c>
      <c r="Q15" s="6"/>
      <c r="R15" s="6"/>
      <c r="S15" s="6"/>
      <c r="T15" s="7"/>
      <c r="U15" s="5">
        <v>2</v>
      </c>
      <c r="V15" s="6">
        <v>2</v>
      </c>
      <c r="W15" s="6"/>
      <c r="X15" s="6"/>
      <c r="Y15" s="6"/>
      <c r="Z15" s="7"/>
      <c r="AA15" s="5">
        <v>2</v>
      </c>
      <c r="AB15" s="6">
        <v>4</v>
      </c>
      <c r="AC15" s="6"/>
      <c r="AD15" s="6"/>
      <c r="AE15" s="6"/>
      <c r="AF15" s="7"/>
      <c r="AG15" s="5">
        <v>1</v>
      </c>
      <c r="AH15" s="6">
        <v>4</v>
      </c>
      <c r="AI15" s="6"/>
      <c r="AJ15" s="6"/>
      <c r="AK15" s="6"/>
      <c r="AL15" s="7"/>
      <c r="AM15" s="1">
        <f t="shared" si="1"/>
        <v>16.100000000000001</v>
      </c>
    </row>
    <row r="16" spans="1:39" ht="15.6">
      <c r="A16" s="10" t="s">
        <v>88</v>
      </c>
      <c r="B16" s="1">
        <v>72</v>
      </c>
      <c r="C16" s="10"/>
      <c r="D16" s="1"/>
      <c r="E16" s="1"/>
      <c r="F16" s="1"/>
      <c r="G16" s="1"/>
      <c r="H16" s="11"/>
      <c r="I16" s="10">
        <v>2</v>
      </c>
      <c r="J16" s="1">
        <v>2</v>
      </c>
      <c r="K16" s="1"/>
      <c r="L16" s="1"/>
      <c r="M16" s="1"/>
      <c r="N16" s="11"/>
      <c r="O16" s="10">
        <v>2</v>
      </c>
      <c r="P16" s="1">
        <v>4</v>
      </c>
      <c r="Q16" s="1"/>
      <c r="R16" s="1"/>
      <c r="S16" s="1"/>
      <c r="T16" s="11"/>
      <c r="U16" s="10"/>
      <c r="V16" s="1">
        <v>2</v>
      </c>
      <c r="W16" s="1"/>
      <c r="X16" s="1"/>
      <c r="Y16" s="1"/>
      <c r="Z16" s="11"/>
      <c r="AA16" s="10">
        <v>2</v>
      </c>
      <c r="AB16" s="1">
        <v>2</v>
      </c>
      <c r="AC16" s="1"/>
      <c r="AD16" s="1"/>
      <c r="AE16" s="1"/>
      <c r="AF16" s="11"/>
      <c r="AG16" s="10">
        <v>1</v>
      </c>
      <c r="AH16" s="1">
        <v>4</v>
      </c>
      <c r="AI16" s="1"/>
      <c r="AJ16" s="1"/>
      <c r="AK16" s="1"/>
      <c r="AL16" s="11"/>
      <c r="AM16" s="1">
        <f t="shared" si="1"/>
        <v>15</v>
      </c>
    </row>
    <row r="17" spans="1:39" ht="15.6">
      <c r="A17" s="10" t="s">
        <v>89</v>
      </c>
      <c r="B17" s="1">
        <v>73</v>
      </c>
      <c r="C17" s="10"/>
      <c r="D17" s="1"/>
      <c r="E17" s="1"/>
      <c r="F17" s="1">
        <v>0.2</v>
      </c>
      <c r="G17" s="1"/>
      <c r="H17" s="11"/>
      <c r="I17" s="10">
        <v>0</v>
      </c>
      <c r="J17" s="1">
        <v>0</v>
      </c>
      <c r="K17" s="1">
        <v>0</v>
      </c>
      <c r="L17" s="1">
        <v>0</v>
      </c>
      <c r="M17" s="1">
        <v>0</v>
      </c>
      <c r="N17" s="11">
        <v>0</v>
      </c>
      <c r="O17" s="10"/>
      <c r="P17" s="1"/>
      <c r="Q17" s="1">
        <v>2</v>
      </c>
      <c r="R17" s="1">
        <v>4</v>
      </c>
      <c r="S17" s="1">
        <v>1</v>
      </c>
      <c r="T17" s="11"/>
      <c r="U17" s="10"/>
      <c r="V17" s="1"/>
      <c r="W17" s="1"/>
      <c r="X17" s="1"/>
      <c r="Y17" s="1">
        <v>2</v>
      </c>
      <c r="Z17" s="11">
        <v>2</v>
      </c>
      <c r="AA17" s="10"/>
      <c r="AB17" s="1"/>
      <c r="AC17" s="1">
        <v>2</v>
      </c>
      <c r="AD17" s="1">
        <v>2</v>
      </c>
      <c r="AE17" s="1">
        <v>1</v>
      </c>
      <c r="AF17" s="11">
        <v>2</v>
      </c>
      <c r="AG17" s="10"/>
      <c r="AH17" s="1"/>
      <c r="AI17" s="1"/>
      <c r="AJ17" s="1">
        <v>2</v>
      </c>
      <c r="AK17" s="1">
        <v>1</v>
      </c>
      <c r="AL17" s="11">
        <v>1</v>
      </c>
      <c r="AM17" s="1">
        <f t="shared" si="1"/>
        <v>22.8</v>
      </c>
    </row>
    <row r="18" spans="1:39" ht="15.6">
      <c r="A18" s="10" t="s">
        <v>81</v>
      </c>
      <c r="B18" s="1">
        <v>76</v>
      </c>
      <c r="C18" s="10"/>
      <c r="D18" s="1"/>
      <c r="E18" s="1"/>
      <c r="F18" s="1"/>
      <c r="G18" s="1"/>
      <c r="H18" s="11"/>
      <c r="I18" s="10"/>
      <c r="J18" s="1"/>
      <c r="K18" s="1"/>
      <c r="L18" s="1"/>
      <c r="M18" s="1">
        <v>1</v>
      </c>
      <c r="N18" s="11">
        <v>1.5</v>
      </c>
      <c r="O18" s="10"/>
      <c r="P18" s="1"/>
      <c r="Q18" s="1"/>
      <c r="R18" s="1"/>
      <c r="S18" s="1">
        <v>2.5</v>
      </c>
      <c r="T18" s="11">
        <v>2</v>
      </c>
      <c r="U18" s="10">
        <v>0</v>
      </c>
      <c r="V18" s="1">
        <v>0</v>
      </c>
      <c r="W18" s="1">
        <v>0</v>
      </c>
      <c r="X18" s="1">
        <v>0</v>
      </c>
      <c r="Y18" s="1">
        <v>0</v>
      </c>
      <c r="Z18" s="11">
        <v>0</v>
      </c>
      <c r="AA18" s="10"/>
      <c r="AB18" s="1"/>
      <c r="AC18" s="1"/>
      <c r="AD18" s="1"/>
      <c r="AE18" s="1">
        <v>3</v>
      </c>
      <c r="AF18" s="11"/>
      <c r="AG18" s="10"/>
      <c r="AH18" s="1"/>
      <c r="AI18" s="1"/>
      <c r="AJ18" s="1"/>
      <c r="AK18" s="1">
        <v>2</v>
      </c>
      <c r="AL18" s="11"/>
      <c r="AM18" s="1">
        <f t="shared" si="1"/>
        <v>9</v>
      </c>
    </row>
    <row r="19" spans="1:39" ht="12" customHeight="1">
      <c r="A19" s="10" t="s">
        <v>91</v>
      </c>
      <c r="B19" s="1">
        <v>78</v>
      </c>
      <c r="C19" s="10"/>
      <c r="D19" s="1"/>
      <c r="E19" s="1"/>
      <c r="F19" s="1"/>
      <c r="G19" s="1"/>
      <c r="H19" s="11">
        <v>0.2</v>
      </c>
      <c r="I19" s="10">
        <v>1</v>
      </c>
      <c r="J19" s="1"/>
      <c r="K19" s="1">
        <v>2</v>
      </c>
      <c r="L19" s="1"/>
      <c r="M19" s="1">
        <v>2</v>
      </c>
      <c r="N19" s="11"/>
      <c r="O19" s="10"/>
      <c r="P19" s="1"/>
      <c r="Q19" s="1">
        <v>1</v>
      </c>
      <c r="R19" s="1"/>
      <c r="S19" s="1">
        <v>1</v>
      </c>
      <c r="T19" s="11">
        <v>3.5</v>
      </c>
      <c r="U19" s="10"/>
      <c r="V19" s="1"/>
      <c r="W19" s="1">
        <v>1</v>
      </c>
      <c r="X19" s="1"/>
      <c r="Y19" s="1">
        <v>2</v>
      </c>
      <c r="Z19" s="11">
        <v>2</v>
      </c>
      <c r="AA19" s="10"/>
      <c r="AB19" s="1"/>
      <c r="AC19" s="1"/>
      <c r="AD19" s="1"/>
      <c r="AE19" s="1">
        <v>1</v>
      </c>
      <c r="AF19" s="11">
        <v>1</v>
      </c>
      <c r="AG19" s="10">
        <v>1</v>
      </c>
      <c r="AH19" s="1"/>
      <c r="AI19" s="1">
        <v>1</v>
      </c>
      <c r="AJ19" s="1"/>
      <c r="AK19" s="1">
        <v>1</v>
      </c>
      <c r="AL19" s="11">
        <v>2</v>
      </c>
      <c r="AM19" s="1">
        <f t="shared" si="1"/>
        <v>27.9</v>
      </c>
    </row>
    <row r="20" spans="1:39" ht="15.6">
      <c r="A20" s="5" t="s">
        <v>457</v>
      </c>
      <c r="B20" s="6">
        <v>84</v>
      </c>
      <c r="C20" s="5">
        <v>0.2</v>
      </c>
      <c r="D20" s="6"/>
      <c r="E20" s="6"/>
      <c r="F20" s="6"/>
      <c r="G20" s="6"/>
      <c r="H20" s="7"/>
      <c r="I20" s="5"/>
      <c r="J20" s="6"/>
      <c r="K20" s="6">
        <v>2</v>
      </c>
      <c r="L20" s="6"/>
      <c r="M20" s="6"/>
      <c r="N20" s="7"/>
      <c r="O20" s="5">
        <v>2.5</v>
      </c>
      <c r="P20" s="6"/>
      <c r="Q20" s="6"/>
      <c r="R20" s="6">
        <v>1</v>
      </c>
      <c r="S20" s="6">
        <v>1</v>
      </c>
      <c r="T20" s="7"/>
      <c r="U20" s="5"/>
      <c r="V20" s="6"/>
      <c r="W20" s="6">
        <v>1</v>
      </c>
      <c r="X20" s="6"/>
      <c r="Y20" s="6">
        <v>2</v>
      </c>
      <c r="Z20" s="7">
        <v>2</v>
      </c>
      <c r="AA20" s="5">
        <v>1</v>
      </c>
      <c r="AB20" s="6"/>
      <c r="AC20" s="6"/>
      <c r="AD20" s="6">
        <v>2</v>
      </c>
      <c r="AE20" s="6">
        <v>1</v>
      </c>
      <c r="AF20" s="7">
        <v>2</v>
      </c>
      <c r="AG20" s="5"/>
      <c r="AH20" s="6"/>
      <c r="AI20" s="6">
        <v>1</v>
      </c>
      <c r="AJ20" s="6">
        <v>2</v>
      </c>
      <c r="AK20" s="6">
        <v>1</v>
      </c>
      <c r="AL20" s="7">
        <v>1</v>
      </c>
      <c r="AM20" s="1">
        <f t="shared" si="1"/>
        <v>23.1</v>
      </c>
    </row>
    <row r="21" spans="1:39" ht="15.75" customHeight="1">
      <c r="A21" s="10" t="s">
        <v>93</v>
      </c>
      <c r="B21" s="12">
        <v>85</v>
      </c>
      <c r="C21" s="13"/>
      <c r="D21" s="12"/>
      <c r="E21" s="12"/>
      <c r="F21" s="12"/>
      <c r="G21" s="12"/>
      <c r="H21" s="14"/>
      <c r="I21" s="10"/>
      <c r="J21" s="1">
        <v>2</v>
      </c>
      <c r="K21" s="1">
        <v>2</v>
      </c>
      <c r="L21" s="1"/>
      <c r="M21" s="1"/>
      <c r="N21" s="11"/>
      <c r="O21" s="10"/>
      <c r="P21" s="1">
        <v>2</v>
      </c>
      <c r="Q21" s="1">
        <v>1</v>
      </c>
      <c r="R21" s="1"/>
      <c r="S21" s="1"/>
      <c r="T21" s="11"/>
      <c r="U21" s="10"/>
      <c r="V21" s="1"/>
      <c r="W21" s="1">
        <v>2</v>
      </c>
      <c r="X21" s="1"/>
      <c r="Y21" s="1"/>
      <c r="Z21" s="11"/>
      <c r="AA21" s="10"/>
      <c r="AB21" s="1">
        <v>2</v>
      </c>
      <c r="AC21" s="1"/>
      <c r="AD21" s="1"/>
      <c r="AE21" s="1"/>
      <c r="AF21" s="11"/>
      <c r="AG21" s="10"/>
      <c r="AH21" s="1">
        <v>2</v>
      </c>
      <c r="AI21" s="1">
        <v>2</v>
      </c>
      <c r="AJ21" s="1"/>
      <c r="AK21" s="1"/>
      <c r="AL21" s="11"/>
      <c r="AM21" s="1">
        <f t="shared" si="1"/>
        <v>11</v>
      </c>
    </row>
    <row r="22" spans="1:39" ht="15.75" customHeight="1">
      <c r="A22" s="10" t="s">
        <v>94</v>
      </c>
      <c r="B22" s="1">
        <v>86</v>
      </c>
      <c r="C22" s="10"/>
      <c r="D22" s="1"/>
      <c r="E22" s="1"/>
      <c r="F22" s="1"/>
      <c r="G22" s="1">
        <v>0.2</v>
      </c>
      <c r="H22" s="11"/>
      <c r="I22" s="10"/>
      <c r="J22" s="1"/>
      <c r="K22" s="1">
        <v>2</v>
      </c>
      <c r="L22" s="1"/>
      <c r="M22" s="1">
        <v>2</v>
      </c>
      <c r="N22" s="11"/>
      <c r="O22" s="10"/>
      <c r="P22" s="1"/>
      <c r="Q22" s="1">
        <v>2</v>
      </c>
      <c r="R22" s="1"/>
      <c r="S22" s="1">
        <v>3</v>
      </c>
      <c r="T22" s="11"/>
      <c r="U22" s="10"/>
      <c r="V22" s="1"/>
      <c r="W22" s="1">
        <v>2</v>
      </c>
      <c r="X22" s="1">
        <v>1</v>
      </c>
      <c r="Y22" s="1">
        <v>2</v>
      </c>
      <c r="Z22" s="11">
        <v>0.5</v>
      </c>
      <c r="AA22" s="10"/>
      <c r="AB22" s="1"/>
      <c r="AC22" s="1"/>
      <c r="AD22" s="1"/>
      <c r="AE22" s="1">
        <v>3.5</v>
      </c>
      <c r="AF22" s="11"/>
      <c r="AG22" s="10"/>
      <c r="AH22" s="1"/>
      <c r="AI22" s="1"/>
      <c r="AJ22" s="1">
        <v>1</v>
      </c>
      <c r="AK22" s="1">
        <v>4</v>
      </c>
      <c r="AL22" s="11"/>
      <c r="AM22" s="1">
        <f t="shared" si="1"/>
        <v>21</v>
      </c>
    </row>
    <row r="23" spans="1:39" ht="15.75" customHeight="1">
      <c r="A23" s="10" t="s">
        <v>95</v>
      </c>
      <c r="B23" s="1">
        <v>90</v>
      </c>
      <c r="C23" s="10"/>
      <c r="D23" s="1">
        <v>0.2</v>
      </c>
      <c r="E23" s="1"/>
      <c r="F23" s="1"/>
      <c r="G23" s="1"/>
      <c r="H23" s="11"/>
      <c r="I23" s="10"/>
      <c r="J23" s="1">
        <v>1</v>
      </c>
      <c r="K23" s="1">
        <v>2</v>
      </c>
      <c r="L23" s="1"/>
      <c r="M23" s="1"/>
      <c r="N23" s="11"/>
      <c r="O23" s="10"/>
      <c r="P23" s="1">
        <v>1.5</v>
      </c>
      <c r="Q23" s="1">
        <v>2</v>
      </c>
      <c r="R23" s="1"/>
      <c r="S23" s="1"/>
      <c r="T23" s="11"/>
      <c r="U23" s="10"/>
      <c r="V23" s="1">
        <v>1</v>
      </c>
      <c r="W23" s="1">
        <v>2</v>
      </c>
      <c r="X23" s="1"/>
      <c r="Y23" s="1">
        <v>2</v>
      </c>
      <c r="Z23" s="11"/>
      <c r="AA23" s="10">
        <v>1</v>
      </c>
      <c r="AB23" s="1">
        <v>1</v>
      </c>
      <c r="AC23" s="1"/>
      <c r="AD23" s="1"/>
      <c r="AE23" s="1">
        <v>2</v>
      </c>
      <c r="AF23" s="11"/>
      <c r="AG23" s="10">
        <v>1</v>
      </c>
      <c r="AH23" s="1">
        <v>1</v>
      </c>
      <c r="AI23" s="1"/>
      <c r="AJ23" s="1"/>
      <c r="AK23" s="1">
        <v>2</v>
      </c>
      <c r="AL23" s="11"/>
      <c r="AM23" s="1">
        <f t="shared" si="1"/>
        <v>15.1</v>
      </c>
    </row>
    <row r="24" spans="1:39" ht="15.75" customHeight="1">
      <c r="A24" s="8" t="s">
        <v>97</v>
      </c>
      <c r="B24" s="2">
        <v>91</v>
      </c>
      <c r="C24" s="8"/>
      <c r="D24" s="2"/>
      <c r="E24" s="2"/>
      <c r="F24" s="2"/>
      <c r="G24" s="2">
        <v>0.2</v>
      </c>
      <c r="H24" s="9"/>
      <c r="I24" s="8"/>
      <c r="J24" s="2">
        <v>1</v>
      </c>
      <c r="K24" s="2"/>
      <c r="L24" s="2">
        <v>2</v>
      </c>
      <c r="M24" s="2">
        <v>2.5</v>
      </c>
      <c r="N24" s="9"/>
      <c r="O24" s="8"/>
      <c r="P24" s="2">
        <v>1</v>
      </c>
      <c r="Q24" s="2"/>
      <c r="R24" s="2">
        <v>2</v>
      </c>
      <c r="S24" s="2">
        <v>2.5</v>
      </c>
      <c r="T24" s="9"/>
      <c r="U24" s="8"/>
      <c r="V24" s="2"/>
      <c r="W24" s="2">
        <v>2</v>
      </c>
      <c r="X24" s="2">
        <v>2</v>
      </c>
      <c r="Y24" s="2">
        <v>2</v>
      </c>
      <c r="Z24" s="9"/>
      <c r="AA24" s="8"/>
      <c r="AB24" s="2">
        <v>2</v>
      </c>
      <c r="AC24" s="2"/>
      <c r="AD24" s="2">
        <v>1</v>
      </c>
      <c r="AE24" s="2">
        <v>1</v>
      </c>
      <c r="AF24" s="9">
        <v>1</v>
      </c>
      <c r="AG24" s="8"/>
      <c r="AH24" s="2"/>
      <c r="AI24" s="2"/>
      <c r="AJ24" s="2"/>
      <c r="AK24" s="2">
        <v>2</v>
      </c>
      <c r="AL24" s="9">
        <v>0.5</v>
      </c>
      <c r="AM24" s="1">
        <f t="shared" si="1"/>
        <v>22</v>
      </c>
    </row>
    <row r="25" spans="1:39" ht="15.75" customHeight="1">
      <c r="A25" s="5" t="s">
        <v>98</v>
      </c>
      <c r="B25" s="6">
        <v>92</v>
      </c>
      <c r="C25" s="5">
        <v>0.2</v>
      </c>
      <c r="D25" s="6"/>
      <c r="E25" s="6"/>
      <c r="F25" s="6"/>
      <c r="G25" s="6"/>
      <c r="H25" s="7"/>
      <c r="I25" s="5">
        <v>2</v>
      </c>
      <c r="J25" s="6">
        <v>2</v>
      </c>
      <c r="K25" s="6"/>
      <c r="L25" s="6"/>
      <c r="M25" s="6"/>
      <c r="N25" s="7"/>
      <c r="O25" s="5">
        <v>1.5</v>
      </c>
      <c r="P25" s="6">
        <v>2</v>
      </c>
      <c r="Q25" s="6">
        <v>1</v>
      </c>
      <c r="R25" s="6"/>
      <c r="S25" s="6"/>
      <c r="T25" s="7"/>
      <c r="U25" s="5">
        <v>1</v>
      </c>
      <c r="V25" s="6">
        <v>1</v>
      </c>
      <c r="W25" s="6">
        <v>2</v>
      </c>
      <c r="X25" s="6"/>
      <c r="Y25" s="6"/>
      <c r="Z25" s="7"/>
      <c r="AA25" s="5">
        <v>2</v>
      </c>
      <c r="AB25" s="6">
        <v>2</v>
      </c>
      <c r="AC25" s="6">
        <v>1</v>
      </c>
      <c r="AD25" s="6"/>
      <c r="AE25" s="6"/>
      <c r="AF25" s="7"/>
      <c r="AG25" s="5">
        <v>3</v>
      </c>
      <c r="AH25" s="6">
        <v>1</v>
      </c>
      <c r="AI25" s="6"/>
      <c r="AJ25" s="6"/>
      <c r="AK25" s="6"/>
      <c r="AL25" s="7"/>
      <c r="AM25" s="1">
        <f t="shared" si="1"/>
        <v>13.1</v>
      </c>
    </row>
    <row r="26" spans="1:39" ht="15.75" customHeight="1">
      <c r="A26" s="10" t="s">
        <v>99</v>
      </c>
      <c r="B26" s="1">
        <v>102</v>
      </c>
      <c r="C26" s="10"/>
      <c r="D26" s="1"/>
      <c r="E26" s="1"/>
      <c r="F26" s="1"/>
      <c r="G26" s="1">
        <v>0.2</v>
      </c>
      <c r="H26" s="11"/>
      <c r="I26" s="10"/>
      <c r="J26" s="1">
        <v>1</v>
      </c>
      <c r="K26" s="1"/>
      <c r="L26" s="1"/>
      <c r="M26" s="1"/>
      <c r="N26" s="11">
        <v>2</v>
      </c>
      <c r="O26" s="10"/>
      <c r="P26" s="1">
        <v>2</v>
      </c>
      <c r="Q26" s="1"/>
      <c r="R26" s="1"/>
      <c r="S26" s="1">
        <v>1</v>
      </c>
      <c r="T26" s="11">
        <v>1</v>
      </c>
      <c r="U26" s="10"/>
      <c r="V26" s="1">
        <v>1</v>
      </c>
      <c r="W26" s="1"/>
      <c r="X26" s="1"/>
      <c r="Y26" s="1">
        <v>2</v>
      </c>
      <c r="Z26" s="11">
        <v>1</v>
      </c>
      <c r="AA26" s="10"/>
      <c r="AB26" s="1">
        <v>2</v>
      </c>
      <c r="AC26" s="1"/>
      <c r="AD26" s="1"/>
      <c r="AE26" s="1">
        <v>2</v>
      </c>
      <c r="AF26" s="11">
        <v>2</v>
      </c>
      <c r="AG26" s="10"/>
      <c r="AH26" s="1">
        <v>3</v>
      </c>
      <c r="AI26" s="1"/>
      <c r="AJ26" s="1"/>
      <c r="AK26" s="1">
        <v>2</v>
      </c>
      <c r="AL26" s="11">
        <v>1</v>
      </c>
      <c r="AM26" s="1">
        <f t="shared" si="1"/>
        <v>23</v>
      </c>
    </row>
    <row r="27" spans="1:39" ht="15.75" customHeight="1">
      <c r="A27" s="10" t="s">
        <v>104</v>
      </c>
      <c r="B27" s="1">
        <v>103</v>
      </c>
      <c r="C27" s="10"/>
      <c r="D27" s="1"/>
      <c r="E27" s="1"/>
      <c r="F27" s="1"/>
      <c r="G27" s="1">
        <v>0.2</v>
      </c>
      <c r="H27" s="11"/>
      <c r="I27" s="10"/>
      <c r="J27" s="1"/>
      <c r="K27" s="1"/>
      <c r="L27" s="1"/>
      <c r="M27" s="1">
        <v>1</v>
      </c>
      <c r="N27" s="11"/>
      <c r="O27" s="10"/>
      <c r="P27" s="1"/>
      <c r="Q27" s="1"/>
      <c r="R27" s="1">
        <v>1</v>
      </c>
      <c r="S27" s="1">
        <v>2</v>
      </c>
      <c r="T27" s="11"/>
      <c r="U27" s="10"/>
      <c r="V27" s="1"/>
      <c r="W27" s="1"/>
      <c r="X27" s="1"/>
      <c r="Y27" s="1">
        <v>4</v>
      </c>
      <c r="Z27" s="11">
        <v>2</v>
      </c>
      <c r="AA27" s="10"/>
      <c r="AB27" s="1"/>
      <c r="AC27" s="1"/>
      <c r="AD27" s="1">
        <v>2</v>
      </c>
      <c r="AE27" s="1">
        <v>2</v>
      </c>
      <c r="AF27" s="11">
        <v>2</v>
      </c>
      <c r="AG27" s="10"/>
      <c r="AH27" s="1"/>
      <c r="AI27" s="1"/>
      <c r="AJ27" s="1">
        <v>2</v>
      </c>
      <c r="AK27" s="1">
        <v>2</v>
      </c>
      <c r="AL27" s="11">
        <v>1</v>
      </c>
      <c r="AM27" s="1">
        <f t="shared" si="1"/>
        <v>25</v>
      </c>
    </row>
    <row r="28" spans="1:39" ht="15.75" customHeight="1">
      <c r="A28" s="10" t="s">
        <v>105</v>
      </c>
      <c r="B28" s="1">
        <v>112</v>
      </c>
      <c r="C28" s="10"/>
      <c r="D28" s="1">
        <v>0.2</v>
      </c>
      <c r="E28" s="1"/>
      <c r="F28" s="1"/>
      <c r="G28" s="1"/>
      <c r="H28" s="11"/>
      <c r="I28" s="10"/>
      <c r="J28" s="1">
        <v>2</v>
      </c>
      <c r="K28" s="1"/>
      <c r="L28" s="1"/>
      <c r="M28" s="1">
        <v>2</v>
      </c>
      <c r="N28" s="11"/>
      <c r="O28" s="10"/>
      <c r="P28" s="1">
        <v>1.5</v>
      </c>
      <c r="Q28" s="1">
        <v>2</v>
      </c>
      <c r="R28" s="1"/>
      <c r="S28" s="1"/>
      <c r="T28" s="11"/>
      <c r="U28" s="10"/>
      <c r="V28" s="1">
        <v>2</v>
      </c>
      <c r="W28" s="1"/>
      <c r="X28" s="1">
        <v>2</v>
      </c>
      <c r="Y28" s="1"/>
      <c r="Z28" s="11">
        <v>2</v>
      </c>
      <c r="AA28" s="10"/>
      <c r="AB28" s="1"/>
      <c r="AC28" s="1"/>
      <c r="AD28" s="1">
        <v>4</v>
      </c>
      <c r="AE28" s="1"/>
      <c r="AF28" s="11">
        <v>2</v>
      </c>
      <c r="AG28" s="10"/>
      <c r="AH28" s="1"/>
      <c r="AI28" s="1">
        <v>2</v>
      </c>
      <c r="AJ28" s="1"/>
      <c r="AK28" s="1"/>
      <c r="AL28" s="11">
        <v>2</v>
      </c>
      <c r="AM28" s="1">
        <f t="shared" si="1"/>
        <v>22.1</v>
      </c>
    </row>
    <row r="29" spans="1:39" ht="15.75" customHeight="1">
      <c r="A29" s="8" t="s">
        <v>106</v>
      </c>
      <c r="B29" s="2">
        <v>113</v>
      </c>
      <c r="C29" s="8"/>
      <c r="D29" s="2"/>
      <c r="E29" s="2"/>
      <c r="F29" s="2"/>
      <c r="G29" s="2"/>
      <c r="H29" s="9">
        <v>0.2</v>
      </c>
      <c r="I29" s="8"/>
      <c r="J29" s="2"/>
      <c r="K29" s="2">
        <v>1</v>
      </c>
      <c r="L29" s="2">
        <v>1</v>
      </c>
      <c r="M29" s="2">
        <v>2</v>
      </c>
      <c r="N29" s="9">
        <v>2</v>
      </c>
      <c r="O29" s="8"/>
      <c r="P29" s="2"/>
      <c r="Q29" s="2">
        <v>1</v>
      </c>
      <c r="R29" s="2">
        <v>2</v>
      </c>
      <c r="S29" s="2">
        <v>1</v>
      </c>
      <c r="T29" s="9">
        <v>3.5</v>
      </c>
      <c r="U29" s="8"/>
      <c r="V29" s="2"/>
      <c r="W29" s="2"/>
      <c r="X29" s="2"/>
      <c r="Y29" s="2">
        <v>1</v>
      </c>
      <c r="Z29" s="9">
        <v>2</v>
      </c>
      <c r="AA29" s="8"/>
      <c r="AB29" s="2"/>
      <c r="AC29" s="2">
        <v>2</v>
      </c>
      <c r="AD29" s="2"/>
      <c r="AE29" s="2"/>
      <c r="AF29" s="9"/>
      <c r="AG29" s="8"/>
      <c r="AH29" s="2"/>
      <c r="AI29" s="2"/>
      <c r="AJ29" s="2">
        <v>2</v>
      </c>
      <c r="AK29" s="2"/>
      <c r="AL29" s="9">
        <v>1</v>
      </c>
      <c r="AM29" s="1">
        <f t="shared" si="1"/>
        <v>24.9</v>
      </c>
    </row>
    <row r="30" spans="1:39" ht="15.75" customHeight="1">
      <c r="A30" s="5" t="s">
        <v>107</v>
      </c>
      <c r="B30" s="6">
        <v>114</v>
      </c>
      <c r="C30" s="5"/>
      <c r="D30" s="6"/>
      <c r="E30" s="6">
        <v>0.2</v>
      </c>
      <c r="F30" s="6"/>
      <c r="G30" s="6"/>
      <c r="H30" s="7"/>
      <c r="I30" s="5"/>
      <c r="J30" s="6"/>
      <c r="K30" s="6">
        <v>2</v>
      </c>
      <c r="L30" s="6">
        <v>1</v>
      </c>
      <c r="M30" s="6">
        <v>1</v>
      </c>
      <c r="N30" s="7">
        <v>1</v>
      </c>
      <c r="O30" s="5"/>
      <c r="P30" s="6"/>
      <c r="Q30" s="6">
        <v>2</v>
      </c>
      <c r="R30" s="6">
        <v>2</v>
      </c>
      <c r="S30" s="6">
        <v>1</v>
      </c>
      <c r="T30" s="7">
        <v>2</v>
      </c>
      <c r="U30" s="5"/>
      <c r="V30" s="6"/>
      <c r="W30" s="6"/>
      <c r="X30" s="6"/>
      <c r="Y30" s="6"/>
      <c r="Z30" s="7">
        <v>2</v>
      </c>
      <c r="AA30" s="5"/>
      <c r="AB30" s="6"/>
      <c r="AC30" s="6">
        <v>3</v>
      </c>
      <c r="AD30" s="6"/>
      <c r="AE30" s="6">
        <v>2</v>
      </c>
      <c r="AF30" s="7"/>
      <c r="AG30" s="5"/>
      <c r="AH30" s="6"/>
      <c r="AI30" s="6"/>
      <c r="AJ30" s="6">
        <v>2</v>
      </c>
      <c r="AK30" s="6">
        <v>1</v>
      </c>
      <c r="AL30" s="7"/>
      <c r="AM30" s="1">
        <f t="shared" si="1"/>
        <v>19.600000000000001</v>
      </c>
    </row>
    <row r="31" spans="1:39" ht="15.75" customHeight="1">
      <c r="A31" s="10" t="s">
        <v>108</v>
      </c>
      <c r="B31" s="1">
        <v>117</v>
      </c>
      <c r="C31" s="10"/>
      <c r="D31" s="1"/>
      <c r="E31" s="1"/>
      <c r="F31" s="1"/>
      <c r="G31" s="1"/>
      <c r="H31" s="11"/>
      <c r="I31" s="10"/>
      <c r="J31" s="1"/>
      <c r="K31" s="1"/>
      <c r="L31" s="1">
        <v>1</v>
      </c>
      <c r="M31" s="1"/>
      <c r="N31" s="11">
        <v>2</v>
      </c>
      <c r="O31" s="10"/>
      <c r="P31" s="1"/>
      <c r="Q31" s="1"/>
      <c r="R31" s="1">
        <v>1</v>
      </c>
      <c r="S31" s="1">
        <v>2</v>
      </c>
      <c r="T31" s="11">
        <v>1</v>
      </c>
      <c r="U31" s="10"/>
      <c r="V31" s="1"/>
      <c r="W31" s="1"/>
      <c r="X31" s="1"/>
      <c r="Y31" s="1">
        <v>1</v>
      </c>
      <c r="Z31" s="11"/>
      <c r="AA31" s="10"/>
      <c r="AB31" s="1"/>
      <c r="AC31" s="1"/>
      <c r="AD31" s="1">
        <v>3</v>
      </c>
      <c r="AE31" s="1"/>
      <c r="AF31" s="11"/>
      <c r="AG31" s="10"/>
      <c r="AH31" s="1"/>
      <c r="AI31" s="1"/>
      <c r="AJ31" s="1">
        <v>1</v>
      </c>
      <c r="AK31" s="1"/>
      <c r="AL31" s="11"/>
      <c r="AM31" s="1">
        <f t="shared" si="1"/>
        <v>10</v>
      </c>
    </row>
    <row r="32" spans="1:39" ht="15.75" customHeight="1">
      <c r="A32" s="10" t="s">
        <v>109</v>
      </c>
      <c r="B32" s="1">
        <v>120</v>
      </c>
      <c r="C32" s="10"/>
      <c r="D32" s="1"/>
      <c r="E32" s="1"/>
      <c r="F32" s="1"/>
      <c r="G32" s="1">
        <v>0.2</v>
      </c>
      <c r="H32" s="11"/>
      <c r="I32" s="10"/>
      <c r="J32" s="1"/>
      <c r="K32" s="1">
        <v>1</v>
      </c>
      <c r="L32" s="1"/>
      <c r="M32" s="1"/>
      <c r="N32" s="11"/>
      <c r="O32" s="10"/>
      <c r="P32" s="1"/>
      <c r="Q32" s="1">
        <v>1</v>
      </c>
      <c r="R32" s="1">
        <v>1</v>
      </c>
      <c r="S32" s="1">
        <v>2.5</v>
      </c>
      <c r="T32" s="11"/>
      <c r="U32" s="10"/>
      <c r="V32" s="1"/>
      <c r="W32" s="1"/>
      <c r="X32" s="1"/>
      <c r="Y32" s="1">
        <v>2</v>
      </c>
      <c r="Z32" s="11">
        <v>2</v>
      </c>
      <c r="AA32" s="10"/>
      <c r="AB32" s="1"/>
      <c r="AC32" s="1">
        <v>1</v>
      </c>
      <c r="AD32" s="1">
        <v>2</v>
      </c>
      <c r="AE32" s="1">
        <v>1</v>
      </c>
      <c r="AF32" s="11">
        <v>2</v>
      </c>
      <c r="AG32" s="10"/>
      <c r="AH32" s="1"/>
      <c r="AI32" s="1">
        <v>1</v>
      </c>
      <c r="AJ32" s="1">
        <v>2</v>
      </c>
      <c r="AK32" s="1">
        <v>1</v>
      </c>
      <c r="AL32" s="11">
        <v>1</v>
      </c>
      <c r="AM32" s="1">
        <f t="shared" si="1"/>
        <v>22.5</v>
      </c>
    </row>
    <row r="33" spans="1:39" ht="15.75" customHeight="1">
      <c r="A33" s="10" t="s">
        <v>110</v>
      </c>
      <c r="B33" s="1">
        <v>128</v>
      </c>
      <c r="C33" s="10"/>
      <c r="D33" s="1"/>
      <c r="E33" s="1">
        <v>0.2</v>
      </c>
      <c r="F33" s="1"/>
      <c r="G33" s="1"/>
      <c r="H33" s="11"/>
      <c r="I33" s="10"/>
      <c r="J33" s="1">
        <v>2</v>
      </c>
      <c r="K33" s="1">
        <v>2</v>
      </c>
      <c r="L33" s="1"/>
      <c r="M33" s="1">
        <v>1</v>
      </c>
      <c r="N33" s="11"/>
      <c r="O33" s="10"/>
      <c r="P33" s="1">
        <v>2</v>
      </c>
      <c r="Q33" s="1">
        <v>1</v>
      </c>
      <c r="R33" s="1"/>
      <c r="S33" s="1">
        <v>2</v>
      </c>
      <c r="T33" s="11"/>
      <c r="U33" s="10"/>
      <c r="V33" s="1"/>
      <c r="W33" s="1">
        <v>1</v>
      </c>
      <c r="X33" s="1"/>
      <c r="Y33" s="1"/>
      <c r="Z33" s="11"/>
      <c r="AA33" s="10"/>
      <c r="AB33" s="1">
        <v>2</v>
      </c>
      <c r="AC33" s="1">
        <v>2</v>
      </c>
      <c r="AD33" s="1"/>
      <c r="AE33" s="1">
        <v>2</v>
      </c>
      <c r="AF33" s="11"/>
      <c r="AG33" s="10"/>
      <c r="AH33" s="1">
        <v>2</v>
      </c>
      <c r="AI33" s="1">
        <v>2</v>
      </c>
      <c r="AJ33" s="1"/>
      <c r="AK33" s="1">
        <v>2</v>
      </c>
      <c r="AL33" s="11"/>
      <c r="AM33" s="1">
        <f t="shared" si="1"/>
        <v>16.600000000000001</v>
      </c>
    </row>
    <row r="34" spans="1:39" ht="15.75" customHeight="1">
      <c r="A34" s="8" t="s">
        <v>458</v>
      </c>
      <c r="B34" s="2">
        <v>129</v>
      </c>
      <c r="C34" s="8"/>
      <c r="D34" s="2"/>
      <c r="E34" s="2"/>
      <c r="F34" s="2">
        <v>0.2</v>
      </c>
      <c r="G34" s="2"/>
      <c r="H34" s="9"/>
      <c r="I34" s="8"/>
      <c r="J34" s="2"/>
      <c r="K34" s="2">
        <v>0.5</v>
      </c>
      <c r="L34" s="2">
        <v>1</v>
      </c>
      <c r="M34" s="2">
        <v>1</v>
      </c>
      <c r="N34" s="9">
        <v>1</v>
      </c>
      <c r="O34" s="8"/>
      <c r="P34" s="2"/>
      <c r="Q34" s="2">
        <v>1</v>
      </c>
      <c r="R34" s="2">
        <v>3.5</v>
      </c>
      <c r="S34" s="2">
        <v>1</v>
      </c>
      <c r="T34" s="9">
        <v>2</v>
      </c>
      <c r="U34" s="8"/>
      <c r="V34" s="2"/>
      <c r="W34" s="2"/>
      <c r="X34" s="2"/>
      <c r="Y34" s="2">
        <v>1</v>
      </c>
      <c r="Z34" s="9">
        <v>2</v>
      </c>
      <c r="AA34" s="8"/>
      <c r="AB34" s="2"/>
      <c r="AC34" s="2">
        <v>1</v>
      </c>
      <c r="AD34" s="2"/>
      <c r="AE34" s="2">
        <v>2</v>
      </c>
      <c r="AF34" s="9"/>
      <c r="AG34" s="8"/>
      <c r="AH34" s="2"/>
      <c r="AI34" s="2">
        <v>1</v>
      </c>
      <c r="AJ34" s="2">
        <v>2</v>
      </c>
      <c r="AK34" s="2">
        <v>1</v>
      </c>
      <c r="AL34" s="9"/>
      <c r="AM34" s="1">
        <f t="shared" si="1"/>
        <v>21.8</v>
      </c>
    </row>
    <row r="35" spans="1:39" ht="15.75" customHeight="1">
      <c r="A35" s="5" t="s">
        <v>112</v>
      </c>
      <c r="B35" s="6">
        <v>134</v>
      </c>
      <c r="C35" s="5"/>
      <c r="D35" s="6"/>
      <c r="E35" s="6"/>
      <c r="F35" s="6"/>
      <c r="G35" s="6"/>
      <c r="H35" s="7"/>
      <c r="I35" s="5">
        <v>1</v>
      </c>
      <c r="J35" s="6">
        <v>1</v>
      </c>
      <c r="K35" s="6"/>
      <c r="L35" s="6">
        <v>1</v>
      </c>
      <c r="M35" s="6"/>
      <c r="N35" s="7">
        <v>2</v>
      </c>
      <c r="O35" s="5"/>
      <c r="P35" s="6"/>
      <c r="Q35" s="6"/>
      <c r="R35" s="6">
        <v>4</v>
      </c>
      <c r="S35" s="6"/>
      <c r="T35" s="7"/>
      <c r="U35" s="5"/>
      <c r="V35" s="6">
        <v>1</v>
      </c>
      <c r="W35" s="6"/>
      <c r="X35" s="6">
        <v>1</v>
      </c>
      <c r="Y35" s="6"/>
      <c r="Z35" s="7"/>
      <c r="AA35" s="5">
        <v>1</v>
      </c>
      <c r="AB35" s="6">
        <v>2</v>
      </c>
      <c r="AC35" s="6"/>
      <c r="AD35" s="6">
        <v>1</v>
      </c>
      <c r="AE35" s="6"/>
      <c r="AF35" s="7">
        <v>2</v>
      </c>
      <c r="AG35" s="5">
        <v>2</v>
      </c>
      <c r="AH35" s="6"/>
      <c r="AI35" s="6"/>
      <c r="AJ35" s="6">
        <v>2</v>
      </c>
      <c r="AK35" s="6"/>
      <c r="AL35" s="7">
        <v>1</v>
      </c>
      <c r="AM35" s="1">
        <f t="shared" si="1"/>
        <v>18</v>
      </c>
    </row>
    <row r="36" spans="1:39" ht="15.75" customHeight="1">
      <c r="A36" s="10" t="s">
        <v>113</v>
      </c>
      <c r="B36" s="1">
        <v>135</v>
      </c>
      <c r="C36" s="10"/>
      <c r="D36" s="1">
        <v>0.2</v>
      </c>
      <c r="E36" s="1"/>
      <c r="F36" s="1"/>
      <c r="G36" s="1"/>
      <c r="H36" s="11"/>
      <c r="I36" s="10"/>
      <c r="J36" s="1">
        <v>2</v>
      </c>
      <c r="K36" s="1">
        <v>2</v>
      </c>
      <c r="L36" s="1"/>
      <c r="M36" s="1">
        <v>2</v>
      </c>
      <c r="N36" s="11"/>
      <c r="O36" s="10"/>
      <c r="P36" s="1">
        <v>1.5</v>
      </c>
      <c r="Q36" s="1">
        <v>1</v>
      </c>
      <c r="R36" s="1"/>
      <c r="S36" s="1">
        <v>1</v>
      </c>
      <c r="T36" s="11"/>
      <c r="U36" s="10"/>
      <c r="V36" s="1">
        <v>2</v>
      </c>
      <c r="W36" s="1">
        <v>2</v>
      </c>
      <c r="X36" s="1"/>
      <c r="Y36" s="1">
        <v>1</v>
      </c>
      <c r="Z36" s="11"/>
      <c r="AA36" s="10"/>
      <c r="AB36" s="1">
        <v>2</v>
      </c>
      <c r="AC36" s="1"/>
      <c r="AD36" s="1"/>
      <c r="AE36" s="1">
        <v>2</v>
      </c>
      <c r="AF36" s="11"/>
      <c r="AG36" s="10"/>
      <c r="AH36" s="1">
        <v>2</v>
      </c>
      <c r="AI36" s="1">
        <v>2</v>
      </c>
      <c r="AJ36" s="1"/>
      <c r="AK36" s="1">
        <v>2</v>
      </c>
      <c r="AL36" s="11"/>
      <c r="AM36" s="1">
        <f t="shared" si="1"/>
        <v>18.100000000000001</v>
      </c>
    </row>
    <row r="37" spans="1:39" ht="15.75" customHeight="1">
      <c r="A37" s="10" t="s">
        <v>114</v>
      </c>
      <c r="B37" s="1">
        <v>137</v>
      </c>
      <c r="C37" s="10"/>
      <c r="D37" s="1"/>
      <c r="E37" s="1">
        <v>0.2</v>
      </c>
      <c r="F37" s="1"/>
      <c r="G37" s="1"/>
      <c r="H37" s="11"/>
      <c r="I37" s="10"/>
      <c r="J37" s="1">
        <v>3</v>
      </c>
      <c r="K37" s="1">
        <v>1</v>
      </c>
      <c r="L37" s="1"/>
      <c r="M37" s="1"/>
      <c r="N37" s="11"/>
      <c r="O37" s="10"/>
      <c r="P37" s="1">
        <v>2</v>
      </c>
      <c r="Q37" s="1"/>
      <c r="R37" s="1"/>
      <c r="S37" s="1">
        <v>1</v>
      </c>
      <c r="T37" s="11"/>
      <c r="U37" s="10">
        <v>2</v>
      </c>
      <c r="V37" s="1">
        <v>1</v>
      </c>
      <c r="W37" s="1">
        <v>3</v>
      </c>
      <c r="X37" s="1"/>
      <c r="Y37" s="1"/>
      <c r="Z37" s="11"/>
      <c r="AA37" s="10">
        <v>1</v>
      </c>
      <c r="AB37" s="1"/>
      <c r="AC37" s="1">
        <v>3</v>
      </c>
      <c r="AD37" s="1"/>
      <c r="AE37" s="1"/>
      <c r="AF37" s="11"/>
      <c r="AG37" s="10">
        <v>1</v>
      </c>
      <c r="AH37" s="1">
        <v>2</v>
      </c>
      <c r="AI37" s="1">
        <v>3</v>
      </c>
      <c r="AJ37" s="1"/>
      <c r="AK37" s="1"/>
      <c r="AL37" s="11"/>
      <c r="AM37" s="1">
        <f t="shared" si="1"/>
        <v>13.6</v>
      </c>
    </row>
    <row r="38" spans="1:39" ht="15.75" customHeight="1">
      <c r="A38" s="10" t="s">
        <v>115</v>
      </c>
      <c r="B38" s="1">
        <v>138</v>
      </c>
      <c r="C38" s="10"/>
      <c r="D38" s="1"/>
      <c r="E38" s="1"/>
      <c r="F38" s="1">
        <v>0.2</v>
      </c>
      <c r="G38" s="1"/>
      <c r="H38" s="11"/>
      <c r="I38" s="10"/>
      <c r="J38" s="1"/>
      <c r="K38" s="1"/>
      <c r="L38" s="1">
        <v>2</v>
      </c>
      <c r="M38" s="1">
        <v>1</v>
      </c>
      <c r="N38" s="11">
        <v>1</v>
      </c>
      <c r="O38" s="10">
        <v>2</v>
      </c>
      <c r="P38" s="1"/>
      <c r="Q38" s="1"/>
      <c r="R38" s="1">
        <v>1</v>
      </c>
      <c r="S38" s="1"/>
      <c r="T38" s="11">
        <v>2</v>
      </c>
      <c r="U38" s="10">
        <v>1</v>
      </c>
      <c r="V38" s="1"/>
      <c r="W38" s="1"/>
      <c r="X38" s="1">
        <v>2</v>
      </c>
      <c r="Y38" s="1"/>
      <c r="Z38" s="11">
        <v>2</v>
      </c>
      <c r="AA38" s="10">
        <v>1</v>
      </c>
      <c r="AB38" s="1"/>
      <c r="AC38" s="1"/>
      <c r="AD38" s="1">
        <v>2</v>
      </c>
      <c r="AE38" s="1"/>
      <c r="AF38" s="11"/>
      <c r="AG38" s="10">
        <v>2</v>
      </c>
      <c r="AH38" s="1"/>
      <c r="AI38" s="1"/>
      <c r="AJ38" s="1"/>
      <c r="AK38" s="1">
        <v>0.5</v>
      </c>
      <c r="AL38" s="11">
        <v>2</v>
      </c>
      <c r="AM38" s="1">
        <f t="shared" si="1"/>
        <v>22.3</v>
      </c>
    </row>
    <row r="39" spans="1:39" ht="15.75" customHeight="1">
      <c r="A39" s="8" t="s">
        <v>116</v>
      </c>
      <c r="B39" s="15">
        <v>140</v>
      </c>
      <c r="C39" s="16"/>
      <c r="D39" s="15"/>
      <c r="E39" s="15"/>
      <c r="F39" s="15"/>
      <c r="G39" s="15"/>
      <c r="H39" s="17"/>
      <c r="I39" s="8"/>
      <c r="J39" s="2">
        <v>1</v>
      </c>
      <c r="K39" s="2"/>
      <c r="L39" s="2"/>
      <c r="M39" s="2"/>
      <c r="N39" s="9"/>
      <c r="O39" s="8"/>
      <c r="P39" s="2">
        <v>1</v>
      </c>
      <c r="Q39" s="2">
        <v>2</v>
      </c>
      <c r="R39" s="2"/>
      <c r="S39" s="2"/>
      <c r="T39" s="9"/>
      <c r="U39" s="8"/>
      <c r="V39" s="2">
        <v>2</v>
      </c>
      <c r="W39" s="2">
        <v>2</v>
      </c>
      <c r="X39" s="2"/>
      <c r="Y39" s="2"/>
      <c r="Z39" s="9"/>
      <c r="AA39" s="8"/>
      <c r="AB39" s="2">
        <v>2</v>
      </c>
      <c r="AC39" s="2">
        <v>1</v>
      </c>
      <c r="AD39" s="2"/>
      <c r="AE39" s="2"/>
      <c r="AF39" s="9"/>
      <c r="AG39" s="8"/>
      <c r="AH39" s="2"/>
      <c r="AI39" s="2">
        <v>1</v>
      </c>
      <c r="AJ39" s="2"/>
      <c r="AK39" s="2"/>
      <c r="AL39" s="9"/>
      <c r="AM39" s="1">
        <f t="shared" si="1"/>
        <v>5</v>
      </c>
    </row>
    <row r="40" spans="1:39" ht="15.75" customHeight="1">
      <c r="A40" s="5" t="s">
        <v>117</v>
      </c>
      <c r="B40" s="6">
        <v>141</v>
      </c>
      <c r="C40" s="5"/>
      <c r="D40" s="6"/>
      <c r="E40" s="6"/>
      <c r="F40" s="6"/>
      <c r="G40" s="6"/>
      <c r="H40" s="7"/>
      <c r="I40" s="5"/>
      <c r="J40" s="6"/>
      <c r="K40" s="6"/>
      <c r="L40" s="6">
        <v>2</v>
      </c>
      <c r="M40" s="6"/>
      <c r="N40" s="7"/>
      <c r="O40" s="5">
        <v>2</v>
      </c>
      <c r="P40" s="6"/>
      <c r="Q40" s="6"/>
      <c r="R40" s="6">
        <v>1</v>
      </c>
      <c r="S40" s="6"/>
      <c r="T40" s="7"/>
      <c r="U40" s="5">
        <v>2</v>
      </c>
      <c r="V40" s="6"/>
      <c r="W40" s="6"/>
      <c r="X40" s="6">
        <v>2</v>
      </c>
      <c r="Y40" s="6"/>
      <c r="Z40" s="7"/>
      <c r="AA40" s="5">
        <v>1</v>
      </c>
      <c r="AB40" s="6"/>
      <c r="AC40" s="6"/>
      <c r="AD40" s="6">
        <v>2</v>
      </c>
      <c r="AE40" s="6"/>
      <c r="AF40" s="7"/>
      <c r="AG40" s="5">
        <v>2</v>
      </c>
      <c r="AH40" s="6"/>
      <c r="AI40" s="6"/>
      <c r="AJ40" s="6"/>
      <c r="AK40" s="6"/>
      <c r="AL40" s="7"/>
      <c r="AM40" s="1">
        <f t="shared" si="1"/>
        <v>9</v>
      </c>
    </row>
    <row r="41" spans="1:39" ht="15.75" customHeight="1">
      <c r="A41" s="10" t="s">
        <v>118</v>
      </c>
      <c r="B41" s="1">
        <v>147</v>
      </c>
      <c r="C41" s="10"/>
      <c r="D41" s="1"/>
      <c r="E41" s="1"/>
      <c r="F41" s="1">
        <v>0.2</v>
      </c>
      <c r="G41" s="1"/>
      <c r="H41" s="11"/>
      <c r="I41" s="10"/>
      <c r="J41" s="1"/>
      <c r="K41" s="1"/>
      <c r="L41" s="1">
        <v>2</v>
      </c>
      <c r="M41" s="1"/>
      <c r="N41" s="11">
        <v>3</v>
      </c>
      <c r="O41" s="10"/>
      <c r="P41" s="1"/>
      <c r="Q41" s="1"/>
      <c r="R41" s="1">
        <v>2.5</v>
      </c>
      <c r="S41" s="1"/>
      <c r="T41" s="11">
        <v>3</v>
      </c>
      <c r="U41" s="10"/>
      <c r="V41" s="1"/>
      <c r="W41" s="1"/>
      <c r="X41" s="1">
        <v>2</v>
      </c>
      <c r="Y41" s="1"/>
      <c r="Z41" s="11">
        <v>1</v>
      </c>
      <c r="AA41" s="10"/>
      <c r="AB41" s="1"/>
      <c r="AC41" s="1"/>
      <c r="AD41" s="1">
        <v>1</v>
      </c>
      <c r="AE41" s="1"/>
      <c r="AF41" s="11">
        <v>4</v>
      </c>
      <c r="AG41" s="10"/>
      <c r="AH41" s="1"/>
      <c r="AI41" s="1"/>
      <c r="AJ41" s="1">
        <v>2</v>
      </c>
      <c r="AK41" s="1"/>
      <c r="AL41" s="11">
        <v>2</v>
      </c>
      <c r="AM41" s="1">
        <f t="shared" si="1"/>
        <v>25.3</v>
      </c>
    </row>
    <row r="42" spans="1:39" ht="15.75" customHeight="1">
      <c r="A42" s="10" t="s">
        <v>119</v>
      </c>
      <c r="B42" s="1">
        <v>152</v>
      </c>
      <c r="C42" s="10"/>
      <c r="D42" s="1"/>
      <c r="E42" s="1"/>
      <c r="F42" s="1"/>
      <c r="G42" s="1">
        <v>0.2</v>
      </c>
      <c r="H42" s="11"/>
      <c r="I42" s="10">
        <v>2</v>
      </c>
      <c r="J42" s="1"/>
      <c r="K42" s="1">
        <v>2</v>
      </c>
      <c r="L42" s="1"/>
      <c r="M42" s="1">
        <v>2</v>
      </c>
      <c r="N42" s="11"/>
      <c r="O42" s="10">
        <v>1</v>
      </c>
      <c r="P42" s="1">
        <v>2</v>
      </c>
      <c r="Q42" s="1"/>
      <c r="R42" s="1"/>
      <c r="S42" s="1">
        <v>2.5</v>
      </c>
      <c r="T42" s="11"/>
      <c r="U42" s="10"/>
      <c r="V42" s="1"/>
      <c r="W42" s="1">
        <v>2</v>
      </c>
      <c r="X42" s="1"/>
      <c r="Y42" s="1">
        <v>1</v>
      </c>
      <c r="Z42" s="11"/>
      <c r="AA42" s="10"/>
      <c r="AB42" s="1">
        <v>2</v>
      </c>
      <c r="AC42" s="1"/>
      <c r="AD42" s="1"/>
      <c r="AE42" s="1">
        <v>1</v>
      </c>
      <c r="AF42" s="11"/>
      <c r="AG42" s="10">
        <v>1</v>
      </c>
      <c r="AH42" s="1"/>
      <c r="AI42" s="1"/>
      <c r="AJ42" s="1"/>
      <c r="AK42" s="1">
        <v>2</v>
      </c>
      <c r="AL42" s="11"/>
      <c r="AM42" s="1">
        <f t="shared" si="1"/>
        <v>17.5</v>
      </c>
    </row>
    <row r="43" spans="1:39" ht="15.75" customHeight="1">
      <c r="A43" s="10" t="s">
        <v>120</v>
      </c>
      <c r="B43" s="1">
        <v>153</v>
      </c>
      <c r="C43" s="10"/>
      <c r="D43" s="1">
        <v>0.2</v>
      </c>
      <c r="E43" s="1"/>
      <c r="F43" s="1"/>
      <c r="G43" s="1"/>
      <c r="H43" s="11"/>
      <c r="I43" s="10"/>
      <c r="J43" s="1">
        <v>1</v>
      </c>
      <c r="K43" s="1"/>
      <c r="L43" s="1"/>
      <c r="M43" s="1">
        <v>1</v>
      </c>
      <c r="N43" s="11">
        <v>4</v>
      </c>
      <c r="O43" s="10">
        <v>2</v>
      </c>
      <c r="P43" s="1">
        <v>2.5</v>
      </c>
      <c r="Q43" s="1"/>
      <c r="R43" s="1"/>
      <c r="S43" s="1"/>
      <c r="T43" s="11">
        <v>2</v>
      </c>
      <c r="U43" s="10"/>
      <c r="V43" s="1">
        <v>1</v>
      </c>
      <c r="W43" s="1"/>
      <c r="X43" s="1"/>
      <c r="Y43" s="1">
        <v>2</v>
      </c>
      <c r="Z43" s="11">
        <v>1</v>
      </c>
      <c r="AA43" s="10">
        <v>1</v>
      </c>
      <c r="AB43" s="1">
        <v>1</v>
      </c>
      <c r="AC43" s="1"/>
      <c r="AD43" s="1"/>
      <c r="AE43" s="1"/>
      <c r="AF43" s="11">
        <v>1</v>
      </c>
      <c r="AG43" s="10">
        <v>1</v>
      </c>
      <c r="AH43" s="1"/>
      <c r="AI43" s="1"/>
      <c r="AJ43" s="1"/>
      <c r="AK43" s="1"/>
      <c r="AL43" s="11">
        <v>2</v>
      </c>
      <c r="AM43" s="1">
        <f t="shared" si="1"/>
        <v>25.1</v>
      </c>
    </row>
    <row r="44" spans="1:39" ht="15.75" customHeight="1">
      <c r="A44" s="8" t="s">
        <v>122</v>
      </c>
      <c r="B44" s="2">
        <v>161</v>
      </c>
      <c r="C44" s="8"/>
      <c r="D44" s="2"/>
      <c r="E44" s="2"/>
      <c r="F44" s="2"/>
      <c r="G44" s="2"/>
      <c r="H44" s="9">
        <v>0.2</v>
      </c>
      <c r="I44" s="8"/>
      <c r="J44" s="2"/>
      <c r="K44" s="2">
        <v>0.5</v>
      </c>
      <c r="L44" s="2">
        <v>1</v>
      </c>
      <c r="M44" s="2">
        <v>1</v>
      </c>
      <c r="N44" s="9">
        <v>1</v>
      </c>
      <c r="O44" s="8"/>
      <c r="P44" s="2"/>
      <c r="Q44" s="2">
        <v>1</v>
      </c>
      <c r="R44" s="2">
        <v>2</v>
      </c>
      <c r="S44" s="2">
        <v>1</v>
      </c>
      <c r="T44" s="9">
        <v>3</v>
      </c>
      <c r="U44" s="8"/>
      <c r="V44" s="2"/>
      <c r="W44" s="2">
        <v>1</v>
      </c>
      <c r="X44" s="2"/>
      <c r="Y44" s="2"/>
      <c r="Z44" s="9">
        <v>2</v>
      </c>
      <c r="AA44" s="8"/>
      <c r="AB44" s="2"/>
      <c r="AC44" s="2">
        <v>1</v>
      </c>
      <c r="AD44" s="2"/>
      <c r="AE44" s="2">
        <v>2</v>
      </c>
      <c r="AF44" s="9"/>
      <c r="AG44" s="8"/>
      <c r="AH44" s="2"/>
      <c r="AI44" s="2">
        <v>0.5</v>
      </c>
      <c r="AJ44" s="2">
        <v>2</v>
      </c>
      <c r="AK44" s="2">
        <v>1</v>
      </c>
      <c r="AL44" s="9"/>
      <c r="AM44" s="1">
        <f t="shared" si="1"/>
        <v>19.399999999999999</v>
      </c>
    </row>
    <row r="45" spans="1:39" ht="15.75" customHeight="1">
      <c r="A45" s="5" t="s">
        <v>124</v>
      </c>
      <c r="B45" s="6">
        <v>178</v>
      </c>
      <c r="C45" s="5"/>
      <c r="D45" s="6"/>
      <c r="E45" s="6">
        <v>0.2</v>
      </c>
      <c r="F45" s="6"/>
      <c r="G45" s="6"/>
      <c r="H45" s="7"/>
      <c r="I45" s="5">
        <v>2</v>
      </c>
      <c r="J45" s="6">
        <v>1</v>
      </c>
      <c r="K45" s="6"/>
      <c r="L45" s="6"/>
      <c r="M45" s="6"/>
      <c r="N45" s="7"/>
      <c r="O45" s="5">
        <v>1</v>
      </c>
      <c r="P45" s="6">
        <v>1</v>
      </c>
      <c r="Q45" s="6">
        <v>3</v>
      </c>
      <c r="R45" s="6">
        <v>1</v>
      </c>
      <c r="S45" s="6"/>
      <c r="T45" s="7"/>
      <c r="U45" s="5">
        <v>1</v>
      </c>
      <c r="V45" s="6">
        <v>2</v>
      </c>
      <c r="W45" s="6">
        <v>2</v>
      </c>
      <c r="X45" s="6"/>
      <c r="Y45" s="6"/>
      <c r="Z45" s="7"/>
      <c r="AA45" s="5">
        <v>2</v>
      </c>
      <c r="AB45" s="6">
        <v>2</v>
      </c>
      <c r="AC45" s="6">
        <v>1</v>
      </c>
      <c r="AD45" s="6">
        <v>2</v>
      </c>
      <c r="AE45" s="6"/>
      <c r="AF45" s="7"/>
      <c r="AG45" s="5"/>
      <c r="AH45" s="6"/>
      <c r="AI45" s="6">
        <v>1</v>
      </c>
      <c r="AJ45" s="6">
        <v>2</v>
      </c>
      <c r="AK45" s="6"/>
      <c r="AL45" s="7"/>
      <c r="AM45" s="1">
        <f t="shared" si="1"/>
        <v>12.6</v>
      </c>
    </row>
    <row r="46" spans="1:39" ht="15.75" customHeight="1">
      <c r="A46" s="10" t="s">
        <v>125</v>
      </c>
      <c r="B46" s="1">
        <v>181</v>
      </c>
      <c r="C46" s="10"/>
      <c r="D46" s="1"/>
      <c r="E46" s="1"/>
      <c r="F46" s="1"/>
      <c r="G46" s="1"/>
      <c r="H46" s="11">
        <v>0.2</v>
      </c>
      <c r="I46" s="10"/>
      <c r="J46" s="1"/>
      <c r="K46" s="1">
        <v>2</v>
      </c>
      <c r="L46" s="1">
        <v>2</v>
      </c>
      <c r="M46" s="1"/>
      <c r="N46" s="11">
        <v>1</v>
      </c>
      <c r="O46" s="10"/>
      <c r="P46" s="1"/>
      <c r="Q46" s="1"/>
      <c r="R46" s="1">
        <v>1</v>
      </c>
      <c r="S46" s="1"/>
      <c r="T46" s="11">
        <v>3</v>
      </c>
      <c r="U46" s="10"/>
      <c r="V46" s="1"/>
      <c r="W46" s="1">
        <v>1</v>
      </c>
      <c r="X46" s="1">
        <v>2</v>
      </c>
      <c r="Y46" s="1"/>
      <c r="Z46" s="11"/>
      <c r="AA46" s="10"/>
      <c r="AB46" s="1"/>
      <c r="AC46" s="1"/>
      <c r="AD46" s="1">
        <v>2</v>
      </c>
      <c r="AE46" s="1"/>
      <c r="AF46" s="11">
        <v>1</v>
      </c>
      <c r="AG46" s="10">
        <v>1</v>
      </c>
      <c r="AH46" s="1"/>
      <c r="AI46" s="1">
        <v>1</v>
      </c>
      <c r="AJ46" s="1"/>
      <c r="AK46" s="1"/>
      <c r="AL46" s="11">
        <v>2</v>
      </c>
      <c r="AM46" s="1">
        <f t="shared" si="1"/>
        <v>19.399999999999999</v>
      </c>
    </row>
    <row r="47" spans="1:39" ht="15.75" customHeight="1">
      <c r="A47" s="10" t="s">
        <v>86</v>
      </c>
      <c r="B47" s="1">
        <v>186</v>
      </c>
      <c r="C47" s="10"/>
      <c r="D47" s="1"/>
      <c r="E47" s="1"/>
      <c r="F47" s="1"/>
      <c r="G47" s="1"/>
      <c r="H47" s="11">
        <v>0.2</v>
      </c>
      <c r="I47" s="10"/>
      <c r="J47" s="1"/>
      <c r="K47" s="1"/>
      <c r="L47" s="1">
        <v>2</v>
      </c>
      <c r="M47" s="1">
        <v>3</v>
      </c>
      <c r="N47" s="11"/>
      <c r="O47" s="10"/>
      <c r="P47" s="1"/>
      <c r="Q47" s="1"/>
      <c r="R47" s="1">
        <v>1</v>
      </c>
      <c r="S47" s="1">
        <v>2</v>
      </c>
      <c r="T47" s="11">
        <v>2</v>
      </c>
      <c r="U47" s="10"/>
      <c r="V47" s="1"/>
      <c r="W47" s="1"/>
      <c r="X47" s="1">
        <v>3</v>
      </c>
      <c r="Y47" s="1">
        <v>1</v>
      </c>
      <c r="Z47" s="11"/>
      <c r="AA47" s="10"/>
      <c r="AB47" s="1"/>
      <c r="AC47" s="1"/>
      <c r="AD47" s="1">
        <v>1</v>
      </c>
      <c r="AE47" s="1">
        <v>2</v>
      </c>
      <c r="AF47" s="11">
        <v>1</v>
      </c>
      <c r="AG47" s="10"/>
      <c r="AH47" s="1"/>
      <c r="AI47" s="1"/>
      <c r="AJ47" s="1">
        <v>1</v>
      </c>
      <c r="AK47" s="1">
        <v>1</v>
      </c>
      <c r="AL47" s="11"/>
      <c r="AM47" s="1">
        <f t="shared" si="1"/>
        <v>19.399999999999999</v>
      </c>
    </row>
    <row r="48" spans="1:39" ht="15.75" customHeight="1">
      <c r="A48" s="10" t="s">
        <v>126</v>
      </c>
      <c r="B48" s="1">
        <v>190</v>
      </c>
      <c r="C48" s="10"/>
      <c r="D48" s="1"/>
      <c r="E48" s="1"/>
      <c r="F48" s="1"/>
      <c r="G48" s="1"/>
      <c r="H48" s="11"/>
      <c r="I48" s="10"/>
      <c r="J48" s="1"/>
      <c r="K48" s="1">
        <v>2</v>
      </c>
      <c r="L48" s="1">
        <v>2</v>
      </c>
      <c r="M48" s="1">
        <v>1</v>
      </c>
      <c r="N48" s="11"/>
      <c r="O48" s="10"/>
      <c r="P48" s="1"/>
      <c r="Q48" s="1"/>
      <c r="R48" s="1"/>
      <c r="S48" s="1">
        <v>1</v>
      </c>
      <c r="T48" s="11">
        <v>1</v>
      </c>
      <c r="U48" s="10"/>
      <c r="V48" s="1"/>
      <c r="W48" s="1">
        <v>1</v>
      </c>
      <c r="X48" s="1">
        <v>2</v>
      </c>
      <c r="Y48" s="1"/>
      <c r="Z48" s="11">
        <v>1</v>
      </c>
      <c r="AA48" s="10"/>
      <c r="AB48" s="1"/>
      <c r="AC48" s="1">
        <v>2</v>
      </c>
      <c r="AD48" s="1">
        <v>1</v>
      </c>
      <c r="AE48" s="1"/>
      <c r="AF48" s="11"/>
      <c r="AG48" s="10"/>
      <c r="AH48" s="1"/>
      <c r="AI48" s="1">
        <v>2</v>
      </c>
      <c r="AJ48" s="1"/>
      <c r="AK48" s="1"/>
      <c r="AL48" s="11"/>
      <c r="AM48" s="1">
        <f t="shared" si="1"/>
        <v>13</v>
      </c>
    </row>
    <row r="49" spans="1:39" ht="15.75" customHeight="1">
      <c r="A49" s="8" t="s">
        <v>110</v>
      </c>
      <c r="B49" s="2">
        <v>196</v>
      </c>
      <c r="C49" s="8"/>
      <c r="D49" s="2">
        <v>0.2</v>
      </c>
      <c r="E49" s="2"/>
      <c r="F49" s="2"/>
      <c r="G49" s="2"/>
      <c r="H49" s="9"/>
      <c r="I49" s="8">
        <v>3</v>
      </c>
      <c r="J49" s="2"/>
      <c r="K49" s="2"/>
      <c r="L49" s="2"/>
      <c r="M49" s="2"/>
      <c r="N49" s="9"/>
      <c r="O49" s="8">
        <v>1</v>
      </c>
      <c r="P49" s="2">
        <v>1.5</v>
      </c>
      <c r="Q49" s="2"/>
      <c r="R49" s="2">
        <v>1</v>
      </c>
      <c r="S49" s="2">
        <v>1</v>
      </c>
      <c r="T49" s="9"/>
      <c r="U49" s="8">
        <v>3</v>
      </c>
      <c r="V49" s="2"/>
      <c r="W49" s="2"/>
      <c r="X49" s="2"/>
      <c r="Y49" s="2">
        <v>2</v>
      </c>
      <c r="Z49" s="9"/>
      <c r="AA49" s="8">
        <v>1</v>
      </c>
      <c r="AB49" s="2"/>
      <c r="AC49" s="2"/>
      <c r="AD49" s="2">
        <v>2</v>
      </c>
      <c r="AE49" s="2">
        <v>1</v>
      </c>
      <c r="AF49" s="9"/>
      <c r="AG49" s="8"/>
      <c r="AH49" s="2">
        <v>2</v>
      </c>
      <c r="AI49" s="2"/>
      <c r="AJ49" s="2">
        <v>2</v>
      </c>
      <c r="AK49" s="2">
        <v>1</v>
      </c>
      <c r="AL49" s="9"/>
      <c r="AM49" s="1">
        <f t="shared" si="1"/>
        <v>17.100000000000001</v>
      </c>
    </row>
    <row r="50" spans="1:39" ht="15.75" customHeight="1">
      <c r="A50" s="5" t="s">
        <v>127</v>
      </c>
      <c r="B50" s="6">
        <v>197</v>
      </c>
      <c r="C50" s="5">
        <v>0.2</v>
      </c>
      <c r="D50" s="6"/>
      <c r="E50" s="6"/>
      <c r="F50" s="6"/>
      <c r="G50" s="6"/>
      <c r="H50" s="7"/>
      <c r="I50" s="5">
        <v>2</v>
      </c>
      <c r="J50" s="6"/>
      <c r="K50" s="6">
        <v>4</v>
      </c>
      <c r="L50" s="6"/>
      <c r="M50" s="6"/>
      <c r="N50" s="7"/>
      <c r="O50" s="5">
        <v>1.5</v>
      </c>
      <c r="P50" s="6">
        <v>2</v>
      </c>
      <c r="Q50" s="6">
        <v>2</v>
      </c>
      <c r="R50" s="6"/>
      <c r="S50" s="6"/>
      <c r="T50" s="7"/>
      <c r="U50" s="5">
        <v>2</v>
      </c>
      <c r="V50" s="6">
        <v>2</v>
      </c>
      <c r="W50" s="6"/>
      <c r="X50" s="6"/>
      <c r="Y50" s="6"/>
      <c r="Z50" s="7">
        <v>2</v>
      </c>
      <c r="AA50" s="5"/>
      <c r="AB50" s="6">
        <v>2</v>
      </c>
      <c r="AC50" s="6"/>
      <c r="AD50" s="6"/>
      <c r="AE50" s="6"/>
      <c r="AF50" s="7">
        <v>2</v>
      </c>
      <c r="AG50" s="5"/>
      <c r="AH50" s="6"/>
      <c r="AI50" s="6">
        <v>2</v>
      </c>
      <c r="AJ50" s="6"/>
      <c r="AK50" s="6"/>
      <c r="AL50" s="7">
        <v>1</v>
      </c>
      <c r="AM50" s="1">
        <f t="shared" si="1"/>
        <v>22.1</v>
      </c>
    </row>
    <row r="51" spans="1:39" ht="15.75" customHeight="1">
      <c r="A51" s="10" t="s">
        <v>128</v>
      </c>
      <c r="B51" s="1">
        <v>198</v>
      </c>
      <c r="C51" s="10"/>
      <c r="D51" s="1"/>
      <c r="E51" s="1">
        <v>0.2</v>
      </c>
      <c r="F51" s="1"/>
      <c r="G51" s="1"/>
      <c r="H51" s="11"/>
      <c r="I51" s="10"/>
      <c r="J51" s="1">
        <v>2</v>
      </c>
      <c r="K51" s="1"/>
      <c r="L51" s="1"/>
      <c r="M51" s="1"/>
      <c r="N51" s="11">
        <v>2</v>
      </c>
      <c r="O51" s="10">
        <v>1</v>
      </c>
      <c r="P51" s="1">
        <v>3</v>
      </c>
      <c r="Q51" s="1">
        <v>2</v>
      </c>
      <c r="R51" s="1"/>
      <c r="S51" s="1"/>
      <c r="T51" s="11"/>
      <c r="U51" s="10">
        <v>1</v>
      </c>
      <c r="V51" s="1">
        <v>2</v>
      </c>
      <c r="W51" s="1">
        <v>1</v>
      </c>
      <c r="X51" s="1"/>
      <c r="Y51" s="1"/>
      <c r="Z51" s="11"/>
      <c r="AA51" s="10"/>
      <c r="AB51" s="1">
        <v>1</v>
      </c>
      <c r="AC51" s="1">
        <v>2</v>
      </c>
      <c r="AD51" s="1"/>
      <c r="AE51" s="1"/>
      <c r="AF51" s="11">
        <v>2</v>
      </c>
      <c r="AG51" s="10">
        <v>2</v>
      </c>
      <c r="AH51" s="1"/>
      <c r="AI51" s="1">
        <v>2</v>
      </c>
      <c r="AJ51" s="1"/>
      <c r="AK51" s="1"/>
      <c r="AL51" s="11">
        <v>1</v>
      </c>
      <c r="AM51" s="1">
        <f t="shared" si="1"/>
        <v>18.600000000000001</v>
      </c>
    </row>
    <row r="52" spans="1:39" ht="15.75" customHeight="1">
      <c r="A52" s="10" t="s">
        <v>129</v>
      </c>
      <c r="B52" s="1">
        <v>201</v>
      </c>
      <c r="C52" s="10"/>
      <c r="D52" s="1">
        <v>0.2</v>
      </c>
      <c r="E52" s="1"/>
      <c r="F52" s="1"/>
      <c r="G52" s="1"/>
      <c r="H52" s="11"/>
      <c r="I52" s="10"/>
      <c r="J52" s="1">
        <v>1</v>
      </c>
      <c r="K52" s="1"/>
      <c r="L52" s="1"/>
      <c r="M52" s="1"/>
      <c r="N52" s="11"/>
      <c r="O52" s="10"/>
      <c r="P52" s="1">
        <v>3.5</v>
      </c>
      <c r="Q52" s="1"/>
      <c r="R52" s="1"/>
      <c r="S52" s="1"/>
      <c r="T52" s="11"/>
      <c r="U52" s="10"/>
      <c r="V52" s="1">
        <v>2</v>
      </c>
      <c r="W52" s="1">
        <v>2</v>
      </c>
      <c r="X52" s="1"/>
      <c r="Y52" s="1"/>
      <c r="Z52" s="11"/>
      <c r="AA52" s="10"/>
      <c r="AB52" s="1"/>
      <c r="AC52" s="1">
        <v>2</v>
      </c>
      <c r="AD52" s="1"/>
      <c r="AE52" s="1"/>
      <c r="AF52" s="11"/>
      <c r="AG52" s="10"/>
      <c r="AH52" s="1">
        <v>2</v>
      </c>
      <c r="AI52" s="1">
        <v>2</v>
      </c>
      <c r="AJ52" s="1"/>
      <c r="AK52" s="1"/>
      <c r="AL52" s="11"/>
      <c r="AM52" s="1">
        <f t="shared" si="1"/>
        <v>9.1</v>
      </c>
    </row>
    <row r="53" spans="1:39" ht="15.75" customHeight="1">
      <c r="A53" s="10" t="s">
        <v>130</v>
      </c>
      <c r="B53" s="1">
        <v>202</v>
      </c>
      <c r="C53" s="10"/>
      <c r="D53" s="1"/>
      <c r="E53" s="1"/>
      <c r="F53" s="1"/>
      <c r="G53" s="1">
        <v>0.2</v>
      </c>
      <c r="H53" s="11"/>
      <c r="I53" s="10">
        <v>2</v>
      </c>
      <c r="J53" s="1"/>
      <c r="K53" s="1"/>
      <c r="L53" s="1"/>
      <c r="M53" s="1">
        <v>2</v>
      </c>
      <c r="N53" s="11">
        <v>1</v>
      </c>
      <c r="O53" s="10">
        <v>1</v>
      </c>
      <c r="P53" s="1"/>
      <c r="Q53" s="1"/>
      <c r="R53" s="1"/>
      <c r="S53" s="1">
        <v>2</v>
      </c>
      <c r="T53" s="11">
        <v>2</v>
      </c>
      <c r="U53" s="10"/>
      <c r="V53" s="1">
        <v>1</v>
      </c>
      <c r="W53" s="1"/>
      <c r="X53" s="1"/>
      <c r="Y53" s="1">
        <v>2</v>
      </c>
      <c r="Z53" s="11">
        <v>2</v>
      </c>
      <c r="AA53" s="10"/>
      <c r="AB53" s="1">
        <v>1</v>
      </c>
      <c r="AC53" s="1">
        <v>1</v>
      </c>
      <c r="AD53" s="1"/>
      <c r="AE53" s="1">
        <v>3</v>
      </c>
      <c r="AF53" s="11"/>
      <c r="AG53" s="10">
        <v>1</v>
      </c>
      <c r="AH53" s="1"/>
      <c r="AI53" s="1">
        <v>1</v>
      </c>
      <c r="AJ53" s="1"/>
      <c r="AK53" s="1">
        <v>2</v>
      </c>
      <c r="AL53" s="11"/>
      <c r="AM53" s="1">
        <f t="shared" si="1"/>
        <v>23</v>
      </c>
    </row>
    <row r="54" spans="1:39" ht="15.75" customHeight="1">
      <c r="A54" s="8" t="s">
        <v>131</v>
      </c>
      <c r="B54" s="2">
        <v>203</v>
      </c>
      <c r="C54" s="8"/>
      <c r="D54" s="2"/>
      <c r="E54" s="2">
        <v>0.2</v>
      </c>
      <c r="F54" s="2"/>
      <c r="G54" s="2"/>
      <c r="H54" s="9"/>
      <c r="I54" s="8">
        <v>2</v>
      </c>
      <c r="J54" s="2">
        <v>2</v>
      </c>
      <c r="K54" s="2">
        <v>1</v>
      </c>
      <c r="L54" s="2"/>
      <c r="M54" s="2"/>
      <c r="N54" s="9"/>
      <c r="O54" s="8">
        <v>2</v>
      </c>
      <c r="P54" s="2">
        <v>3</v>
      </c>
      <c r="Q54" s="2">
        <v>2</v>
      </c>
      <c r="R54" s="2"/>
      <c r="S54" s="2"/>
      <c r="T54" s="9"/>
      <c r="U54" s="8">
        <v>1</v>
      </c>
      <c r="V54" s="2">
        <v>3</v>
      </c>
      <c r="W54" s="2"/>
      <c r="X54" s="2"/>
      <c r="Y54" s="2"/>
      <c r="Z54" s="9">
        <v>2</v>
      </c>
      <c r="AA54" s="8">
        <v>1</v>
      </c>
      <c r="AB54" s="2"/>
      <c r="AC54" s="2"/>
      <c r="AD54" s="2"/>
      <c r="AE54" s="2"/>
      <c r="AF54" s="9">
        <v>2</v>
      </c>
      <c r="AG54" s="8"/>
      <c r="AH54" s="2"/>
      <c r="AI54" s="2">
        <v>2</v>
      </c>
      <c r="AJ54" s="2"/>
      <c r="AK54" s="2"/>
      <c r="AL54" s="9">
        <v>1</v>
      </c>
      <c r="AM54" s="1">
        <f t="shared" si="1"/>
        <v>22.6</v>
      </c>
    </row>
    <row r="55" spans="1:39" ht="15.75" customHeight="1">
      <c r="A55" s="5" t="s">
        <v>132</v>
      </c>
      <c r="B55" s="6">
        <v>204</v>
      </c>
      <c r="C55" s="5">
        <v>0.2</v>
      </c>
      <c r="D55" s="6"/>
      <c r="E55" s="6"/>
      <c r="F55" s="6"/>
      <c r="G55" s="6"/>
      <c r="H55" s="7"/>
      <c r="I55" s="5"/>
      <c r="J55" s="6"/>
      <c r="K55" s="6"/>
      <c r="L55" s="6">
        <v>2</v>
      </c>
      <c r="M55" s="6"/>
      <c r="N55" s="7">
        <v>3</v>
      </c>
      <c r="O55" s="5">
        <v>3.5</v>
      </c>
      <c r="P55" s="6"/>
      <c r="Q55" s="6"/>
      <c r="R55" s="6"/>
      <c r="S55" s="6"/>
      <c r="T55" s="7">
        <v>1</v>
      </c>
      <c r="U55" s="5">
        <v>2</v>
      </c>
      <c r="V55" s="6"/>
      <c r="W55" s="6"/>
      <c r="X55" s="6">
        <v>2</v>
      </c>
      <c r="Y55" s="6"/>
      <c r="Z55" s="7">
        <v>2</v>
      </c>
      <c r="AA55" s="5">
        <v>1</v>
      </c>
      <c r="AB55" s="6"/>
      <c r="AC55" s="6"/>
      <c r="AD55" s="6">
        <v>2</v>
      </c>
      <c r="AE55" s="6">
        <v>0.5</v>
      </c>
      <c r="AF55" s="7"/>
      <c r="AG55" s="5">
        <v>2</v>
      </c>
      <c r="AH55" s="6"/>
      <c r="AI55" s="6"/>
      <c r="AJ55" s="6"/>
      <c r="AK55" s="6">
        <v>0.5</v>
      </c>
      <c r="AL55" s="7">
        <v>2</v>
      </c>
      <c r="AM55" s="1">
        <f t="shared" si="1"/>
        <v>22.6</v>
      </c>
    </row>
    <row r="56" spans="1:39" ht="15.75" customHeight="1">
      <c r="A56" s="10" t="s">
        <v>133</v>
      </c>
      <c r="B56" s="1">
        <v>205</v>
      </c>
      <c r="C56" s="10"/>
      <c r="D56" s="1"/>
      <c r="E56" s="1"/>
      <c r="F56" s="1"/>
      <c r="G56" s="1"/>
      <c r="H56" s="11"/>
      <c r="I56" s="10"/>
      <c r="J56" s="1"/>
      <c r="K56" s="1">
        <v>0.5</v>
      </c>
      <c r="L56" s="1">
        <v>1</v>
      </c>
      <c r="M56" s="1">
        <v>1</v>
      </c>
      <c r="N56" s="11"/>
      <c r="O56" s="10"/>
      <c r="P56" s="1"/>
      <c r="Q56" s="1">
        <v>1</v>
      </c>
      <c r="R56" s="1">
        <v>2</v>
      </c>
      <c r="S56" s="1">
        <v>1</v>
      </c>
      <c r="T56" s="11"/>
      <c r="U56" s="10">
        <v>1</v>
      </c>
      <c r="V56" s="1"/>
      <c r="W56" s="1"/>
      <c r="X56" s="1"/>
      <c r="Y56" s="1"/>
      <c r="Z56" s="11"/>
      <c r="AA56" s="10"/>
      <c r="AB56" s="1"/>
      <c r="AC56" s="1">
        <v>0.5</v>
      </c>
      <c r="AD56" s="1"/>
      <c r="AE56" s="1">
        <v>2</v>
      </c>
      <c r="AF56" s="11"/>
      <c r="AG56" s="10">
        <v>1</v>
      </c>
      <c r="AH56" s="1"/>
      <c r="AI56" s="1">
        <v>0.5</v>
      </c>
      <c r="AJ56" s="1">
        <v>2</v>
      </c>
      <c r="AK56" s="1">
        <v>1</v>
      </c>
      <c r="AL56" s="11"/>
      <c r="AM56" s="1">
        <f t="shared" si="1"/>
        <v>11</v>
      </c>
    </row>
    <row r="57" spans="1:39" ht="15.75" customHeight="1">
      <c r="A57" s="10" t="s">
        <v>134</v>
      </c>
      <c r="B57" s="1">
        <v>206</v>
      </c>
      <c r="C57" s="10"/>
      <c r="D57" s="1">
        <v>0.2</v>
      </c>
      <c r="E57" s="1"/>
      <c r="F57" s="1"/>
      <c r="G57" s="1"/>
      <c r="H57" s="11"/>
      <c r="I57" s="10">
        <v>2</v>
      </c>
      <c r="J57" s="1">
        <v>2</v>
      </c>
      <c r="K57" s="1"/>
      <c r="L57" s="1"/>
      <c r="M57" s="1">
        <v>3</v>
      </c>
      <c r="N57" s="11"/>
      <c r="O57" s="10">
        <v>1</v>
      </c>
      <c r="P57" s="1">
        <v>1.5</v>
      </c>
      <c r="Q57" s="1"/>
      <c r="R57" s="1"/>
      <c r="S57" s="1">
        <v>1</v>
      </c>
      <c r="T57" s="11"/>
      <c r="U57" s="10">
        <v>1</v>
      </c>
      <c r="V57" s="1">
        <v>1</v>
      </c>
      <c r="W57" s="1"/>
      <c r="X57" s="1"/>
      <c r="Y57" s="1">
        <v>4</v>
      </c>
      <c r="Z57" s="11"/>
      <c r="AA57" s="10">
        <v>2</v>
      </c>
      <c r="AB57" s="1">
        <v>1</v>
      </c>
      <c r="AC57" s="1"/>
      <c r="AD57" s="1"/>
      <c r="AE57" s="1">
        <v>1</v>
      </c>
      <c r="AF57" s="11"/>
      <c r="AG57" s="10"/>
      <c r="AH57" s="1">
        <v>2</v>
      </c>
      <c r="AI57" s="1"/>
      <c r="AJ57" s="1"/>
      <c r="AK57" s="1">
        <v>2</v>
      </c>
      <c r="AL57" s="11"/>
      <c r="AM57" s="1">
        <f t="shared" si="1"/>
        <v>23.1</v>
      </c>
    </row>
    <row r="58" spans="1:39" ht="15.75" customHeight="1">
      <c r="A58" s="10" t="s">
        <v>135</v>
      </c>
      <c r="B58" s="1">
        <v>207</v>
      </c>
      <c r="C58" s="10"/>
      <c r="D58" s="1"/>
      <c r="E58" s="1"/>
      <c r="F58" s="1"/>
      <c r="G58" s="1"/>
      <c r="H58" s="11">
        <v>0.2</v>
      </c>
      <c r="I58" s="10"/>
      <c r="J58" s="1">
        <v>2</v>
      </c>
      <c r="K58" s="1"/>
      <c r="L58" s="1"/>
      <c r="M58" s="1">
        <v>2</v>
      </c>
      <c r="N58" s="11"/>
      <c r="O58" s="10"/>
      <c r="P58" s="1">
        <v>2</v>
      </c>
      <c r="Q58" s="1"/>
      <c r="R58" s="1"/>
      <c r="S58" s="1">
        <v>1</v>
      </c>
      <c r="T58" s="11">
        <v>3</v>
      </c>
      <c r="U58" s="10"/>
      <c r="V58" s="1">
        <v>4</v>
      </c>
      <c r="W58" s="1"/>
      <c r="X58" s="1"/>
      <c r="Y58" s="1">
        <v>2</v>
      </c>
      <c r="Z58" s="11"/>
      <c r="AA58" s="10"/>
      <c r="AB58" s="1">
        <v>2</v>
      </c>
      <c r="AC58" s="1"/>
      <c r="AD58" s="1"/>
      <c r="AE58" s="1"/>
      <c r="AF58" s="11">
        <v>2</v>
      </c>
      <c r="AG58" s="10">
        <v>1</v>
      </c>
      <c r="AH58" s="1"/>
      <c r="AI58" s="1"/>
      <c r="AJ58" s="1"/>
      <c r="AK58" s="1">
        <v>1</v>
      </c>
      <c r="AL58" s="11">
        <v>2</v>
      </c>
      <c r="AM58" s="1">
        <f t="shared" si="1"/>
        <v>23.4</v>
      </c>
    </row>
    <row r="59" spans="1:39" ht="15.75" customHeight="1">
      <c r="A59" s="8" t="s">
        <v>136</v>
      </c>
      <c r="B59" s="2">
        <v>208</v>
      </c>
      <c r="C59" s="8"/>
      <c r="D59" s="2">
        <v>0.2</v>
      </c>
      <c r="E59" s="2"/>
      <c r="F59" s="2"/>
      <c r="G59" s="2"/>
      <c r="H59" s="9"/>
      <c r="I59" s="8">
        <v>4</v>
      </c>
      <c r="J59" s="2"/>
      <c r="K59" s="2"/>
      <c r="L59" s="2"/>
      <c r="M59" s="2"/>
      <c r="N59" s="9">
        <v>2</v>
      </c>
      <c r="O59" s="8"/>
      <c r="P59" s="2">
        <v>1.5</v>
      </c>
      <c r="Q59" s="2"/>
      <c r="R59" s="2"/>
      <c r="S59" s="2">
        <v>2</v>
      </c>
      <c r="T59" s="9"/>
      <c r="U59" s="8">
        <v>2</v>
      </c>
      <c r="V59" s="2"/>
      <c r="W59" s="2"/>
      <c r="X59" s="2"/>
      <c r="Y59" s="2">
        <v>2</v>
      </c>
      <c r="Z59" s="9"/>
      <c r="AA59" s="8"/>
      <c r="AB59" s="2">
        <v>2</v>
      </c>
      <c r="AC59" s="2"/>
      <c r="AD59" s="2"/>
      <c r="AE59" s="2">
        <v>2</v>
      </c>
      <c r="AF59" s="9"/>
      <c r="AG59" s="8">
        <v>2</v>
      </c>
      <c r="AH59" s="2">
        <v>2</v>
      </c>
      <c r="AI59" s="2"/>
      <c r="AJ59" s="2"/>
      <c r="AK59" s="2"/>
      <c r="AL59" s="9"/>
      <c r="AM59" s="1">
        <f t="shared" si="1"/>
        <v>18.100000000000001</v>
      </c>
    </row>
    <row r="60" spans="1:39" ht="15.75" customHeight="1">
      <c r="A60" s="5" t="s">
        <v>137</v>
      </c>
      <c r="B60" s="6">
        <v>209</v>
      </c>
      <c r="C60" s="5"/>
      <c r="D60" s="6"/>
      <c r="E60" s="6"/>
      <c r="F60" s="6"/>
      <c r="G60" s="6"/>
      <c r="H60" s="7">
        <v>0.2</v>
      </c>
      <c r="I60" s="5"/>
      <c r="J60" s="6">
        <v>1</v>
      </c>
      <c r="K60" s="6"/>
      <c r="L60" s="6"/>
      <c r="M60" s="6"/>
      <c r="N60" s="7">
        <v>1</v>
      </c>
      <c r="O60" s="5"/>
      <c r="P60" s="6">
        <v>2</v>
      </c>
      <c r="Q60" s="6"/>
      <c r="R60" s="6"/>
      <c r="S60" s="6"/>
      <c r="T60" s="7">
        <v>3.5</v>
      </c>
      <c r="U60" s="5"/>
      <c r="V60" s="6"/>
      <c r="W60" s="6">
        <v>1</v>
      </c>
      <c r="X60" s="6"/>
      <c r="Y60" s="6"/>
      <c r="Z60" s="7">
        <v>2</v>
      </c>
      <c r="AA60" s="5"/>
      <c r="AB60" s="6">
        <v>2</v>
      </c>
      <c r="AC60" s="6">
        <v>0.5</v>
      </c>
      <c r="AD60" s="6"/>
      <c r="AE60" s="6"/>
      <c r="AF60" s="7"/>
      <c r="AG60" s="5"/>
      <c r="AH60" s="6">
        <v>2</v>
      </c>
      <c r="AI60" s="6">
        <v>0.5</v>
      </c>
      <c r="AJ60" s="6"/>
      <c r="AK60" s="6"/>
      <c r="AL60" s="7"/>
      <c r="AM60" s="1">
        <f t="shared" si="1"/>
        <v>15.4</v>
      </c>
    </row>
    <row r="61" spans="1:39" ht="15.75" customHeight="1">
      <c r="A61" s="10" t="s">
        <v>138</v>
      </c>
      <c r="B61" s="1">
        <v>210</v>
      </c>
      <c r="C61" s="10"/>
      <c r="D61" s="1"/>
      <c r="E61" s="1">
        <v>0.2</v>
      </c>
      <c r="F61" s="1"/>
      <c r="G61" s="1"/>
      <c r="H61" s="11"/>
      <c r="I61" s="10">
        <v>2</v>
      </c>
      <c r="J61" s="1"/>
      <c r="K61" s="1">
        <v>1.5</v>
      </c>
      <c r="L61" s="1"/>
      <c r="M61" s="1"/>
      <c r="N61" s="11"/>
      <c r="O61" s="10">
        <v>1</v>
      </c>
      <c r="P61" s="1">
        <v>1</v>
      </c>
      <c r="Q61" s="1">
        <v>3</v>
      </c>
      <c r="R61" s="1"/>
      <c r="S61" s="1"/>
      <c r="T61" s="11"/>
      <c r="U61" s="10">
        <v>3</v>
      </c>
      <c r="V61" s="1"/>
      <c r="W61" s="1">
        <v>2</v>
      </c>
      <c r="X61" s="1"/>
      <c r="Y61" s="1"/>
      <c r="Z61" s="11"/>
      <c r="AA61" s="10">
        <v>1</v>
      </c>
      <c r="AB61" s="1">
        <v>2</v>
      </c>
      <c r="AC61" s="1">
        <v>2</v>
      </c>
      <c r="AD61" s="1"/>
      <c r="AE61" s="1"/>
      <c r="AF61" s="11"/>
      <c r="AG61" s="10">
        <v>1</v>
      </c>
      <c r="AH61" s="1">
        <v>3</v>
      </c>
      <c r="AI61" s="1">
        <v>0.5</v>
      </c>
      <c r="AJ61" s="1"/>
      <c r="AK61" s="1"/>
      <c r="AL61" s="11"/>
      <c r="AM61" s="1">
        <f t="shared" si="1"/>
        <v>13.6</v>
      </c>
    </row>
    <row r="62" spans="1:39" ht="15.75" customHeight="1">
      <c r="A62" s="10" t="s">
        <v>139</v>
      </c>
      <c r="B62" s="1">
        <v>211</v>
      </c>
      <c r="C62" s="10">
        <v>0.2</v>
      </c>
      <c r="D62" s="1"/>
      <c r="E62" s="1"/>
      <c r="F62" s="1"/>
      <c r="G62" s="1"/>
      <c r="H62" s="11"/>
      <c r="I62" s="10">
        <v>2</v>
      </c>
      <c r="J62" s="1"/>
      <c r="K62" s="1"/>
      <c r="L62" s="1">
        <v>2</v>
      </c>
      <c r="M62" s="1">
        <v>1</v>
      </c>
      <c r="N62" s="11"/>
      <c r="O62" s="10">
        <v>2.5</v>
      </c>
      <c r="P62" s="1"/>
      <c r="Q62" s="1">
        <v>2</v>
      </c>
      <c r="R62" s="1">
        <v>2</v>
      </c>
      <c r="S62" s="1"/>
      <c r="T62" s="11"/>
      <c r="U62" s="10">
        <v>1</v>
      </c>
      <c r="V62" s="1"/>
      <c r="W62" s="1">
        <v>2</v>
      </c>
      <c r="X62" s="1">
        <v>2</v>
      </c>
      <c r="Y62" s="1">
        <v>2</v>
      </c>
      <c r="Z62" s="11"/>
      <c r="AA62" s="10">
        <v>2</v>
      </c>
      <c r="AB62" s="1"/>
      <c r="AC62" s="1">
        <v>1</v>
      </c>
      <c r="AD62" s="1"/>
      <c r="AE62" s="1">
        <v>1</v>
      </c>
      <c r="AF62" s="11"/>
      <c r="AG62" s="10"/>
      <c r="AH62" s="1"/>
      <c r="AI62" s="1">
        <v>1</v>
      </c>
      <c r="AJ62" s="1"/>
      <c r="AK62" s="1">
        <v>1</v>
      </c>
      <c r="AL62" s="11"/>
      <c r="AM62" s="1">
        <f t="shared" si="1"/>
        <v>20.100000000000001</v>
      </c>
    </row>
    <row r="63" spans="1:39" ht="15.75" customHeight="1">
      <c r="A63" s="10" t="s">
        <v>140</v>
      </c>
      <c r="B63" s="12">
        <v>213</v>
      </c>
      <c r="C63" s="13"/>
      <c r="D63" s="12"/>
      <c r="E63" s="12"/>
      <c r="F63" s="12"/>
      <c r="G63" s="12"/>
      <c r="H63" s="14"/>
      <c r="I63" s="10"/>
      <c r="J63" s="1"/>
      <c r="K63" s="1">
        <v>1</v>
      </c>
      <c r="L63" s="1"/>
      <c r="M63" s="1"/>
      <c r="N63" s="11"/>
      <c r="O63" s="10"/>
      <c r="P63" s="1">
        <v>2</v>
      </c>
      <c r="Q63" s="1"/>
      <c r="R63" s="1"/>
      <c r="S63" s="1"/>
      <c r="T63" s="11"/>
      <c r="U63" s="10"/>
      <c r="V63" s="1">
        <v>2</v>
      </c>
      <c r="W63" s="1">
        <v>2</v>
      </c>
      <c r="X63" s="1"/>
      <c r="Y63" s="1"/>
      <c r="Z63" s="11"/>
      <c r="AA63" s="10"/>
      <c r="AB63" s="1"/>
      <c r="AC63" s="1">
        <v>2</v>
      </c>
      <c r="AD63" s="1"/>
      <c r="AE63" s="1"/>
      <c r="AF63" s="11"/>
      <c r="AG63" s="10"/>
      <c r="AH63" s="1">
        <v>2</v>
      </c>
      <c r="AI63" s="1">
        <v>2</v>
      </c>
      <c r="AJ63" s="1"/>
      <c r="AK63" s="1"/>
      <c r="AL63" s="11"/>
      <c r="AM63" s="1">
        <f t="shared" si="1"/>
        <v>7</v>
      </c>
    </row>
    <row r="64" spans="1:39" ht="15.75" customHeight="1">
      <c r="A64" s="8" t="s">
        <v>141</v>
      </c>
      <c r="B64" s="2">
        <v>214</v>
      </c>
      <c r="C64" s="8"/>
      <c r="D64" s="2"/>
      <c r="E64" s="2"/>
      <c r="F64" s="2"/>
      <c r="G64" s="2"/>
      <c r="H64" s="9">
        <v>0.2</v>
      </c>
      <c r="I64" s="8"/>
      <c r="J64" s="2"/>
      <c r="K64" s="2"/>
      <c r="L64" s="2">
        <v>2</v>
      </c>
      <c r="M64" s="2"/>
      <c r="N64" s="9">
        <v>2</v>
      </c>
      <c r="O64" s="8">
        <v>2</v>
      </c>
      <c r="P64" s="2"/>
      <c r="Q64" s="2"/>
      <c r="R64" s="2">
        <v>2</v>
      </c>
      <c r="S64" s="2"/>
      <c r="T64" s="9">
        <v>2.5</v>
      </c>
      <c r="U64" s="8">
        <v>2</v>
      </c>
      <c r="V64" s="2"/>
      <c r="W64" s="2"/>
      <c r="X64" s="2">
        <v>2</v>
      </c>
      <c r="Y64" s="2"/>
      <c r="Z64" s="9">
        <v>1</v>
      </c>
      <c r="AA64" s="8">
        <v>2</v>
      </c>
      <c r="AB64" s="2"/>
      <c r="AC64" s="2"/>
      <c r="AD64" s="2"/>
      <c r="AE64" s="2"/>
      <c r="AF64" s="9">
        <v>2</v>
      </c>
      <c r="AG64" s="8">
        <v>2</v>
      </c>
      <c r="AH64" s="2"/>
      <c r="AI64" s="2"/>
      <c r="AJ64" s="2">
        <v>2</v>
      </c>
      <c r="AK64" s="2"/>
      <c r="AL64" s="9">
        <v>2</v>
      </c>
      <c r="AM64" s="1">
        <f t="shared" si="1"/>
        <v>25.9</v>
      </c>
    </row>
    <row r="65" spans="1:39" ht="15.75" customHeight="1">
      <c r="A65" s="5" t="s">
        <v>142</v>
      </c>
      <c r="B65" s="6">
        <v>216</v>
      </c>
      <c r="C65" s="5"/>
      <c r="D65" s="6"/>
      <c r="E65" s="6"/>
      <c r="F65" s="6">
        <v>0.2</v>
      </c>
      <c r="G65" s="6"/>
      <c r="H65" s="7"/>
      <c r="I65" s="5"/>
      <c r="J65" s="6">
        <v>2</v>
      </c>
      <c r="K65" s="6"/>
      <c r="L65" s="6">
        <v>2</v>
      </c>
      <c r="M65" s="6"/>
      <c r="N65" s="7"/>
      <c r="O65" s="5">
        <v>2</v>
      </c>
      <c r="P65" s="6"/>
      <c r="Q65" s="6"/>
      <c r="R65" s="6">
        <v>2</v>
      </c>
      <c r="S65" s="6"/>
      <c r="T65" s="7"/>
      <c r="U65" s="5">
        <v>2</v>
      </c>
      <c r="V65" s="6">
        <v>2</v>
      </c>
      <c r="W65" s="6"/>
      <c r="X65" s="6">
        <v>2</v>
      </c>
      <c r="Y65" s="6"/>
      <c r="Z65" s="7"/>
      <c r="AA65" s="5">
        <v>2</v>
      </c>
      <c r="AB65" s="6">
        <v>2</v>
      </c>
      <c r="AC65" s="6"/>
      <c r="AD65" s="6"/>
      <c r="AE65" s="6"/>
      <c r="AF65" s="7"/>
      <c r="AG65" s="5">
        <v>2</v>
      </c>
      <c r="AH65" s="6">
        <v>2</v>
      </c>
      <c r="AI65" s="6"/>
      <c r="AJ65" s="6">
        <v>2</v>
      </c>
      <c r="AK65" s="6"/>
      <c r="AL65" s="7"/>
      <c r="AM65" s="1">
        <f t="shared" si="1"/>
        <v>16.8</v>
      </c>
    </row>
    <row r="66" spans="1:39" ht="15.75" customHeight="1">
      <c r="A66" s="10" t="s">
        <v>143</v>
      </c>
      <c r="B66" s="1">
        <v>217</v>
      </c>
      <c r="C66" s="10"/>
      <c r="D66" s="1"/>
      <c r="E66" s="1"/>
      <c r="F66" s="1"/>
      <c r="G66" s="1"/>
      <c r="H66" s="11"/>
      <c r="I66" s="10">
        <v>2</v>
      </c>
      <c r="J66" s="1">
        <v>2</v>
      </c>
      <c r="K66" s="1"/>
      <c r="L66" s="1"/>
      <c r="M66" s="1"/>
      <c r="N66" s="11"/>
      <c r="O66" s="10">
        <v>2</v>
      </c>
      <c r="P66" s="1"/>
      <c r="Q66" s="1"/>
      <c r="R66" s="1"/>
      <c r="S66" s="1"/>
      <c r="T66" s="11"/>
      <c r="U66" s="10"/>
      <c r="V66" s="1"/>
      <c r="W66" s="1"/>
      <c r="X66" s="1">
        <v>2</v>
      </c>
      <c r="Y66" s="1"/>
      <c r="Z66" s="11"/>
      <c r="AA66" s="10">
        <v>2</v>
      </c>
      <c r="AB66" s="1"/>
      <c r="AC66" s="1"/>
      <c r="AD66" s="1">
        <v>2</v>
      </c>
      <c r="AE66" s="1"/>
      <c r="AF66" s="11"/>
      <c r="AG66" s="10">
        <v>1</v>
      </c>
      <c r="AH66" s="1"/>
      <c r="AI66" s="1"/>
      <c r="AJ66" s="1"/>
      <c r="AK66" s="1"/>
      <c r="AL66" s="11"/>
      <c r="AM66" s="1">
        <f t="shared" si="1"/>
        <v>9</v>
      </c>
    </row>
    <row r="67" spans="1:39" ht="15.75" customHeight="1">
      <c r="A67" s="8" t="s">
        <v>144</v>
      </c>
      <c r="B67" s="2">
        <v>218</v>
      </c>
      <c r="C67" s="8"/>
      <c r="D67" s="2"/>
      <c r="E67" s="2">
        <v>0.2</v>
      </c>
      <c r="F67" s="2"/>
      <c r="G67" s="2"/>
      <c r="H67" s="9"/>
      <c r="I67" s="8">
        <v>2</v>
      </c>
      <c r="J67" s="2"/>
      <c r="K67" s="2">
        <v>1</v>
      </c>
      <c r="L67" s="2"/>
      <c r="M67" s="2"/>
      <c r="N67" s="9">
        <v>2</v>
      </c>
      <c r="O67" s="8">
        <v>1</v>
      </c>
      <c r="P67" s="2"/>
      <c r="Q67" s="2">
        <v>2</v>
      </c>
      <c r="R67" s="2">
        <v>1</v>
      </c>
      <c r="S67" s="2">
        <v>1</v>
      </c>
      <c r="T67" s="9"/>
      <c r="U67" s="8"/>
      <c r="V67" s="2"/>
      <c r="W67" s="2"/>
      <c r="X67" s="2"/>
      <c r="Y67" s="2">
        <v>2</v>
      </c>
      <c r="Z67" s="9"/>
      <c r="AA67" s="8"/>
      <c r="AB67" s="2"/>
      <c r="AC67" s="2"/>
      <c r="AD67" s="2">
        <v>2</v>
      </c>
      <c r="AE67" s="2">
        <v>1</v>
      </c>
      <c r="AF67" s="9">
        <v>2</v>
      </c>
      <c r="AG67" s="8">
        <v>1</v>
      </c>
      <c r="AH67" s="2"/>
      <c r="AI67" s="2">
        <v>2</v>
      </c>
      <c r="AJ67" s="2">
        <v>2</v>
      </c>
      <c r="AK67" s="2">
        <v>1</v>
      </c>
      <c r="AL67" s="9">
        <v>1</v>
      </c>
      <c r="AM67" s="1">
        <f t="shared" si="1"/>
        <v>24.6</v>
      </c>
    </row>
    <row r="68" spans="1:39" ht="15.75" customHeight="1">
      <c r="A68" s="1"/>
      <c r="B68" s="1" t="s">
        <v>459</v>
      </c>
      <c r="C68" s="1">
        <f t="shared" ref="C68:H68" si="2">SUM(C5:C67)</f>
        <v>1.5999999999999999</v>
      </c>
      <c r="D68" s="1">
        <f t="shared" si="2"/>
        <v>1.5999999999999999</v>
      </c>
      <c r="E68" s="1">
        <f t="shared" si="2"/>
        <v>1.5999999999999999</v>
      </c>
      <c r="F68" s="1">
        <f t="shared" si="2"/>
        <v>1.5999999999999999</v>
      </c>
      <c r="G68" s="1">
        <f t="shared" si="2"/>
        <v>1.5999999999999999</v>
      </c>
      <c r="H68" s="1">
        <f t="shared" si="2"/>
        <v>1.5999999999999999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>
        <f>SUM(AM5:AM67)</f>
        <v>1155</v>
      </c>
    </row>
    <row r="69" spans="1:3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</row>
    <row r="92" spans="1:39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5.75" customHeight="1"/>
    <row r="270" spans="1:39" ht="15.75" customHeight="1"/>
    <row r="271" spans="1:39" ht="15.75" customHeight="1"/>
    <row r="272" spans="1:3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G2:AL2"/>
    <mergeCell ref="C2:H2"/>
    <mergeCell ref="I2:N2"/>
    <mergeCell ref="O2:T2"/>
    <mergeCell ref="U2:Z2"/>
    <mergeCell ref="AA2:AF2"/>
  </mergeCells>
  <phoneticPr fontId="65" type="noConversion"/>
  <pageMargins left="0.69930555555555596" right="0.69930555555555596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000"/>
  <sheetViews>
    <sheetView workbookViewId="0"/>
  </sheetViews>
  <sheetFormatPr defaultColWidth="11.09765625" defaultRowHeight="15" customHeight="1"/>
  <cols>
    <col min="1" max="6" width="6.597656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65" type="noConversion"/>
  <pageMargins left="0.69930555555555596" right="0.69930555555555596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Important Matters</vt:lpstr>
      <vt:lpstr>每個老師監考表</vt:lpstr>
      <vt:lpstr>FEx_Workload</vt:lpstr>
      <vt:lpstr>SEN INIL</vt:lpstr>
      <vt:lpstr>無教同有教中六</vt:lpstr>
      <vt:lpstr>S1-6 SEN</vt:lpstr>
      <vt:lpstr>S6 Final Exam Workload</vt:lpstr>
      <vt:lpstr>S6 Teachers</vt:lpstr>
      <vt:lpstr>INV. RATIO(FINAL EXAM)</vt:lpstr>
      <vt:lpstr>BY Class</vt:lpstr>
      <vt:lpstr>By Teachers code</vt:lpstr>
      <vt:lpstr>Previous Work</vt:lpstr>
      <vt:lpstr>SEN invigilation</vt:lpstr>
      <vt:lpstr>SEN COUNT</vt:lpstr>
      <vt:lpstr>Summary T1</vt:lpstr>
      <vt:lpstr>TSA</vt:lpstr>
      <vt:lpstr>FOR TEACHERS</vt:lpstr>
      <vt:lpstr>INV. RATIO(1st Term Test)</vt:lpstr>
      <vt:lpstr>INV. RATIO(1st Term Exam)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Yip</cp:lastModifiedBy>
  <cp:lastPrinted>2026-05-28T09:07:39Z</cp:lastPrinted>
  <dcterms:created xsi:type="dcterms:W3CDTF">2024-06-06T13:13:00Z</dcterms:created>
  <dcterms:modified xsi:type="dcterms:W3CDTF">2026-06-08T23:35:43Z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